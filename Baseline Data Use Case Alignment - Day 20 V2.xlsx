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chenery\Downloads\Air Traffic Control Project\"/>
    </mc:Choice>
  </mc:AlternateContent>
  <xr:revisionPtr revIDLastSave="0" documentId="8_{FB7F34D1-2C9E-4C76-A91B-08452063E522}" xr6:coauthVersionLast="47" xr6:coauthVersionMax="47" xr10:uidLastSave="{00000000-0000-0000-0000-000000000000}"/>
  <bookViews>
    <workbookView xWindow="-98" yWindow="-98" windowWidth="21795" windowHeight="12975" firstSheet="3" activeTab="5" xr2:uid="{00000000-000D-0000-FFFF-FFFF00000000}"/>
  </bookViews>
  <sheets>
    <sheet name="README" sheetId="1" r:id="rId1"/>
    <sheet name="Data Element Matrix" sheetId="38" r:id="rId2"/>
    <sheet name="Ref - Master Schema" sheetId="39" state="hidden" r:id="rId3"/>
    <sheet name="Use Case Index" sheetId="2" r:id="rId4"/>
    <sheet name="UC01 Content Syndication Attend" sheetId="3" r:id="rId5"/>
    <sheet name="UC02 Content Syndication Form S" sheetId="4" r:id="rId6"/>
    <sheet name="UC03 Content Syndication Attend" sheetId="5" r:id="rId7"/>
    <sheet name="UC04 Content Syndication Form S" sheetId="6" r:id="rId8"/>
    <sheet name="UC05 1st Party Events Follow-Up" sheetId="7" r:id="rId9"/>
    <sheet name="UC06 3rd Party Events Follow-Up" sheetId="8" r:id="rId10"/>
    <sheet name="UC07 Paid Leads Follow-Up Reque" sheetId="9" r:id="rId11"/>
    <sheet name="UC08 Webinars Follow-Up Request" sheetId="10" r:id="rId12"/>
    <sheet name="UC09 1st Party Events Attended " sheetId="11" r:id="rId13"/>
    <sheet name="UC10 1st Party Events Attended " sheetId="12" r:id="rId14"/>
    <sheet name="UC11 1st Party Events Attended " sheetId="13" r:id="rId15"/>
    <sheet name="UC12 1st Party Events Booth Sca" sheetId="14" r:id="rId16"/>
    <sheet name="UC13 1st Party Events Registere" sheetId="15" r:id="rId17"/>
    <sheet name="UC14 3rd Party Events Attended " sheetId="16" r:id="rId18"/>
    <sheet name="UC15 3rd Party Events Attended " sheetId="17" r:id="rId19"/>
    <sheet name="UC16 3rd Party Events Attended " sheetId="18" r:id="rId20"/>
    <sheet name="UC17 3rd Party Events Booth Sca" sheetId="19" r:id="rId21"/>
    <sheet name="UC18 3rd Party Events Contact R" sheetId="20" r:id="rId22"/>
    <sheet name="UC19 Event Sponsorships Attende" sheetId="21" r:id="rId23"/>
    <sheet name="UC20 Event Sponsorships Attende" sheetId="22" r:id="rId24"/>
    <sheet name="UC21 Event Sponsorships Registe" sheetId="23" r:id="rId25"/>
    <sheet name="UC22 Webinars Attended Live Vir" sheetId="24" r:id="rId26"/>
    <sheet name="UC23 Webinars Attended On-Deman" sheetId="25" r:id="rId27"/>
    <sheet name="UC24 Webinars Registered" sheetId="26" r:id="rId28"/>
    <sheet name="UC25 Offers - Contact Us Form S" sheetId="27" r:id="rId29"/>
    <sheet name="UC26 Offers - Demo Form Submit" sheetId="28" r:id="rId30"/>
    <sheet name="UC27 Offers - Offer Form Submit" sheetId="29" r:id="rId31"/>
    <sheet name="UC28 Offers - Other Form Submit" sheetId="30" r:id="rId32"/>
    <sheet name="UC29 Offers - Others Form Submi" sheetId="31" r:id="rId33"/>
    <sheet name="UC30 Offers - Promotion Form Su" sheetId="32" r:id="rId34"/>
    <sheet name="UC31 Offers - Trial Form Submit" sheetId="33" r:id="rId35"/>
    <sheet name="UC32 Offers - Trials Form Submi" sheetId="34" r:id="rId36"/>
    <sheet name="Open Questions" sheetId="35" r:id="rId37"/>
  </sheets>
  <definedNames>
    <definedName name="_xlnm._FilterDatabase" localSheetId="36" hidden="1">'Open Questions'!$A$1:$J$386</definedName>
    <definedName name="_xlnm._FilterDatabase" localSheetId="3" hidden="1">'Use Case Index'!$A$1:$H$33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8" l="1" a="1"/>
  <c r="B3" i="38" s="1"/>
  <c r="C3" i="38" a="1"/>
  <c r="C3" i="38" s="1"/>
  <c r="D3" i="38" a="1"/>
  <c r="D3" i="38" s="1"/>
  <c r="E3" i="38" a="1"/>
  <c r="E3" i="38" s="1"/>
  <c r="F3" i="38" a="1"/>
  <c r="F3" i="38" s="1"/>
  <c r="G3" i="38" a="1"/>
  <c r="G3" i="38" s="1"/>
  <c r="H3" i="38" a="1"/>
  <c r="H3" i="38" s="1"/>
  <c r="I3" i="38" a="1"/>
  <c r="I3" i="38" s="1"/>
  <c r="J3" i="38" a="1"/>
  <c r="J3" i="38" s="1"/>
  <c r="K3" i="38" a="1"/>
  <c r="K3" i="38" s="1"/>
  <c r="L3" i="38" a="1"/>
  <c r="L3" i="38" s="1"/>
  <c r="M3" i="38" a="1"/>
  <c r="M3" i="38" s="1"/>
  <c r="N3" i="38" a="1"/>
  <c r="N3" i="38" s="1"/>
  <c r="O3" i="38" a="1"/>
  <c r="O3" i="38" s="1"/>
  <c r="P3" i="38" a="1"/>
  <c r="P3" i="38" s="1"/>
  <c r="Q3" i="38" a="1"/>
  <c r="Q3" i="38" s="1"/>
  <c r="R3" i="38" a="1"/>
  <c r="R3" i="38" s="1"/>
  <c r="S3" i="38" a="1"/>
  <c r="S3" i="38" s="1"/>
  <c r="T3" i="38" a="1"/>
  <c r="T3" i="38" s="1"/>
  <c r="U3" i="38" a="1"/>
  <c r="U3" i="38" s="1"/>
  <c r="V3" i="38" a="1"/>
  <c r="V3" i="38" s="1"/>
  <c r="W3" i="38" a="1"/>
  <c r="W3" i="38" s="1"/>
  <c r="X3" i="38" a="1"/>
  <c r="X3" i="38" s="1"/>
  <c r="Y3" i="38" a="1"/>
  <c r="Y3" i="38" s="1"/>
  <c r="Z3" i="38" a="1"/>
  <c r="Z3" i="38" s="1"/>
  <c r="AA3" i="38" a="1"/>
  <c r="AA3" i="38" s="1"/>
  <c r="AB3" i="38" a="1"/>
  <c r="AB3" i="38" s="1"/>
  <c r="AC3" i="38" a="1"/>
  <c r="AC3" i="38" s="1"/>
  <c r="AD3" i="38" a="1"/>
  <c r="AD3" i="38" s="1"/>
  <c r="AE3" i="38" a="1"/>
  <c r="AE3" i="38" s="1"/>
  <c r="AF3" i="38" a="1"/>
  <c r="AF3" i="38" s="1"/>
  <c r="AG3" i="38" a="1"/>
  <c r="AG3" i="38" s="1"/>
  <c r="B8" i="38" a="1"/>
  <c r="B8" i="38" s="1"/>
  <c r="C8" i="38" a="1"/>
  <c r="C8" i="38" s="1"/>
  <c r="D8" i="38" a="1"/>
  <c r="D8" i="38" s="1"/>
  <c r="E8" i="38" a="1"/>
  <c r="E8" i="38" s="1"/>
  <c r="F8" i="38" a="1"/>
  <c r="F8" i="38" s="1"/>
  <c r="G8" i="38" a="1"/>
  <c r="G8" i="38" s="1"/>
  <c r="H8" i="38" a="1"/>
  <c r="H8" i="38" s="1"/>
  <c r="I8" i="38" a="1"/>
  <c r="I8" i="38" s="1"/>
  <c r="J8" i="38" a="1"/>
  <c r="J8" i="38" s="1"/>
  <c r="K8" i="38" a="1"/>
  <c r="K8" i="38" s="1"/>
  <c r="L8" i="38" a="1"/>
  <c r="L8" i="38" s="1"/>
  <c r="M8" i="38" a="1"/>
  <c r="M8" i="38" s="1"/>
  <c r="N8" i="38" a="1"/>
  <c r="N8" i="38" s="1"/>
  <c r="O8" i="38" a="1"/>
  <c r="O8" i="38" s="1"/>
  <c r="P8" i="38" a="1"/>
  <c r="P8" i="38" s="1"/>
  <c r="Q8" i="38" a="1"/>
  <c r="Q8" i="38" s="1"/>
  <c r="R8" i="38" a="1"/>
  <c r="R8" i="38" s="1"/>
  <c r="S8" i="38" a="1"/>
  <c r="S8" i="38" s="1"/>
  <c r="T8" i="38" a="1"/>
  <c r="T8" i="38" s="1"/>
  <c r="U8" i="38" a="1"/>
  <c r="U8" i="38" s="1"/>
  <c r="V8" i="38" a="1"/>
  <c r="V8" i="38" s="1"/>
  <c r="W8" i="38" a="1"/>
  <c r="W8" i="38" s="1"/>
  <c r="X8" i="38" a="1"/>
  <c r="X8" i="38" s="1"/>
  <c r="Y8" i="38" a="1"/>
  <c r="Y8" i="38" s="1"/>
  <c r="Z8" i="38" a="1"/>
  <c r="Z8" i="38" s="1"/>
  <c r="AA8" i="38" a="1"/>
  <c r="AA8" i="38" s="1"/>
  <c r="AB8" i="38" a="1"/>
  <c r="AB8" i="38" s="1"/>
  <c r="AC8" i="38" a="1"/>
  <c r="AC8" i="38" s="1"/>
  <c r="AD8" i="38" a="1"/>
  <c r="AD8" i="38" s="1"/>
  <c r="AE8" i="38" a="1"/>
  <c r="AE8" i="38" s="1"/>
  <c r="AF8" i="38" a="1"/>
  <c r="AF8" i="38" s="1"/>
  <c r="AG8" i="38" a="1"/>
  <c r="AG8" i="38" s="1"/>
  <c r="B27" i="38" a="1"/>
  <c r="B27" i="38" s="1"/>
  <c r="C27" i="38" a="1"/>
  <c r="C27" i="38" s="1"/>
  <c r="D27" i="38" a="1"/>
  <c r="D27" i="38" s="1"/>
  <c r="E27" i="38" a="1"/>
  <c r="E27" i="38" s="1"/>
  <c r="F27" i="38" a="1"/>
  <c r="F27" i="38" s="1"/>
  <c r="G27" i="38" a="1"/>
  <c r="G27" i="38" s="1"/>
  <c r="H27" i="38" a="1"/>
  <c r="H27" i="38" s="1"/>
  <c r="I27" i="38" a="1"/>
  <c r="I27" i="38" s="1"/>
  <c r="J27" i="38" a="1"/>
  <c r="J27" i="38" s="1"/>
  <c r="K27" i="38" a="1"/>
  <c r="K27" i="38" s="1"/>
  <c r="L27" i="38" a="1"/>
  <c r="L27" i="38" s="1"/>
  <c r="M27" i="38" a="1"/>
  <c r="M27" i="38" s="1"/>
  <c r="N27" i="38" a="1"/>
  <c r="N27" i="38" s="1"/>
  <c r="O27" i="38" a="1"/>
  <c r="O27" i="38" s="1"/>
  <c r="P27" i="38" a="1"/>
  <c r="P27" i="38" s="1"/>
  <c r="Q27" i="38" a="1"/>
  <c r="Q27" i="38" s="1"/>
  <c r="R27" i="38" a="1"/>
  <c r="R27" i="38" s="1"/>
  <c r="S27" i="38" a="1"/>
  <c r="S27" i="38" s="1"/>
  <c r="T27" i="38" a="1"/>
  <c r="T27" i="38" s="1"/>
  <c r="U27" i="38" a="1"/>
  <c r="U27" i="38" s="1"/>
  <c r="V27" i="38" a="1"/>
  <c r="V27" i="38" s="1"/>
  <c r="W27" i="38" a="1"/>
  <c r="W27" i="38" s="1"/>
  <c r="X27" i="38" a="1"/>
  <c r="X27" i="38" s="1"/>
  <c r="Y27" i="38" a="1"/>
  <c r="Y27" i="38" s="1"/>
  <c r="Z27" i="38" a="1"/>
  <c r="Z27" i="38" s="1"/>
  <c r="AA27" i="38" a="1"/>
  <c r="AA27" i="38" s="1"/>
  <c r="AB27" i="38" a="1"/>
  <c r="AB27" i="38" s="1"/>
  <c r="AC27" i="38" a="1"/>
  <c r="AC27" i="38" s="1"/>
  <c r="AD27" i="38" a="1"/>
  <c r="AD27" i="38" s="1"/>
  <c r="AE27" i="38" a="1"/>
  <c r="AE27" i="38" s="1"/>
  <c r="AF27" i="38" a="1"/>
  <c r="AF27" i="38" s="1"/>
  <c r="AG27" i="38" a="1"/>
  <c r="AG27" i="38" s="1"/>
  <c r="B46" i="38" a="1"/>
  <c r="B46" i="38" s="1"/>
  <c r="C46" i="38" a="1"/>
  <c r="C46" i="38" s="1"/>
  <c r="D46" i="38" a="1"/>
  <c r="D46" i="38" s="1"/>
  <c r="E46" i="38" a="1"/>
  <c r="E46" i="38" s="1"/>
  <c r="F46" i="38" a="1"/>
  <c r="F46" i="38" s="1"/>
  <c r="G46" i="38" a="1"/>
  <c r="G46" i="38" s="1"/>
  <c r="H46" i="38" a="1"/>
  <c r="H46" i="38" s="1"/>
  <c r="I46" i="38" a="1"/>
  <c r="I46" i="38" s="1"/>
  <c r="J46" i="38" a="1"/>
  <c r="J46" i="38" s="1"/>
  <c r="K46" i="38" a="1"/>
  <c r="K46" i="38" s="1"/>
  <c r="L46" i="38" a="1"/>
  <c r="L46" i="38" s="1"/>
  <c r="M46" i="38" a="1"/>
  <c r="M46" i="38" s="1"/>
  <c r="N46" i="38" a="1"/>
  <c r="N46" i="38" s="1"/>
  <c r="O46" i="38" a="1"/>
  <c r="O46" i="38" s="1"/>
  <c r="P46" i="38" a="1"/>
  <c r="P46" i="38" s="1"/>
  <c r="Q46" i="38" a="1"/>
  <c r="Q46" i="38" s="1"/>
  <c r="R46" i="38" a="1"/>
  <c r="R46" i="38" s="1"/>
  <c r="S46" i="38" a="1"/>
  <c r="S46" i="38" s="1"/>
  <c r="T46" i="38" a="1"/>
  <c r="T46" i="38" s="1"/>
  <c r="U46" i="38" a="1"/>
  <c r="U46" i="38" s="1"/>
  <c r="V46" i="38" a="1"/>
  <c r="V46" i="38" s="1"/>
  <c r="W46" i="38" a="1"/>
  <c r="W46" i="38" s="1"/>
  <c r="X46" i="38" a="1"/>
  <c r="X46" i="38" s="1"/>
  <c r="Y46" i="38" a="1"/>
  <c r="Y46" i="38" s="1"/>
  <c r="Z46" i="38" a="1"/>
  <c r="Z46" i="38" s="1"/>
  <c r="AA46" i="38" a="1"/>
  <c r="AA46" i="38" s="1"/>
  <c r="AB46" i="38" a="1"/>
  <c r="AB46" i="38" s="1"/>
  <c r="AC46" i="38" a="1"/>
  <c r="AC46" i="38" s="1"/>
  <c r="AD46" i="38" a="1"/>
  <c r="AD46" i="38" s="1"/>
  <c r="AE46" i="38" a="1"/>
  <c r="AE46" i="38" s="1"/>
  <c r="AF46" i="38" a="1"/>
  <c r="AF46" i="38" s="1"/>
  <c r="AG46" i="38" a="1"/>
  <c r="AG46" i="38" s="1"/>
  <c r="B54" i="38" a="1"/>
  <c r="B54" i="38" s="1"/>
  <c r="C54" i="38" a="1"/>
  <c r="C54" i="38" s="1"/>
  <c r="D54" i="38" a="1"/>
  <c r="D54" i="38" s="1"/>
  <c r="E54" i="38" a="1"/>
  <c r="E54" i="38" s="1"/>
  <c r="F54" i="38" a="1"/>
  <c r="F54" i="38" s="1"/>
  <c r="G54" i="38" a="1"/>
  <c r="G54" i="38" s="1"/>
  <c r="H54" i="38" a="1"/>
  <c r="H54" i="38" s="1"/>
  <c r="I54" i="38" a="1"/>
  <c r="I54" i="38" s="1"/>
  <c r="J54" i="38" a="1"/>
  <c r="J54" i="38" s="1"/>
  <c r="K54" i="38" a="1"/>
  <c r="K54" i="38" s="1"/>
  <c r="L54" i="38" a="1"/>
  <c r="L54" i="38" s="1"/>
  <c r="M54" i="38" a="1"/>
  <c r="M54" i="38" s="1"/>
  <c r="N54" i="38" a="1"/>
  <c r="N54" i="38" s="1"/>
  <c r="O54" i="38" a="1"/>
  <c r="O54" i="38" s="1"/>
  <c r="P54" i="38" a="1"/>
  <c r="P54" i="38" s="1"/>
  <c r="Q54" i="38" a="1"/>
  <c r="Q54" i="38" s="1"/>
  <c r="R54" i="38" a="1"/>
  <c r="R54" i="38" s="1"/>
  <c r="S54" i="38" a="1"/>
  <c r="S54" i="38" s="1"/>
  <c r="T54" i="38" a="1"/>
  <c r="T54" i="38" s="1"/>
  <c r="U54" i="38" a="1"/>
  <c r="U54" i="38" s="1"/>
  <c r="V54" i="38" a="1"/>
  <c r="V54" i="38" s="1"/>
  <c r="W54" i="38" a="1"/>
  <c r="W54" i="38" s="1"/>
  <c r="X54" i="38" a="1"/>
  <c r="X54" i="38" s="1"/>
  <c r="Y54" i="38" a="1"/>
  <c r="Y54" i="38" s="1"/>
  <c r="Z54" i="38" a="1"/>
  <c r="Z54" i="38" s="1"/>
  <c r="AA54" i="38" a="1"/>
  <c r="AA54" i="38" s="1"/>
  <c r="AB54" i="38" a="1"/>
  <c r="AB54" i="38" s="1"/>
  <c r="AC54" i="38" a="1"/>
  <c r="AC54" i="38" s="1"/>
  <c r="AD54" i="38" a="1"/>
  <c r="AD54" i="38" s="1"/>
  <c r="AE54" i="38" a="1"/>
  <c r="AE54" i="38" s="1"/>
  <c r="AF54" i="38" a="1"/>
  <c r="AF54" i="38" s="1"/>
  <c r="AG54" i="38" a="1"/>
  <c r="AG54" i="38" s="1"/>
  <c r="B67" i="38" a="1"/>
  <c r="B67" i="38" s="1"/>
  <c r="C67" i="38" a="1"/>
  <c r="C67" i="38" s="1"/>
  <c r="D67" i="38" a="1"/>
  <c r="D67" i="38" s="1"/>
  <c r="E67" i="38" a="1"/>
  <c r="E67" i="38" s="1"/>
  <c r="F67" i="38" a="1"/>
  <c r="F67" i="38" s="1"/>
  <c r="G67" i="38" a="1"/>
  <c r="G67" i="38" s="1"/>
  <c r="H67" i="38" a="1"/>
  <c r="H67" i="38" s="1"/>
  <c r="I67" i="38" a="1"/>
  <c r="I67" i="38" s="1"/>
  <c r="J67" i="38" a="1"/>
  <c r="J67" i="38" s="1"/>
  <c r="K67" i="38" a="1"/>
  <c r="K67" i="38" s="1"/>
  <c r="L67" i="38" a="1"/>
  <c r="L67" i="38" s="1"/>
  <c r="M67" i="38" a="1"/>
  <c r="M67" i="38" s="1"/>
  <c r="N67" i="38" a="1"/>
  <c r="N67" i="38" s="1"/>
  <c r="O67" i="38" a="1"/>
  <c r="O67" i="38" s="1"/>
  <c r="P67" i="38" a="1"/>
  <c r="P67" i="38" s="1"/>
  <c r="Q67" i="38" a="1"/>
  <c r="Q67" i="38" s="1"/>
  <c r="R67" i="38" a="1"/>
  <c r="R67" i="38" s="1"/>
  <c r="S67" i="38" a="1"/>
  <c r="S67" i="38" s="1"/>
  <c r="T67" i="38" a="1"/>
  <c r="T67" i="38" s="1"/>
  <c r="U67" i="38" a="1"/>
  <c r="U67" i="38" s="1"/>
  <c r="V67" i="38" a="1"/>
  <c r="V67" i="38" s="1"/>
  <c r="W67" i="38" a="1"/>
  <c r="W67" i="38" s="1"/>
  <c r="X67" i="38" a="1"/>
  <c r="X67" i="38" s="1"/>
  <c r="Y67" i="38" a="1"/>
  <c r="Y67" i="38" s="1"/>
  <c r="Z67" i="38" a="1"/>
  <c r="Z67" i="38" s="1"/>
  <c r="AA67" i="38" a="1"/>
  <c r="AA67" i="38" s="1"/>
  <c r="AB67" i="38" a="1"/>
  <c r="AB67" i="38" s="1"/>
  <c r="AC67" i="38" a="1"/>
  <c r="AC67" i="38" s="1"/>
  <c r="AD67" i="38" a="1"/>
  <c r="AD67" i="38" s="1"/>
  <c r="AE67" i="38" a="1"/>
  <c r="AE67" i="38" s="1"/>
  <c r="AF67" i="38" a="1"/>
  <c r="AF67" i="38" s="1"/>
  <c r="AG67" i="38" a="1"/>
  <c r="AG67" i="38" s="1"/>
  <c r="B78" i="38" a="1"/>
  <c r="B78" i="38" s="1"/>
  <c r="C78" i="38" a="1"/>
  <c r="C78" i="38" s="1"/>
  <c r="D78" i="38" a="1"/>
  <c r="D78" i="38" s="1"/>
  <c r="E78" i="38" a="1"/>
  <c r="E78" i="38" s="1"/>
  <c r="F78" i="38" a="1"/>
  <c r="F78" i="38" s="1"/>
  <c r="G78" i="38" a="1"/>
  <c r="G78" i="38" s="1"/>
  <c r="H78" i="38" a="1"/>
  <c r="H78" i="38" s="1"/>
  <c r="I78" i="38" a="1"/>
  <c r="I78" i="38" s="1"/>
  <c r="J78" i="38" a="1"/>
  <c r="J78" i="38" s="1"/>
  <c r="K78" i="38" a="1"/>
  <c r="K78" i="38" s="1"/>
  <c r="L78" i="38" a="1"/>
  <c r="L78" i="38" s="1"/>
  <c r="M78" i="38" a="1"/>
  <c r="M78" i="38" s="1"/>
  <c r="N78" i="38" a="1"/>
  <c r="N78" i="38" s="1"/>
  <c r="O78" i="38" a="1"/>
  <c r="O78" i="38" s="1"/>
  <c r="P78" i="38" a="1"/>
  <c r="P78" i="38" s="1"/>
  <c r="Q78" i="38" a="1"/>
  <c r="Q78" i="38" s="1"/>
  <c r="R78" i="38" a="1"/>
  <c r="R78" i="38" s="1"/>
  <c r="S78" i="38" a="1"/>
  <c r="S78" i="38" s="1"/>
  <c r="T78" i="38" a="1"/>
  <c r="T78" i="38" s="1"/>
  <c r="U78" i="38" a="1"/>
  <c r="U78" i="38" s="1"/>
  <c r="V78" i="38" a="1"/>
  <c r="V78" i="38" s="1"/>
  <c r="W78" i="38" a="1"/>
  <c r="W78" i="38" s="1"/>
  <c r="X78" i="38" a="1"/>
  <c r="X78" i="38" s="1"/>
  <c r="Y78" i="38" a="1"/>
  <c r="Y78" i="38" s="1"/>
  <c r="Z78" i="38" a="1"/>
  <c r="Z78" i="38" s="1"/>
  <c r="AA78" i="38" a="1"/>
  <c r="AA78" i="38" s="1"/>
  <c r="AB78" i="38" a="1"/>
  <c r="AB78" i="38" s="1"/>
  <c r="AC78" i="38" a="1"/>
  <c r="AC78" i="38" s="1"/>
  <c r="AD78" i="38" a="1"/>
  <c r="AD78" i="38" s="1"/>
  <c r="AE78" i="38" a="1"/>
  <c r="AE78" i="38" s="1"/>
  <c r="AF78" i="38" a="1"/>
  <c r="AF78" i="38" s="1"/>
  <c r="AG78" i="38" a="1"/>
  <c r="AG78" i="38" s="1"/>
  <c r="B85" i="38" a="1"/>
  <c r="B85" i="38" s="1"/>
  <c r="C85" i="38" a="1"/>
  <c r="C85" i="38" s="1"/>
  <c r="D85" i="38" a="1"/>
  <c r="D85" i="38" s="1"/>
  <c r="E85" i="38" a="1"/>
  <c r="E85" i="38" s="1"/>
  <c r="F85" i="38" a="1"/>
  <c r="F85" i="38" s="1"/>
  <c r="G85" i="38" a="1"/>
  <c r="G85" i="38" s="1"/>
  <c r="H85" i="38" a="1"/>
  <c r="H85" i="38" s="1"/>
  <c r="I85" i="38" a="1"/>
  <c r="I85" i="38" s="1"/>
  <c r="J85" i="38" a="1"/>
  <c r="J85" i="38" s="1"/>
  <c r="K85" i="38" a="1"/>
  <c r="K85" i="38" s="1"/>
  <c r="L85" i="38" a="1"/>
  <c r="L85" i="38" s="1"/>
  <c r="M85" i="38" a="1"/>
  <c r="M85" i="38" s="1"/>
  <c r="N85" i="38" a="1"/>
  <c r="N85" i="38" s="1"/>
  <c r="O85" i="38" a="1"/>
  <c r="O85" i="38" s="1"/>
  <c r="P85" i="38" a="1"/>
  <c r="P85" i="38" s="1"/>
  <c r="Q85" i="38" a="1"/>
  <c r="Q85" i="38" s="1"/>
  <c r="R85" i="38" a="1"/>
  <c r="R85" i="38" s="1"/>
  <c r="S85" i="38" a="1"/>
  <c r="S85" i="38" s="1"/>
  <c r="T85" i="38" a="1"/>
  <c r="T85" i="38" s="1"/>
  <c r="U85" i="38" a="1"/>
  <c r="U85" i="38" s="1"/>
  <c r="V85" i="38" a="1"/>
  <c r="V85" i="38" s="1"/>
  <c r="W85" i="38" a="1"/>
  <c r="W85" i="38" s="1"/>
  <c r="X85" i="38" a="1"/>
  <c r="X85" i="38" s="1"/>
  <c r="Y85" i="38" a="1"/>
  <c r="Y85" i="38" s="1"/>
  <c r="Z85" i="38" a="1"/>
  <c r="Z85" i="38" s="1"/>
  <c r="AA85" i="38" a="1"/>
  <c r="AA85" i="38" s="1"/>
  <c r="AB85" i="38" a="1"/>
  <c r="AB85" i="38" s="1"/>
  <c r="AC85" i="38" a="1"/>
  <c r="AC85" i="38" s="1"/>
  <c r="AD85" i="38" a="1"/>
  <c r="AD85" i="38" s="1"/>
  <c r="AE85" i="38" a="1"/>
  <c r="AE85" i="38" s="1"/>
  <c r="AF85" i="38" a="1"/>
  <c r="AF85" i="38" s="1"/>
  <c r="AG85" i="38" a="1"/>
  <c r="AG85" i="38" s="1"/>
  <c r="B18" i="2" a="1"/>
  <c r="B18" i="2" s="1"/>
  <c r="S2" i="38" s="1"/>
  <c r="B33" i="2" a="1"/>
  <c r="B33" i="2" s="1"/>
  <c r="B32" i="2" a="1"/>
  <c r="B32" i="2" s="1"/>
  <c r="AG2" i="38" s="1"/>
  <c r="B31" i="2" a="1"/>
  <c r="B31" i="2" s="1"/>
  <c r="AF2" i="38" s="1"/>
  <c r="B30" i="2" a="1"/>
  <c r="B30" i="2" s="1"/>
  <c r="AE2" i="38" s="1"/>
  <c r="B29" i="2" a="1"/>
  <c r="B29" i="2" s="1"/>
  <c r="AD2" i="38" s="1"/>
  <c r="B28" i="2" a="1"/>
  <c r="B28" i="2" s="1"/>
  <c r="AC2" i="38" s="1"/>
  <c r="B27" i="2" a="1"/>
  <c r="B27" i="2" s="1"/>
  <c r="AB2" i="38" s="1"/>
  <c r="B26" i="2" a="1"/>
  <c r="B26" i="2" s="1"/>
  <c r="B25" i="2" a="1"/>
  <c r="B25" i="2" s="1"/>
  <c r="Z2" i="38" s="1"/>
  <c r="B24" i="2" a="1"/>
  <c r="B24" i="2" s="1"/>
  <c r="Y2" i="38" s="1"/>
  <c r="B23" i="2" a="1"/>
  <c r="B23" i="2" s="1"/>
  <c r="X2" i="38" s="1"/>
  <c r="B22" i="2" a="1"/>
  <c r="B22" i="2" s="1"/>
  <c r="W2" i="38" s="1"/>
  <c r="B21" i="2" a="1"/>
  <c r="B21" i="2" s="1"/>
  <c r="V2" i="38" s="1"/>
  <c r="B20" i="2" a="1"/>
  <c r="B20" i="2" s="1"/>
  <c r="U2" i="38" s="1"/>
  <c r="B19" i="2" a="1"/>
  <c r="B19" i="2" s="1"/>
  <c r="T2" i="38" s="1"/>
  <c r="B17" i="2" a="1"/>
  <c r="B17" i="2" s="1"/>
  <c r="R2" i="38" s="1"/>
  <c r="B16" i="2" a="1"/>
  <c r="B16" i="2" s="1"/>
  <c r="Q2" i="38" s="1"/>
  <c r="B15" i="2" a="1"/>
  <c r="B15" i="2" s="1"/>
  <c r="P2" i="38" s="1"/>
  <c r="B14" i="2" a="1"/>
  <c r="B14" i="2" s="1"/>
  <c r="O2" i="38" s="1"/>
  <c r="B13" i="2" a="1"/>
  <c r="B13" i="2" s="1"/>
  <c r="N2" i="38" s="1"/>
  <c r="B12" i="2" a="1"/>
  <c r="B12" i="2" s="1"/>
  <c r="M2" i="38" s="1"/>
  <c r="B11" i="2" a="1"/>
  <c r="B11" i="2" s="1"/>
  <c r="L2" i="38" s="1"/>
  <c r="B10" i="2" a="1"/>
  <c r="B10" i="2" s="1"/>
  <c r="K2" i="38" s="1"/>
  <c r="B7" i="2" a="1"/>
  <c r="B7" i="2" s="1"/>
  <c r="H2" i="38" s="1"/>
  <c r="B9" i="2" a="1"/>
  <c r="B9" i="2" s="1"/>
  <c r="J2" i="38" s="1"/>
  <c r="B8" i="2" a="1"/>
  <c r="B8" i="2" s="1"/>
  <c r="I2" i="38" s="1"/>
  <c r="B6" i="2" a="1"/>
  <c r="B6" i="2" s="1"/>
  <c r="G2" i="38" s="1"/>
  <c r="B5" i="2" a="1"/>
  <c r="B5" i="2" s="1"/>
  <c r="F2" i="38" s="1"/>
  <c r="B4" i="2" a="1"/>
  <c r="B4" i="2" s="1"/>
  <c r="E2" i="38" s="1"/>
  <c r="B3" i="2" a="1"/>
  <c r="B3" i="2" s="1"/>
  <c r="B2" i="2" a="1"/>
  <c r="B2" i="2" s="1"/>
  <c r="B2" i="38" s="1"/>
  <c r="A3" i="38" a="1"/>
  <c r="A2" i="39" a="1"/>
  <c r="A2" i="39" s="1"/>
  <c r="AC88" i="38" a="1"/>
  <c r="AC81" i="38" a="1"/>
  <c r="N83" i="38" a="1"/>
  <c r="N35" i="38" a="1"/>
  <c r="AC89" i="38" a="1"/>
  <c r="N36" i="38" a="1"/>
  <c r="N44" i="38" a="1"/>
  <c r="X49" i="38" a="1"/>
  <c r="AC52" i="38" a="1"/>
  <c r="X53" i="38" a="1"/>
  <c r="AC64" i="38" a="1"/>
  <c r="AC68" i="38" a="1"/>
  <c r="N70" i="38" a="1"/>
  <c r="X72" i="38" a="1"/>
  <c r="X73" i="38" a="1"/>
  <c r="J80" i="38" a="1"/>
  <c r="AC40" i="38" a="1"/>
  <c r="X44" i="38" a="1"/>
  <c r="N49" i="38" a="1"/>
  <c r="X57" i="38" a="1"/>
  <c r="J60" i="38" a="1"/>
  <c r="J61" i="38" a="1"/>
  <c r="AC65" i="38" a="1"/>
  <c r="N66" i="38" a="1"/>
  <c r="J76" i="38" a="1"/>
  <c r="J79" i="38" a="1"/>
  <c r="AC83" i="38" a="1"/>
  <c r="AC84" i="38" a="1"/>
  <c r="AC87" i="38" a="1"/>
  <c r="N89" i="38" a="1"/>
  <c r="X11" i="38" a="1"/>
  <c r="N15" i="38" a="1"/>
  <c r="I22" i="38" a="1"/>
  <c r="N28" i="38" a="1"/>
  <c r="W29" i="38" a="1"/>
  <c r="I32" i="38" a="1"/>
  <c r="AC32" i="38" a="1"/>
  <c r="X36" i="38" a="1"/>
  <c r="W37" i="38" a="1"/>
  <c r="I40" i="38" a="1"/>
  <c r="AC41" i="38" a="1"/>
  <c r="N45" i="38" a="1"/>
  <c r="J7" i="38" a="1"/>
  <c r="X7" i="38" a="1"/>
  <c r="I13" i="38" a="1"/>
  <c r="I15" i="38" a="1"/>
  <c r="AC17" i="38" a="1"/>
  <c r="I30" i="38" a="1"/>
  <c r="W30" i="38" a="1"/>
  <c r="X32" i="38" a="1"/>
  <c r="N38" i="38" a="1"/>
  <c r="W39" i="38" a="1"/>
  <c r="X43" i="38" a="1"/>
  <c r="I50" i="38" a="1"/>
  <c r="X58" i="38" a="1"/>
  <c r="W59" i="38" a="1"/>
  <c r="W60" i="38" a="1"/>
  <c r="J62" i="38" a="1"/>
  <c r="I63" i="38" a="1"/>
  <c r="I64" i="38" a="1"/>
  <c r="I69" i="38" a="1"/>
  <c r="N73" i="38" a="1"/>
  <c r="W73" i="38" a="1"/>
  <c r="W76" i="38" a="1"/>
  <c r="I77" i="38" a="1"/>
  <c r="AC77" i="38" a="1"/>
  <c r="X90" i="38" a="1"/>
  <c r="I91" i="38" a="1"/>
  <c r="X5" i="38" a="1"/>
  <c r="I11" i="38" a="1"/>
  <c r="AC15" i="38" a="1"/>
  <c r="AF19" i="38" a="1"/>
  <c r="Q22" i="38" a="1"/>
  <c r="Q29" i="38" a="1"/>
  <c r="J30" i="38" a="1"/>
  <c r="X30" i="38" a="1"/>
  <c r="AF33" i="38" a="1"/>
  <c r="AF35" i="38" a="1"/>
  <c r="W41" i="38" a="1"/>
  <c r="AF42" i="38" a="1"/>
  <c r="AC49" i="38" a="1"/>
  <c r="B51" i="38" a="1"/>
  <c r="AC53" i="38" a="1"/>
  <c r="N58" i="38" a="1"/>
  <c r="N59" i="38" a="1"/>
  <c r="AF62" i="38" a="1"/>
  <c r="AF63" i="38" a="1"/>
  <c r="I81" i="38" a="1"/>
  <c r="X82" i="38" a="1"/>
  <c r="B83" i="38" a="1"/>
  <c r="I87" i="38" a="1"/>
  <c r="B89" i="38" a="1"/>
  <c r="J91" i="38" a="1"/>
  <c r="I6" i="38" a="1"/>
  <c r="I9" i="38" a="1"/>
  <c r="I10" i="38" a="1"/>
  <c r="P18" i="38" a="1"/>
  <c r="B22" i="38" a="1"/>
  <c r="AC29" i="38" a="1"/>
  <c r="Q31" i="38" a="1"/>
  <c r="AF31" i="38" a="1"/>
  <c r="AC36" i="38" a="1"/>
  <c r="Q38" i="38" a="1"/>
  <c r="X39" i="38" a="1"/>
  <c r="AF44" i="38" a="1"/>
  <c r="I47" i="38" a="1"/>
  <c r="W47" i="38" a="1"/>
  <c r="J50" i="38" a="1"/>
  <c r="W50" i="38" a="1"/>
  <c r="N51" i="38" a="1"/>
  <c r="Q52" i="38" a="1"/>
  <c r="Q57" i="38" a="1"/>
  <c r="X59" i="38" a="1"/>
  <c r="X60" i="38" a="1"/>
  <c r="W61" i="38" a="1"/>
  <c r="W62" i="38" a="1"/>
  <c r="J64" i="38" a="1"/>
  <c r="J65" i="38" a="1"/>
  <c r="AE65" i="38" a="1"/>
  <c r="Q66" i="38" a="1"/>
  <c r="N68" i="38" a="1"/>
  <c r="W68" i="38" a="1"/>
  <c r="J69" i="38" a="1"/>
  <c r="AC69" i="38" a="1"/>
  <c r="P70" i="38" a="1"/>
  <c r="AF71" i="38" a="1"/>
  <c r="J72" i="38" a="1"/>
  <c r="AE74" i="38" a="1"/>
  <c r="X76" i="38" a="1"/>
  <c r="N86" i="38" a="1"/>
  <c r="X86" i="38" a="1"/>
  <c r="AE89" i="38" a="1"/>
  <c r="AC6" i="38" a="1"/>
  <c r="N13" i="38" a="1"/>
  <c r="AD15" i="38" a="1"/>
  <c r="O16" i="38" a="1"/>
  <c r="AF17" i="38" a="1"/>
  <c r="W24" i="38" a="1"/>
  <c r="B26" i="38" a="1"/>
  <c r="I28" i="38" a="1"/>
  <c r="X28" i="38" a="1"/>
  <c r="B6" i="38" a="1"/>
  <c r="B9" i="38" a="1"/>
  <c r="O10" i="38" a="1"/>
  <c r="I21" i="38" a="1"/>
  <c r="AF21" i="38" a="1"/>
  <c r="X22" i="38" a="1"/>
  <c r="P25" i="38" a="1"/>
  <c r="W26" i="38" a="1"/>
  <c r="O29" i="38" a="1"/>
  <c r="J32" i="38" a="1"/>
  <c r="AD32" i="38" a="1"/>
  <c r="AF34" i="38" a="1"/>
  <c r="Q36" i="38" a="1"/>
  <c r="AF36" i="38" a="1"/>
  <c r="W40" i="38" a="1"/>
  <c r="I42" i="38" a="1"/>
  <c r="X42" i="38" a="1"/>
  <c r="I43" i="38" a="1"/>
  <c r="J45" i="38" a="1"/>
  <c r="AC48" i="38" a="1"/>
  <c r="J51" i="38" a="1"/>
  <c r="W51" i="38" a="1"/>
  <c r="W52" i="38" a="1"/>
  <c r="B55" i="38" a="1"/>
  <c r="AC55" i="38" a="1"/>
  <c r="AD57" i="38" a="1"/>
  <c r="AE59" i="38" a="1"/>
  <c r="N60" i="38" a="1"/>
  <c r="P62" i="38" a="1"/>
  <c r="Q64" i="38" a="1"/>
  <c r="AF64" i="38" a="1"/>
  <c r="J68" i="38" a="1"/>
  <c r="X68" i="38" a="1"/>
  <c r="P69" i="38" a="1"/>
  <c r="Q72" i="38" a="1"/>
  <c r="AC72" i="38" a="1"/>
  <c r="AD75" i="38" a="1"/>
  <c r="AE79" i="38" a="1"/>
  <c r="AE82" i="38" a="1"/>
  <c r="B87" i="38" a="1"/>
  <c r="N87" i="38" a="1"/>
  <c r="I89" i="38" a="1"/>
  <c r="W89" i="38" a="1"/>
  <c r="W90" i="38" a="1"/>
  <c r="N91" i="38" a="1"/>
  <c r="AC9" i="38" a="1"/>
  <c r="AF11" i="38" a="1"/>
  <c r="P13" i="38" a="1"/>
  <c r="I16" i="38" a="1"/>
  <c r="AC19" i="38" a="1"/>
  <c r="AD28" i="38" a="1"/>
  <c r="AD33" i="38" a="1"/>
  <c r="Q35" i="38" a="1"/>
  <c r="B36" i="38" a="1"/>
  <c r="AC43" i="38" a="1"/>
  <c r="AD45" i="38" a="1"/>
  <c r="P47" i="38" a="1"/>
  <c r="AC47" i="38" a="1"/>
  <c r="O48" i="38" a="1"/>
  <c r="I52" i="38" a="1"/>
  <c r="P55" i="38" a="1"/>
  <c r="AD62" i="38" a="1"/>
  <c r="N65" i="38" a="1"/>
  <c r="AE66" i="38" a="1"/>
  <c r="I70" i="38" a="1"/>
  <c r="AG70" i="38" a="1"/>
  <c r="N71" i="38" a="1"/>
  <c r="J73" i="38" a="1"/>
  <c r="N74" i="38" a="1"/>
  <c r="O77" i="38" a="1"/>
  <c r="X80" i="38" a="1"/>
  <c r="P81" i="38" a="1"/>
  <c r="AD81" i="38" a="1"/>
  <c r="P84" i="38" a="1"/>
  <c r="AD84" i="38" a="1"/>
  <c r="J86" i="38" a="1"/>
  <c r="AE88" i="38" a="1"/>
  <c r="B90" i="38" a="1"/>
  <c r="N11" i="38" a="1"/>
  <c r="AG14" i="38" a="1"/>
  <c r="Q18" i="38" a="1"/>
  <c r="W20" i="38" a="1"/>
  <c r="AC24" i="38" a="1"/>
  <c r="I26" i="38" a="1"/>
  <c r="O28" i="38" a="1"/>
  <c r="J31" i="38" a="1"/>
  <c r="O32" i="38" a="1"/>
  <c r="AE32" i="38" a="1"/>
  <c r="N33" i="38" a="1"/>
  <c r="R34" i="38" a="1"/>
  <c r="AG34" i="38" a="1"/>
  <c r="R35" i="38" a="1"/>
  <c r="W38" i="38" a="1"/>
  <c r="X40" i="38" a="1"/>
  <c r="J41" i="38" a="1"/>
  <c r="J42" i="38" a="1"/>
  <c r="J43" i="38" a="1"/>
  <c r="AC44" i="38" a="1"/>
  <c r="AF47" i="38" a="1"/>
  <c r="AF48" i="38" a="1"/>
  <c r="AD49" i="38" a="1"/>
  <c r="X52" i="38" a="1"/>
  <c r="AD55" i="38" a="1"/>
  <c r="AE57" i="38" a="1"/>
  <c r="AF59" i="38" a="1"/>
  <c r="P60" i="38" a="1"/>
  <c r="Q62" i="38" a="1"/>
  <c r="R64" i="38" a="1"/>
  <c r="AG64" i="38" a="1"/>
  <c r="Q69" i="38" a="1"/>
  <c r="AE69" i="38" a="1"/>
  <c r="AE72" i="38" a="1"/>
  <c r="AE75" i="38" a="1"/>
  <c r="AF79" i="38" a="1"/>
  <c r="N80" i="38" a="1"/>
  <c r="I82" i="38" a="1"/>
  <c r="AG82" i="38" a="1"/>
  <c r="O83" i="38" a="1"/>
  <c r="O87" i="38" a="1"/>
  <c r="J89" i="38" a="1"/>
  <c r="X89" i="38" a="1"/>
  <c r="N90" i="38" a="1"/>
  <c r="O91" i="38" a="1"/>
  <c r="N5" i="38" a="1"/>
  <c r="AD6" i="38" a="1"/>
  <c r="Q7" i="38" a="1"/>
  <c r="AE9" i="38" a="1"/>
  <c r="AG11" i="38" a="1"/>
  <c r="X12" i="38" a="1"/>
  <c r="Q13" i="38" a="1"/>
  <c r="AE19" i="38" a="1"/>
  <c r="X20" i="38" a="1"/>
  <c r="Q23" i="38" a="1"/>
  <c r="W25" i="38" a="1"/>
  <c r="J26" i="38" a="1"/>
  <c r="AE28" i="38" a="1"/>
  <c r="P32" i="38" a="1"/>
  <c r="B34" i="38" a="1"/>
  <c r="AD43" i="38" a="1"/>
  <c r="P45" i="38" a="1"/>
  <c r="AE45" i="38" a="1"/>
  <c r="Q47" i="38" a="1"/>
  <c r="Q48" i="38" a="1"/>
  <c r="P49" i="38" a="1"/>
  <c r="N50" i="38" a="1"/>
  <c r="AC51" i="38" a="1"/>
  <c r="J52" i="38" a="1"/>
  <c r="AF55" i="38" a="1"/>
  <c r="AG57" i="38" a="1"/>
  <c r="AD60" i="38" a="1"/>
  <c r="I61" i="38" a="1"/>
  <c r="X61" i="38" a="1"/>
  <c r="AE62" i="38" a="1"/>
  <c r="N63" i="38" a="1"/>
  <c r="O65" i="38" a="1"/>
  <c r="I66" i="38" a="1"/>
  <c r="AF66" i="38" a="1"/>
  <c r="O68" i="38" a="1"/>
  <c r="P71" i="38" a="1"/>
  <c r="P74" i="38" a="1"/>
  <c r="P77" i="38" a="1"/>
  <c r="Q81" i="38" a="1"/>
  <c r="AE81" i="38" a="1"/>
  <c r="AF84" i="38" a="1"/>
  <c r="I88" i="38" a="1"/>
  <c r="AF88" i="38" a="1"/>
  <c r="O11" i="38" a="1"/>
  <c r="I14" i="38" a="1"/>
  <c r="W15" i="38" a="1"/>
  <c r="N21" i="38" a="1"/>
  <c r="W23" i="38" a="1"/>
  <c r="AD24" i="38" a="1"/>
  <c r="AE26" i="38" a="1"/>
  <c r="P28" i="38" a="1"/>
  <c r="AF28" i="38" a="1"/>
  <c r="B33" i="38" a="1"/>
  <c r="O33" i="38" a="1"/>
  <c r="B35" i="38" a="1"/>
  <c r="X38" i="38" a="1"/>
  <c r="J40" i="38" a="1"/>
  <c r="AC42" i="38" a="1"/>
  <c r="N43" i="38" a="1"/>
  <c r="O44" i="38" a="1"/>
  <c r="AD44" i="38" a="1"/>
  <c r="AG48" i="38" a="1"/>
  <c r="AF49" i="38" a="1"/>
  <c r="AE50" i="38" a="1"/>
  <c r="I53" i="38" a="1"/>
  <c r="I57" i="38" a="1"/>
  <c r="O58" i="38" a="1"/>
  <c r="J59" i="38" a="1"/>
  <c r="Q60" i="38" a="1"/>
  <c r="R62" i="38" a="1"/>
  <c r="AG62" i="38" a="1"/>
  <c r="W64" i="38" a="1"/>
  <c r="AF69" i="38" a="1"/>
  <c r="W70" i="38" a="1"/>
  <c r="AG72" i="38" a="1"/>
  <c r="J75" i="38" a="1"/>
  <c r="AG75" i="38" a="1"/>
  <c r="AG79" i="38" a="1"/>
  <c r="O80" i="38" a="1"/>
  <c r="J82" i="38" a="1"/>
  <c r="P83" i="38" a="1"/>
  <c r="P87" i="38" a="1"/>
  <c r="AD87" i="38" a="1"/>
  <c r="O90" i="38" a="1"/>
  <c r="P91" i="38" a="1"/>
  <c r="AC91" i="38" a="1"/>
  <c r="AC11" i="38" a="1"/>
  <c r="N29" i="38" a="1"/>
  <c r="AF6" i="38" a="1"/>
  <c r="AF9" i="38" a="1"/>
  <c r="W10" i="38" a="1"/>
  <c r="P16" i="38" a="1"/>
  <c r="W18" i="38" a="1"/>
  <c r="J19" i="38" a="1"/>
  <c r="J22" i="38" a="1"/>
  <c r="B25" i="38" a="1"/>
  <c r="N31" i="38" a="1"/>
  <c r="AG31" i="38" a="1"/>
  <c r="Q32" i="38" a="1"/>
  <c r="I38" i="38" a="1"/>
  <c r="AD41" i="38" a="1"/>
  <c r="Q43" i="38" a="1"/>
  <c r="AE43" i="38" a="1"/>
  <c r="R45" i="38" a="1"/>
  <c r="R47" i="38" a="1"/>
  <c r="Q50" i="38" a="1"/>
  <c r="O51" i="38" a="1"/>
  <c r="AD51" i="38" a="1"/>
  <c r="J53" i="38" a="1"/>
  <c r="AG55" i="38" a="1"/>
  <c r="R58" i="38" a="1"/>
  <c r="AC58" i="38" a="1"/>
  <c r="AE60" i="38" a="1"/>
  <c r="N61" i="38" a="1"/>
  <c r="O63" i="38" a="1"/>
  <c r="Q65" i="38" a="1"/>
  <c r="J66" i="38" a="1"/>
  <c r="P68" i="38" a="1"/>
  <c r="Q71" i="38" a="1"/>
  <c r="R74" i="38" a="1"/>
  <c r="R77" i="38" a="1"/>
  <c r="AF77" i="38" a="1"/>
  <c r="AF81" i="38" a="1"/>
  <c r="W82" i="38" a="1"/>
  <c r="I84" i="38" a="1"/>
  <c r="AG84" i="38" a="1"/>
  <c r="J88" i="38" a="1"/>
  <c r="AG88" i="38" a="1"/>
  <c r="O89" i="38" a="1"/>
  <c r="Q90" i="38" a="1"/>
  <c r="Q91" i="38" a="1"/>
  <c r="Q5" i="38" a="1"/>
  <c r="W7" i="38" a="1"/>
  <c r="R11" i="38" a="1"/>
  <c r="AG17" i="38" a="1"/>
  <c r="AE22" i="38" a="1"/>
  <c r="X23" i="38" a="1"/>
  <c r="N24" i="38" a="1"/>
  <c r="AF26" i="38" a="1"/>
  <c r="Q28" i="38" a="1"/>
  <c r="AB30" i="38" a="1"/>
  <c r="B32" i="38" a="1"/>
  <c r="J37" i="38" a="1"/>
  <c r="AG42" i="38" a="1"/>
  <c r="P44" i="38" a="1"/>
  <c r="B49" i="38" a="1"/>
  <c r="AG50" i="38" a="1"/>
  <c r="M52" i="38" a="1"/>
  <c r="AB52" i="38" a="1"/>
  <c r="I55" i="38" a="1"/>
  <c r="J57" i="38" a="1"/>
  <c r="AB61" i="38" a="1"/>
  <c r="B63" i="38" a="1"/>
  <c r="AC63" i="38" a="1"/>
  <c r="X64" i="38" a="1"/>
  <c r="AF65" i="38" a="1"/>
  <c r="W66" i="38" a="1"/>
  <c r="AB68" i="38" a="1"/>
  <c r="AG69" i="38" a="1"/>
  <c r="AC71" i="38" a="1"/>
  <c r="B73" i="38" a="1"/>
  <c r="P76" i="38" a="1"/>
  <c r="P80" i="38" a="1"/>
  <c r="M82" i="38" a="1"/>
  <c r="Q83" i="38" a="1"/>
  <c r="O86" i="38" a="1"/>
  <c r="Q87" i="38" a="1"/>
  <c r="AE87" i="38" a="1"/>
  <c r="W88" i="38" a="1"/>
  <c r="AC90" i="38" a="1"/>
  <c r="AD91" i="38" a="1"/>
  <c r="B7" i="38" a="1"/>
  <c r="Q9" i="38" a="1"/>
  <c r="AC10" i="38" a="1"/>
  <c r="AB15" i="38" a="1"/>
  <c r="I17" i="38" a="1"/>
  <c r="X18" i="38" a="1"/>
  <c r="N19" i="38" a="1"/>
  <c r="AG26" i="38" a="1"/>
  <c r="M30" i="38" a="1"/>
  <c r="O31" i="38" a="1"/>
  <c r="W34" i="38" a="1"/>
  <c r="I35" i="38" a="1"/>
  <c r="W35" i="38" a="1"/>
  <c r="J38" i="38" a="1"/>
  <c r="N39" i="38" a="1"/>
  <c r="AC39" i="38" a="1"/>
  <c r="M40" i="38" a="1"/>
  <c r="AF40" i="38" a="1"/>
  <c r="N41" i="38" a="1"/>
  <c r="AE41" i="38" a="1"/>
  <c r="N42" i="38" a="1"/>
  <c r="R43" i="38" a="1"/>
  <c r="AG43" i="38" a="1"/>
  <c r="R44" i="38" a="1"/>
  <c r="X47" i="38" a="1"/>
  <c r="R50" i="38" a="1"/>
  <c r="N52" i="38" a="1"/>
  <c r="AE52" i="38" a="1"/>
  <c r="B56" i="38" a="1"/>
  <c r="N56" i="38" a="1"/>
  <c r="AC56" i="38" a="1"/>
  <c r="AE58" i="38" a="1"/>
  <c r="AF60" i="38" a="1"/>
  <c r="O61" i="38" a="1"/>
  <c r="P63" i="38" a="1"/>
  <c r="R65" i="38" a="1"/>
  <c r="Q68" i="38" a="1"/>
  <c r="W69" i="38" a="1"/>
  <c r="M70" i="38" a="1"/>
  <c r="R71" i="38" a="1"/>
  <c r="AB73" i="38" a="1"/>
  <c r="AF74" i="38" a="1"/>
  <c r="W75" i="38" a="1"/>
  <c r="AC76" i="38" a="1"/>
  <c r="AG77" i="38" a="1"/>
  <c r="X79" i="38" a="1"/>
  <c r="AC80" i="38" a="1"/>
  <c r="J81" i="38" a="1"/>
  <c r="AG81" i="38" a="1"/>
  <c r="AD83" i="38" a="1"/>
  <c r="P89" i="38" a="1"/>
  <c r="R90" i="38" a="1"/>
  <c r="AE91" i="38" a="1"/>
  <c r="N6" i="38" a="1"/>
  <c r="Q14" i="38" a="1"/>
  <c r="I20" i="38" a="1"/>
  <c r="AC20" i="38" a="1"/>
  <c r="L22" i="38" a="1"/>
  <c r="O24" i="38" a="1"/>
  <c r="Z29" i="38" a="1"/>
  <c r="AD30" i="38" a="1"/>
  <c r="K37" i="38" a="1"/>
  <c r="L38" i="38" a="1"/>
  <c r="AC38" i="38" a="1"/>
  <c r="AD39" i="38" a="1"/>
  <c r="AG40" i="38" a="1"/>
  <c r="O41" i="38" a="1"/>
  <c r="B43" i="38" a="1"/>
  <c r="AG51" i="38" a="1"/>
  <c r="Z53" i="38" a="1"/>
  <c r="J55" i="38" a="1"/>
  <c r="K57" i="38" a="1"/>
  <c r="W57" i="38" a="1"/>
  <c r="M59" i="38" a="1"/>
  <c r="AB59" i="38" a="1"/>
  <c r="AC61" i="38" a="1"/>
  <c r="I62" i="38" a="1"/>
  <c r="X62" i="38" a="1"/>
  <c r="AD63" i="38" a="1"/>
  <c r="N64" i="38" a="1"/>
  <c r="AG65" i="38" a="1"/>
  <c r="X66" i="38" a="1"/>
  <c r="AD68" i="38" a="1"/>
  <c r="K69" i="38" a="1"/>
  <c r="B70" i="38" a="1"/>
  <c r="L72" i="38" a="1"/>
  <c r="Q73" i="38" a="1"/>
  <c r="M75" i="38" a="1"/>
  <c r="Q76" i="38" a="1"/>
  <c r="M79" i="38" a="1"/>
  <c r="Q80" i="38" a="1"/>
  <c r="W81" i="38" a="1"/>
  <c r="N82" i="38" a="1"/>
  <c r="R83" i="38" a="1"/>
  <c r="AF83" i="38" a="1"/>
  <c r="W84" i="38" a="1"/>
  <c r="Q86" i="38" a="1"/>
  <c r="AF87" i="38" a="1"/>
  <c r="X88" i="38" a="1"/>
  <c r="N10" i="38" a="1"/>
  <c r="O12" i="38" a="1"/>
  <c r="J18" i="38" a="1"/>
  <c r="O22" i="38" a="1"/>
  <c r="K35" i="38" a="1"/>
  <c r="Q39" i="38" a="1"/>
  <c r="B44" i="38" a="1"/>
  <c r="K48" i="38" a="1"/>
  <c r="Q53" i="38" a="1"/>
  <c r="P59" i="38" a="1"/>
  <c r="AC62" i="38" a="1"/>
  <c r="AB70" i="38" a="1"/>
  <c r="AD73" i="38" a="1"/>
  <c r="M81" i="38" a="1"/>
  <c r="O84" i="38" a="1"/>
  <c r="M91" i="38" a="1"/>
  <c r="X16" i="38" a="1"/>
  <c r="N20" i="38" a="1"/>
  <c r="W22" i="38" a="1"/>
  <c r="X24" i="38" a="1"/>
  <c r="J29" i="38" a="1"/>
  <c r="Z33" i="38" a="1"/>
  <c r="AD36" i="38" a="1"/>
  <c r="M38" i="38" a="1"/>
  <c r="R52" i="38" a="1"/>
  <c r="K58" i="38" a="1"/>
  <c r="R59" i="38" a="1"/>
  <c r="AD61" i="38" a="1"/>
  <c r="K65" i="38" a="1"/>
  <c r="O66" i="38" a="1"/>
  <c r="AG71" i="38" a="1"/>
  <c r="I80" i="38" a="1"/>
  <c r="Q82" i="38" a="1"/>
  <c r="AC86" i="38" a="1"/>
  <c r="X87" i="38" a="1"/>
  <c r="AB89" i="38" a="1"/>
  <c r="AB5" i="38" a="1"/>
  <c r="AE7" i="38" a="1"/>
  <c r="AG10" i="38" a="1"/>
  <c r="AG30" i="38" a="1"/>
  <c r="AC33" i="38" a="1"/>
  <c r="L35" i="38" a="1"/>
  <c r="AF39" i="38" a="1"/>
  <c r="W42" i="38" a="1"/>
  <c r="J47" i="38" a="1"/>
  <c r="I51" i="38" a="1"/>
  <c r="L57" i="38" a="1"/>
  <c r="AC70" i="38" a="1"/>
  <c r="AE73" i="38" a="1"/>
  <c r="N79" i="38" a="1"/>
  <c r="N81" i="38" a="1"/>
  <c r="W83" i="38" a="1"/>
  <c r="AB88" i="38" a="1"/>
  <c r="AG7" i="38" a="1"/>
  <c r="X14" i="38" a="1"/>
  <c r="Z16" i="38" a="1"/>
  <c r="AB18" i="38" a="1"/>
  <c r="Z24" i="38" a="1"/>
  <c r="I34" i="38" a="1"/>
  <c r="AE36" i="38" a="1"/>
  <c r="I44" i="38" a="1"/>
  <c r="L47" i="38" a="1"/>
  <c r="X48" i="38" a="1"/>
  <c r="AD53" i="38" a="1"/>
  <c r="AE61" i="38" a="1"/>
  <c r="O64" i="38" a="1"/>
  <c r="Z69" i="38" a="1"/>
  <c r="M77" i="38" a="1"/>
  <c r="Q79" i="38" a="1"/>
  <c r="AE86" i="38" a="1"/>
  <c r="B88" i="38" a="1"/>
  <c r="AF89" i="38" a="1"/>
  <c r="B11" i="38" a="1"/>
  <c r="R38" i="38" a="1"/>
  <c r="AG39" i="38" a="1"/>
  <c r="J44" i="38" a="1"/>
  <c r="Z48" i="38" a="1"/>
  <c r="AE53" i="38" a="1"/>
  <c r="I56" i="38" a="1"/>
  <c r="N57" i="38" a="1"/>
  <c r="AC59" i="38" a="1"/>
  <c r="B62" i="38" a="1"/>
  <c r="AF70" i="38" a="1"/>
  <c r="J74" i="38" a="1"/>
  <c r="I76" i="38" a="1"/>
  <c r="X81" i="38" a="1"/>
  <c r="X83" i="38" a="1"/>
  <c r="Z84" i="38" a="1"/>
  <c r="AD90" i="38" a="1"/>
  <c r="O6" i="38" a="1"/>
  <c r="J25" i="38" a="1"/>
  <c r="J34" i="38" a="1"/>
  <c r="N37" i="38" a="1"/>
  <c r="AB45" i="38" a="1"/>
  <c r="O47" i="38" a="1"/>
  <c r="AB48" i="38" a="1"/>
  <c r="AF52" i="38" a="1"/>
  <c r="K55" i="38" a="1"/>
  <c r="P64" i="38" a="1"/>
  <c r="X65" i="38" a="1"/>
  <c r="B69" i="38" a="1"/>
  <c r="N75" i="38" a="1"/>
  <c r="N77" i="38" a="1"/>
  <c r="AC82" i="38" a="1"/>
  <c r="AB84" i="38" a="1"/>
  <c r="AG89" i="38" a="1"/>
  <c r="R9" i="38" a="1"/>
  <c r="J23" i="38" a="1"/>
  <c r="AC35" i="38" a="1"/>
  <c r="AD59" i="38" a="1"/>
  <c r="M62" i="38" a="1"/>
  <c r="R63" i="38" a="1"/>
  <c r="AB66" i="38" a="1"/>
  <c r="I71" i="38" a="1"/>
  <c r="I73" i="38" a="1"/>
  <c r="W80" i="38" a="1"/>
  <c r="AG83" i="38" a="1"/>
  <c r="AE90" i="38" a="1"/>
  <c r="W91" i="38" a="1"/>
  <c r="R6" i="38" a="1"/>
  <c r="P15" i="38" a="1"/>
  <c r="X21" i="38" a="1"/>
  <c r="O25" i="38" a="1"/>
  <c r="AD29" i="38" a="1"/>
  <c r="J33" i="38" a="1"/>
  <c r="O37" i="38" a="1"/>
  <c r="O40" i="38" a="1"/>
  <c r="L50" i="38" a="1"/>
  <c r="AG52" i="38" a="1"/>
  <c r="L55" i="38" a="1"/>
  <c r="AB57" i="38" a="1"/>
  <c r="AF58" i="38" a="1"/>
  <c r="M72" i="38" a="1"/>
  <c r="M74" i="38" a="1"/>
  <c r="O75" i="38" a="1"/>
  <c r="W77" i="38" a="1"/>
  <c r="AB79" i="38" a="1"/>
  <c r="AD80" i="38" a="1"/>
  <c r="AD82" i="38" a="1"/>
  <c r="J87" i="38" a="1"/>
  <c r="L88" i="38" a="1"/>
  <c r="I90" i="38" a="1"/>
  <c r="X91" i="38" a="1"/>
  <c r="Q15" i="38" a="1"/>
  <c r="AC23" i="38" a="1"/>
  <c r="L28" i="38" a="1"/>
  <c r="B30" i="38" a="1"/>
  <c r="W31" i="38" a="1"/>
  <c r="X34" i="38" a="1"/>
  <c r="AD35" i="38" a="1"/>
  <c r="Q40" i="38" a="1"/>
  <c r="AG41" i="38" a="1"/>
  <c r="Z47" i="38" a="1"/>
  <c r="I49" i="38" a="1"/>
  <c r="B59" i="38" a="1"/>
  <c r="O62" i="38" a="1"/>
  <c r="Z64" i="38" a="1"/>
  <c r="AC66" i="38" a="1"/>
  <c r="J71" i="38" a="1"/>
  <c r="R73" i="38" a="1"/>
  <c r="AF80" i="38" a="1"/>
  <c r="B82" i="38" a="1"/>
  <c r="B84" i="38" a="1"/>
  <c r="AF90" i="38" a="1"/>
  <c r="AF13" i="38" a="1"/>
  <c r="AC25" i="38" a="1"/>
  <c r="Y28" i="38" a="1"/>
  <c r="K33" i="38" a="1"/>
  <c r="J36" i="38" a="1"/>
  <c r="B53" i="38" a="1"/>
  <c r="X55" i="38" a="1"/>
  <c r="AC57" i="38" a="1"/>
  <c r="I60" i="38" a="1"/>
  <c r="P61" i="38" a="1"/>
  <c r="B66" i="38" a="1"/>
  <c r="L69" i="38" a="1"/>
  <c r="N72" i="38" a="1"/>
  <c r="W74" i="38" a="1"/>
  <c r="X75" i="38" a="1"/>
  <c r="Y77" i="38" a="1"/>
  <c r="AC79" i="38" a="1"/>
  <c r="H83" i="38" a="1"/>
  <c r="H86" i="38" a="1"/>
  <c r="K87" i="38" a="1"/>
  <c r="N88" i="38" a="1"/>
  <c r="Q89" i="38" a="1"/>
  <c r="J90" i="38" a="1"/>
  <c r="B91" i="38" a="1"/>
  <c r="AF91" i="38" a="1"/>
  <c r="AD11" i="38" a="1"/>
  <c r="AD21" i="38" a="1"/>
  <c r="AF23" i="38" a="1"/>
  <c r="O30" i="38" a="1"/>
  <c r="X31" i="38" a="1"/>
  <c r="L33" i="38" a="1"/>
  <c r="AB34" i="38" a="1"/>
  <c r="AB37" i="38" a="1"/>
  <c r="AB47" i="38" a="1"/>
  <c r="J49" i="38" a="1"/>
  <c r="Y50" i="38" a="1"/>
  <c r="B52" i="38" a="1"/>
  <c r="L53" i="38" a="1"/>
  <c r="AD56" i="38" a="1"/>
  <c r="K60" i="38" a="1"/>
  <c r="W63" i="38" a="1"/>
  <c r="AB64" i="38" a="1"/>
  <c r="I68" i="38" a="1"/>
  <c r="R70" i="38" a="1"/>
  <c r="AD76" i="38" a="1"/>
  <c r="B81" i="38" a="1"/>
  <c r="L84" i="38" a="1"/>
  <c r="Q88" i="38" a="1"/>
  <c r="H91" i="38" a="1"/>
  <c r="AE34" i="38" a="1"/>
  <c r="Y55" i="38" a="1"/>
  <c r="Q61" i="38" a="1"/>
  <c r="AG63" i="38" a="1"/>
  <c r="O69" i="38" a="1"/>
  <c r="R86" i="38" a="1"/>
  <c r="I7" i="38" a="1"/>
  <c r="L10" i="38" a="1"/>
  <c r="N12" i="38" a="1"/>
  <c r="B14" i="38" a="1"/>
  <c r="K20" i="38" a="1"/>
  <c r="M22" i="38" a="1"/>
  <c r="P30" i="38" a="1"/>
  <c r="W33" i="38" a="1"/>
  <c r="P36" i="38" a="1"/>
  <c r="P39" i="38" a="1"/>
  <c r="V43" i="38" a="1"/>
  <c r="J48" i="38" a="1"/>
  <c r="N53" i="38" a="1"/>
  <c r="O59" i="38" a="1"/>
  <c r="AE76" i="38" a="1"/>
  <c r="Z88" i="38" a="1"/>
  <c r="L7" i="38" a="1"/>
  <c r="S14" i="38" a="1"/>
  <c r="AC28" i="38" a="1"/>
  <c r="J35" i="38" a="1"/>
  <c r="AE37" i="38" a="1"/>
  <c r="Z55" i="38" a="1"/>
  <c r="J58" i="38" a="1"/>
  <c r="U60" i="38" a="1"/>
  <c r="B64" i="38" a="1"/>
  <c r="X71" i="38" a="1"/>
  <c r="B75" i="38" a="1"/>
  <c r="J83" i="38" a="1"/>
  <c r="S86" i="38" a="1"/>
  <c r="AE11" i="38" a="1"/>
  <c r="H18" i="38" a="1"/>
  <c r="AF25" i="38" a="1"/>
  <c r="L36" i="38" a="1"/>
  <c r="O39" i="38" a="1"/>
  <c r="H42" i="38" a="1"/>
  <c r="AG56" i="38" a="1"/>
  <c r="Y62" i="38" a="1"/>
  <c r="AD64" i="38" a="1"/>
  <c r="Y72" i="38" a="1"/>
  <c r="X74" i="38" a="1"/>
  <c r="I83" i="38" a="1"/>
  <c r="K90" i="38" a="1"/>
  <c r="AC37" i="38" a="1"/>
  <c r="Z50" i="38" a="1"/>
  <c r="G58" i="38" a="1"/>
  <c r="L60" i="38" a="1"/>
  <c r="G65" i="38" a="1"/>
  <c r="AC73" i="38" a="1"/>
  <c r="AC75" i="38" a="1"/>
  <c r="L81" i="38" a="1"/>
  <c r="N84" i="38" a="1"/>
  <c r="L91" i="38" a="1"/>
  <c r="R30" i="38" a="1"/>
  <c r="H45" i="38" a="1"/>
  <c r="V49" i="38" a="1"/>
  <c r="H52" i="38" a="1"/>
  <c r="P53" i="38" a="1"/>
  <c r="B57" i="38" a="1"/>
  <c r="Z62" i="38" a="1"/>
  <c r="M66" i="38" a="1"/>
  <c r="X69" i="38" a="1"/>
  <c r="Z72" i="38" a="1"/>
  <c r="H80" i="38" a="1"/>
  <c r="P82" i="38" a="1"/>
  <c r="W87" i="38" a="1"/>
  <c r="S90" i="38" a="1"/>
  <c r="V87" i="38" a="1"/>
  <c r="E4" i="38" a="1"/>
  <c r="S4" i="38" a="1"/>
  <c r="AG4" i="38" a="1"/>
  <c r="F4" i="38" a="1"/>
  <c r="T4" i="38" a="1"/>
  <c r="G4" i="38" a="1"/>
  <c r="N4" i="38" a="1"/>
  <c r="U4" i="38" a="1"/>
  <c r="O4" i="38" a="1"/>
  <c r="V4" i="38" a="1"/>
  <c r="AC4" i="38" a="1"/>
  <c r="P4" i="38" a="1"/>
  <c r="AD4" i="38" a="1"/>
  <c r="R4" i="38" a="1"/>
  <c r="AF4" i="38" a="1"/>
  <c r="Q4" i="38" a="1"/>
  <c r="AE4" i="38" a="1"/>
  <c r="AB4" i="38" a="1"/>
  <c r="M4" i="38" a="1"/>
  <c r="L4" i="38" a="1"/>
  <c r="Z4" i="38" a="1"/>
  <c r="K4" i="38" a="1"/>
  <c r="Y4" i="38" a="1"/>
  <c r="H4" i="38" a="1"/>
  <c r="X4" i="38" a="1"/>
  <c r="W4" i="38" a="1"/>
  <c r="I4" i="38" a="1"/>
  <c r="J4" i="38" a="1"/>
  <c r="B4" i="38" a="1"/>
  <c r="C2" i="38" l="1"/>
  <c r="V87" i="38"/>
  <c r="S90" i="38"/>
  <c r="W87" i="38"/>
  <c r="P82" i="38"/>
  <c r="H80" i="38"/>
  <c r="Z72" i="38"/>
  <c r="X69" i="38"/>
  <c r="M66" i="38"/>
  <c r="Z62" i="38"/>
  <c r="B57" i="38"/>
  <c r="P53" i="38"/>
  <c r="H52" i="38"/>
  <c r="V49" i="38"/>
  <c r="H45" i="38"/>
  <c r="R30" i="38"/>
  <c r="L91" i="38"/>
  <c r="N84" i="38"/>
  <c r="L81" i="38"/>
  <c r="AC75" i="38"/>
  <c r="AC73" i="38"/>
  <c r="G65" i="38"/>
  <c r="L60" i="38"/>
  <c r="G58" i="38"/>
  <c r="Z50" i="38"/>
  <c r="AC37" i="38"/>
  <c r="K90" i="38"/>
  <c r="I83" i="38"/>
  <c r="X74" i="38"/>
  <c r="Y72" i="38"/>
  <c r="AD64" i="38"/>
  <c r="Y62" i="38"/>
  <c r="AG56" i="38"/>
  <c r="H42" i="38"/>
  <c r="O39" i="38"/>
  <c r="L36" i="38"/>
  <c r="AF25" i="38"/>
  <c r="H18" i="38"/>
  <c r="AE11" i="38"/>
  <c r="S86" i="38"/>
  <c r="J83" i="38"/>
  <c r="B75" i="38"/>
  <c r="X71" i="38"/>
  <c r="B64" i="38"/>
  <c r="U60" i="38"/>
  <c r="J58" i="38"/>
  <c r="Z55" i="38"/>
  <c r="AE37" i="38"/>
  <c r="J35" i="38"/>
  <c r="AC28" i="38"/>
  <c r="S14" i="38"/>
  <c r="L7" i="38"/>
  <c r="Z88" i="38"/>
  <c r="AE76" i="38"/>
  <c r="O59" i="38"/>
  <c r="N53" i="38"/>
  <c r="J48" i="38"/>
  <c r="V43" i="38"/>
  <c r="P39" i="38"/>
  <c r="P36" i="38"/>
  <c r="W33" i="38"/>
  <c r="P30" i="38"/>
  <c r="M22" i="38"/>
  <c r="K20" i="38"/>
  <c r="B14" i="38"/>
  <c r="N12" i="38"/>
  <c r="L10" i="38"/>
  <c r="I7" i="38"/>
  <c r="R86" i="38"/>
  <c r="O69" i="38"/>
  <c r="AG63" i="38"/>
  <c r="Q61" i="38"/>
  <c r="Y55" i="38"/>
  <c r="AE34" i="38"/>
  <c r="H91" i="38"/>
  <c r="Q88" i="38"/>
  <c r="L84" i="38"/>
  <c r="B81" i="38"/>
  <c r="AD76" i="38"/>
  <c r="R70" i="38"/>
  <c r="I68" i="38"/>
  <c r="AB64" i="38"/>
  <c r="W63" i="38"/>
  <c r="K60" i="38"/>
  <c r="AD56" i="38"/>
  <c r="L53" i="38"/>
  <c r="B52" i="38"/>
  <c r="Y50" i="38"/>
  <c r="J49" i="38"/>
  <c r="AB47" i="38"/>
  <c r="AB37" i="38"/>
  <c r="AB34" i="38"/>
  <c r="L33" i="38"/>
  <c r="X31" i="38"/>
  <c r="O30" i="38"/>
  <c r="AF23" i="38"/>
  <c r="AD21" i="38"/>
  <c r="AD11" i="38"/>
  <c r="AF91" i="38"/>
  <c r="B91" i="38"/>
  <c r="J90" i="38"/>
  <c r="Q89" i="38"/>
  <c r="N88" i="38"/>
  <c r="K87" i="38"/>
  <c r="H86" i="38"/>
  <c r="H83" i="38"/>
  <c r="AC79" i="38"/>
  <c r="Y77" i="38"/>
  <c r="X75" i="38"/>
  <c r="W74" i="38"/>
  <c r="N72" i="38"/>
  <c r="L69" i="38"/>
  <c r="B66" i="38"/>
  <c r="P61" i="38"/>
  <c r="I60" i="38"/>
  <c r="AC57" i="38"/>
  <c r="X55" i="38"/>
  <c r="B53" i="38"/>
  <c r="J36" i="38"/>
  <c r="K33" i="38"/>
  <c r="Y28" i="38"/>
  <c r="AC25" i="38"/>
  <c r="AF13" i="38"/>
  <c r="AF90" i="38"/>
  <c r="B84" i="38"/>
  <c r="B82" i="38"/>
  <c r="AF80" i="38"/>
  <c r="R73" i="38"/>
  <c r="J71" i="38"/>
  <c r="AC66" i="38"/>
  <c r="Z64" i="38"/>
  <c r="O62" i="38"/>
  <c r="B59" i="38"/>
  <c r="I49" i="38"/>
  <c r="Z47" i="38"/>
  <c r="AG41" i="38"/>
  <c r="Q40" i="38"/>
  <c r="AD35" i="38"/>
  <c r="X34" i="38"/>
  <c r="W31" i="38"/>
  <c r="B30" i="38"/>
  <c r="L28" i="38"/>
  <c r="AC23" i="38"/>
  <c r="Q15" i="38"/>
  <c r="X91" i="38"/>
  <c r="I90" i="38"/>
  <c r="L88" i="38"/>
  <c r="J87" i="38"/>
  <c r="AD82" i="38"/>
  <c r="AD80" i="38"/>
  <c r="AB79" i="38"/>
  <c r="W77" i="38"/>
  <c r="O75" i="38"/>
  <c r="M74" i="38"/>
  <c r="M72" i="38"/>
  <c r="AF58" i="38"/>
  <c r="AB57" i="38"/>
  <c r="L55" i="38"/>
  <c r="AG52" i="38"/>
  <c r="L50" i="38"/>
  <c r="O40" i="38"/>
  <c r="O37" i="38"/>
  <c r="J33" i="38"/>
  <c r="AD29" i="38"/>
  <c r="O25" i="38"/>
  <c r="X21" i="38"/>
  <c r="P15" i="38"/>
  <c r="R6" i="38"/>
  <c r="W91" i="38"/>
  <c r="AE90" i="38"/>
  <c r="AG83" i="38"/>
  <c r="W80" i="38"/>
  <c r="I73" i="38"/>
  <c r="I71" i="38"/>
  <c r="AB66" i="38"/>
  <c r="R63" i="38"/>
  <c r="M62" i="38"/>
  <c r="AD59" i="38"/>
  <c r="AC35" i="38"/>
  <c r="J23" i="38"/>
  <c r="R9" i="38"/>
  <c r="AG89" i="38"/>
  <c r="AB84" i="38"/>
  <c r="AC82" i="38"/>
  <c r="N77" i="38"/>
  <c r="N75" i="38"/>
  <c r="B69" i="38"/>
  <c r="X65" i="38"/>
  <c r="P64" i="38"/>
  <c r="K55" i="38"/>
  <c r="AF52" i="38"/>
  <c r="AB48" i="38"/>
  <c r="O47" i="38"/>
  <c r="AB45" i="38"/>
  <c r="N37" i="38"/>
  <c r="J34" i="38"/>
  <c r="J25" i="38"/>
  <c r="O6" i="38"/>
  <c r="AD90" i="38"/>
  <c r="Z84" i="38"/>
  <c r="X83" i="38"/>
  <c r="X81" i="38"/>
  <c r="I76" i="38"/>
  <c r="J74" i="38"/>
  <c r="AF70" i="38"/>
  <c r="B62" i="38"/>
  <c r="AC59" i="38"/>
  <c r="N57" i="38"/>
  <c r="I56" i="38"/>
  <c r="AE53" i="38"/>
  <c r="Z48" i="38"/>
  <c r="J44" i="38"/>
  <c r="AG39" i="38"/>
  <c r="R38" i="38"/>
  <c r="B11" i="38"/>
  <c r="AF89" i="38"/>
  <c r="B88" i="38"/>
  <c r="AE86" i="38"/>
  <c r="Q79" i="38"/>
  <c r="M77" i="38"/>
  <c r="Z69" i="38"/>
  <c r="O64" i="38"/>
  <c r="AE61" i="38"/>
  <c r="AD53" i="38"/>
  <c r="X48" i="38"/>
  <c r="L47" i="38"/>
  <c r="I44" i="38"/>
  <c r="AE36" i="38"/>
  <c r="I34" i="38"/>
  <c r="Z24" i="38"/>
  <c r="AB18" i="38"/>
  <c r="Z16" i="38"/>
  <c r="X14" i="38"/>
  <c r="AG7" i="38"/>
  <c r="AB88" i="38"/>
  <c r="W83" i="38"/>
  <c r="N81" i="38"/>
  <c r="N79" i="38"/>
  <c r="AE73" i="38"/>
  <c r="AC70" i="38"/>
  <c r="L57" i="38"/>
  <c r="I51" i="38"/>
  <c r="J47" i="38"/>
  <c r="W42" i="38"/>
  <c r="AF39" i="38"/>
  <c r="L35" i="38"/>
  <c r="AC33" i="38"/>
  <c r="AG30" i="38"/>
  <c r="AG10" i="38"/>
  <c r="AE7" i="38"/>
  <c r="AB5" i="38"/>
  <c r="AB89" i="38"/>
  <c r="X87" i="38"/>
  <c r="AC86" i="38"/>
  <c r="Q82" i="38"/>
  <c r="I80" i="38"/>
  <c r="AG71" i="38"/>
  <c r="O66" i="38"/>
  <c r="K65" i="38"/>
  <c r="AD61" i="38"/>
  <c r="R59" i="38"/>
  <c r="K58" i="38"/>
  <c r="R52" i="38"/>
  <c r="M38" i="38"/>
  <c r="AD36" i="38"/>
  <c r="Z33" i="38"/>
  <c r="J29" i="38"/>
  <c r="X24" i="38"/>
  <c r="W22" i="38"/>
  <c r="N20" i="38"/>
  <c r="X16" i="38"/>
  <c r="M91" i="38"/>
  <c r="O84" i="38"/>
  <c r="M81" i="38"/>
  <c r="AD73" i="38"/>
  <c r="AB70" i="38"/>
  <c r="AC62" i="38"/>
  <c r="P59" i="38"/>
  <c r="Q53" i="38"/>
  <c r="K48" i="38"/>
  <c r="B44" i="38"/>
  <c r="Q39" i="38"/>
  <c r="K35" i="38"/>
  <c r="O22" i="38"/>
  <c r="J18" i="38"/>
  <c r="O12" i="38"/>
  <c r="N10" i="38"/>
  <c r="X88" i="38"/>
  <c r="AF87" i="38"/>
  <c r="Q86" i="38"/>
  <c r="W84" i="38"/>
  <c r="AF83" i="38"/>
  <c r="R83" i="38"/>
  <c r="N82" i="38"/>
  <c r="W81" i="38"/>
  <c r="Q80" i="38"/>
  <c r="M79" i="38"/>
  <c r="Q76" i="38"/>
  <c r="M75" i="38"/>
  <c r="Q73" i="38"/>
  <c r="L72" i="38"/>
  <c r="B70" i="38"/>
  <c r="K69" i="38"/>
  <c r="AD68" i="38"/>
  <c r="X66" i="38"/>
  <c r="AG65" i="38"/>
  <c r="N64" i="38"/>
  <c r="AD63" i="38"/>
  <c r="X62" i="38"/>
  <c r="I62" i="38"/>
  <c r="AC61" i="38"/>
  <c r="AB59" i="38"/>
  <c r="M59" i="38"/>
  <c r="W57" i="38"/>
  <c r="K57" i="38"/>
  <c r="J55" i="38"/>
  <c r="Z53" i="38"/>
  <c r="AG51" i="38"/>
  <c r="B43" i="38"/>
  <c r="O41" i="38"/>
  <c r="AG40" i="38"/>
  <c r="AD39" i="38"/>
  <c r="AC38" i="38"/>
  <c r="L38" i="38"/>
  <c r="K37" i="38"/>
  <c r="AD30" i="38"/>
  <c r="Z29" i="38"/>
  <c r="O24" i="38"/>
  <c r="L22" i="38"/>
  <c r="AC20" i="38"/>
  <c r="I20" i="38"/>
  <c r="Q14" i="38"/>
  <c r="N6" i="38"/>
  <c r="AE91" i="38"/>
  <c r="R90" i="38"/>
  <c r="P89" i="38"/>
  <c r="AD83" i="38"/>
  <c r="AG81" i="38"/>
  <c r="J81" i="38"/>
  <c r="AC80" i="38"/>
  <c r="X79" i="38"/>
  <c r="AG77" i="38"/>
  <c r="AC76" i="38"/>
  <c r="W75" i="38"/>
  <c r="AF74" i="38"/>
  <c r="AB73" i="38"/>
  <c r="R71" i="38"/>
  <c r="M70" i="38"/>
  <c r="W69" i="38"/>
  <c r="Q68" i="38"/>
  <c r="R65" i="38"/>
  <c r="P63" i="38"/>
  <c r="O61" i="38"/>
  <c r="AF60" i="38"/>
  <c r="AE58" i="38"/>
  <c r="AC56" i="38"/>
  <c r="N56" i="38"/>
  <c r="B56" i="38"/>
  <c r="AE52" i="38"/>
  <c r="N52" i="38"/>
  <c r="R50" i="38"/>
  <c r="X47" i="38"/>
  <c r="R44" i="38"/>
  <c r="AG43" i="38"/>
  <c r="R43" i="38"/>
  <c r="N42" i="38"/>
  <c r="AE41" i="38"/>
  <c r="N41" i="38"/>
  <c r="AF40" i="38"/>
  <c r="M40" i="38"/>
  <c r="AC39" i="38"/>
  <c r="N39" i="38"/>
  <c r="J38" i="38"/>
  <c r="W35" i="38"/>
  <c r="I35" i="38"/>
  <c r="W34" i="38"/>
  <c r="O31" i="38"/>
  <c r="M30" i="38"/>
  <c r="AG26" i="38"/>
  <c r="N19" i="38"/>
  <c r="X18" i="38"/>
  <c r="I17" i="38"/>
  <c r="AB15" i="38"/>
  <c r="AC10" i="38"/>
  <c r="Q9" i="38"/>
  <c r="B7" i="38"/>
  <c r="AD91" i="38"/>
  <c r="AC90" i="38"/>
  <c r="W88" i="38"/>
  <c r="AE87" i="38"/>
  <c r="Q87" i="38"/>
  <c r="O86" i="38"/>
  <c r="Q83" i="38"/>
  <c r="M82" i="38"/>
  <c r="P80" i="38"/>
  <c r="P76" i="38"/>
  <c r="B73" i="38"/>
  <c r="AC71" i="38"/>
  <c r="AG69" i="38"/>
  <c r="AB68" i="38"/>
  <c r="W66" i="38"/>
  <c r="AF65" i="38"/>
  <c r="X64" i="38"/>
  <c r="AC63" i="38"/>
  <c r="B63" i="38"/>
  <c r="AB61" i="38"/>
  <c r="J57" i="38"/>
  <c r="I55" i="38"/>
  <c r="AB52" i="38"/>
  <c r="M52" i="38"/>
  <c r="AG50" i="38"/>
  <c r="B49" i="38"/>
  <c r="P44" i="38"/>
  <c r="AG42" i="38"/>
  <c r="J37" i="38"/>
  <c r="B32" i="38"/>
  <c r="AB30" i="38"/>
  <c r="Q28" i="38"/>
  <c r="AF26" i="38"/>
  <c r="N24" i="38"/>
  <c r="X23" i="38"/>
  <c r="AE22" i="38"/>
  <c r="AG17" i="38"/>
  <c r="R11" i="38"/>
  <c r="W7" i="38"/>
  <c r="Q5" i="38"/>
  <c r="Q91" i="38"/>
  <c r="Q90" i="38"/>
  <c r="O89" i="38"/>
  <c r="AG88" i="38"/>
  <c r="J88" i="38"/>
  <c r="AG84" i="38"/>
  <c r="I84" i="38"/>
  <c r="W82" i="38"/>
  <c r="AF81" i="38"/>
  <c r="AF77" i="38"/>
  <c r="R77" i="38"/>
  <c r="R74" i="38"/>
  <c r="Q71" i="38"/>
  <c r="P68" i="38"/>
  <c r="J66" i="38"/>
  <c r="Q65" i="38"/>
  <c r="O63" i="38"/>
  <c r="N61" i="38"/>
  <c r="AE60" i="38"/>
  <c r="AC58" i="38"/>
  <c r="R58" i="38"/>
  <c r="AG55" i="38"/>
  <c r="J53" i="38"/>
  <c r="AD51" i="38"/>
  <c r="O51" i="38"/>
  <c r="Q50" i="38"/>
  <c r="R47" i="38"/>
  <c r="R45" i="38"/>
  <c r="AE43" i="38"/>
  <c r="Q43" i="38"/>
  <c r="AD41" i="38"/>
  <c r="I38" i="38"/>
  <c r="Q32" i="38"/>
  <c r="AG31" i="38"/>
  <c r="N31" i="38"/>
  <c r="B25" i="38"/>
  <c r="J22" i="38"/>
  <c r="J19" i="38"/>
  <c r="W18" i="38"/>
  <c r="P16" i="38"/>
  <c r="W10" i="38"/>
  <c r="AF9" i="38"/>
  <c r="AF6" i="38"/>
  <c r="N29" i="38"/>
  <c r="AC11" i="38"/>
  <c r="AC91" i="38"/>
  <c r="P91" i="38"/>
  <c r="O90" i="38"/>
  <c r="AD87" i="38"/>
  <c r="P87" i="38"/>
  <c r="P83" i="38"/>
  <c r="J82" i="38"/>
  <c r="O80" i="38"/>
  <c r="AG79" i="38"/>
  <c r="AG75" i="38"/>
  <c r="J75" i="38"/>
  <c r="AG72" i="38"/>
  <c r="W70" i="38"/>
  <c r="AF69" i="38"/>
  <c r="W64" i="38"/>
  <c r="AG62" i="38"/>
  <c r="R62" i="38"/>
  <c r="Q60" i="38"/>
  <c r="J59" i="38"/>
  <c r="O58" i="38"/>
  <c r="I57" i="38"/>
  <c r="I53" i="38"/>
  <c r="AE50" i="38"/>
  <c r="AF49" i="38"/>
  <c r="AG48" i="38"/>
  <c r="AD44" i="38"/>
  <c r="O44" i="38"/>
  <c r="N43" i="38"/>
  <c r="AC42" i="38"/>
  <c r="J40" i="38"/>
  <c r="X38" i="38"/>
  <c r="B35" i="38"/>
  <c r="O33" i="38"/>
  <c r="B33" i="38"/>
  <c r="AF28" i="38"/>
  <c r="P28" i="38"/>
  <c r="AE26" i="38"/>
  <c r="AD24" i="38"/>
  <c r="W23" i="38"/>
  <c r="N21" i="38"/>
  <c r="W15" i="38"/>
  <c r="I14" i="38"/>
  <c r="O11" i="38"/>
  <c r="AF88" i="38"/>
  <c r="I88" i="38"/>
  <c r="AF84" i="38"/>
  <c r="AE81" i="38"/>
  <c r="Q81" i="38"/>
  <c r="P77" i="38"/>
  <c r="P74" i="38"/>
  <c r="P71" i="38"/>
  <c r="O68" i="38"/>
  <c r="AF66" i="38"/>
  <c r="I66" i="38"/>
  <c r="O65" i="38"/>
  <c r="N63" i="38"/>
  <c r="AE62" i="38"/>
  <c r="X61" i="38"/>
  <c r="I61" i="38"/>
  <c r="AD60" i="38"/>
  <c r="AG57" i="38"/>
  <c r="AF55" i="38"/>
  <c r="J52" i="38"/>
  <c r="AC51" i="38"/>
  <c r="N50" i="38"/>
  <c r="P49" i="38"/>
  <c r="Q48" i="38"/>
  <c r="Q47" i="38"/>
  <c r="AE45" i="38"/>
  <c r="P45" i="38"/>
  <c r="AD43" i="38"/>
  <c r="B34" i="38"/>
  <c r="P32" i="38"/>
  <c r="AE28" i="38"/>
  <c r="J26" i="38"/>
  <c r="W25" i="38"/>
  <c r="Q23" i="38"/>
  <c r="X20" i="38"/>
  <c r="AE19" i="38"/>
  <c r="Q13" i="38"/>
  <c r="X12" i="38"/>
  <c r="AG11" i="38"/>
  <c r="AE9" i="38"/>
  <c r="Q7" i="38"/>
  <c r="AD6" i="38"/>
  <c r="N5" i="38"/>
  <c r="O91" i="38"/>
  <c r="N90" i="38"/>
  <c r="X89" i="38"/>
  <c r="J89" i="38"/>
  <c r="O87" i="38"/>
  <c r="O83" i="38"/>
  <c r="AG82" i="38"/>
  <c r="I82" i="38"/>
  <c r="N80" i="38"/>
  <c r="AF79" i="38"/>
  <c r="AE75" i="38"/>
  <c r="AE72" i="38"/>
  <c r="AE69" i="38"/>
  <c r="Q69" i="38"/>
  <c r="AG64" i="38"/>
  <c r="R64" i="38"/>
  <c r="Q62" i="38"/>
  <c r="P60" i="38"/>
  <c r="AF59" i="38"/>
  <c r="AE57" i="38"/>
  <c r="AD55" i="38"/>
  <c r="X52" i="38"/>
  <c r="AD49" i="38"/>
  <c r="AF48" i="38"/>
  <c r="AF47" i="38"/>
  <c r="AC44" i="38"/>
  <c r="J43" i="38"/>
  <c r="J42" i="38"/>
  <c r="J41" i="38"/>
  <c r="X40" i="38"/>
  <c r="W38" i="38"/>
  <c r="R35" i="38"/>
  <c r="AG34" i="38"/>
  <c r="R34" i="38"/>
  <c r="N33" i="38"/>
  <c r="AE32" i="38"/>
  <c r="O32" i="38"/>
  <c r="J31" i="38"/>
  <c r="O28" i="38"/>
  <c r="I26" i="38"/>
  <c r="AC24" i="38"/>
  <c r="W20" i="38"/>
  <c r="Q18" i="38"/>
  <c r="AG14" i="38"/>
  <c r="N11" i="38"/>
  <c r="B90" i="38"/>
  <c r="AE88" i="38"/>
  <c r="J86" i="38"/>
  <c r="AD84" i="38"/>
  <c r="P84" i="38"/>
  <c r="AD81" i="38"/>
  <c r="P81" i="38"/>
  <c r="X80" i="38"/>
  <c r="O77" i="38"/>
  <c r="N74" i="38"/>
  <c r="J73" i="38"/>
  <c r="N71" i="38"/>
  <c r="AG70" i="38"/>
  <c r="I70" i="38"/>
  <c r="AE66" i="38"/>
  <c r="N65" i="38"/>
  <c r="AD62" i="38"/>
  <c r="P55" i="38"/>
  <c r="I52" i="38"/>
  <c r="O48" i="38"/>
  <c r="AC47" i="38"/>
  <c r="P47" i="38"/>
  <c r="AD45" i="38"/>
  <c r="AC43" i="38"/>
  <c r="B36" i="38"/>
  <c r="Q35" i="38"/>
  <c r="AD33" i="38"/>
  <c r="AD28" i="38"/>
  <c r="AC19" i="38"/>
  <c r="I16" i="38"/>
  <c r="P13" i="38"/>
  <c r="AF11" i="38"/>
  <c r="AC9" i="38"/>
  <c r="N91" i="38"/>
  <c r="W90" i="38"/>
  <c r="W89" i="38"/>
  <c r="I89" i="38"/>
  <c r="N87" i="38"/>
  <c r="B87" i="38"/>
  <c r="AE82" i="38"/>
  <c r="AE79" i="38"/>
  <c r="AD75" i="38"/>
  <c r="AC72" i="38"/>
  <c r="Q72" i="38"/>
  <c r="P69" i="38"/>
  <c r="X68" i="38"/>
  <c r="J68" i="38"/>
  <c r="AF64" i="38"/>
  <c r="Q64" i="38"/>
  <c r="P62" i="38"/>
  <c r="N60" i="38"/>
  <c r="AE59" i="38"/>
  <c r="AD57" i="38"/>
  <c r="AC55" i="38"/>
  <c r="B55" i="38"/>
  <c r="W52" i="38"/>
  <c r="W51" i="38"/>
  <c r="J51" i="38"/>
  <c r="AC48" i="38"/>
  <c r="J45" i="38"/>
  <c r="I43" i="38"/>
  <c r="X42" i="38"/>
  <c r="I42" i="38"/>
  <c r="W40" i="38"/>
  <c r="AF36" i="38"/>
  <c r="Q36" i="38"/>
  <c r="AF34" i="38"/>
  <c r="AD32" i="38"/>
  <c r="J32" i="38"/>
  <c r="O29" i="38"/>
  <c r="W26" i="38"/>
  <c r="P25" i="38"/>
  <c r="X22" i="38"/>
  <c r="AF21" i="38"/>
  <c r="I21" i="38"/>
  <c r="O10" i="38"/>
  <c r="B9" i="38"/>
  <c r="B6" i="38"/>
  <c r="X28" i="38"/>
  <c r="I28" i="38"/>
  <c r="B26" i="38"/>
  <c r="W24" i="38"/>
  <c r="AF17" i="38"/>
  <c r="O16" i="38"/>
  <c r="AD15" i="38"/>
  <c r="N13" i="38"/>
  <c r="AC6" i="38"/>
  <c r="AE89" i="38"/>
  <c r="X86" i="38"/>
  <c r="N86" i="38"/>
  <c r="X76" i="38"/>
  <c r="AE74" i="38"/>
  <c r="J72" i="38"/>
  <c r="AF71" i="38"/>
  <c r="P70" i="38"/>
  <c r="AC69" i="38"/>
  <c r="J69" i="38"/>
  <c r="W68" i="38"/>
  <c r="N68" i="38"/>
  <c r="Q66" i="38"/>
  <c r="AE65" i="38"/>
  <c r="J65" i="38"/>
  <c r="J64" i="38"/>
  <c r="W62" i="38"/>
  <c r="W61" i="38"/>
  <c r="X60" i="38"/>
  <c r="X59" i="38"/>
  <c r="Q57" i="38"/>
  <c r="Q52" i="38"/>
  <c r="N51" i="38"/>
  <c r="W50" i="38"/>
  <c r="J50" i="38"/>
  <c r="W47" i="38"/>
  <c r="I47" i="38"/>
  <c r="AF44" i="38"/>
  <c r="X39" i="38"/>
  <c r="Q38" i="38"/>
  <c r="AC36" i="38"/>
  <c r="AF31" i="38"/>
  <c r="Q31" i="38"/>
  <c r="AC29" i="38"/>
  <c r="B22" i="38"/>
  <c r="P18" i="38"/>
  <c r="I10" i="38"/>
  <c r="I9" i="38"/>
  <c r="I6" i="38"/>
  <c r="J91" i="38"/>
  <c r="B89" i="38"/>
  <c r="I87" i="38"/>
  <c r="B83" i="38"/>
  <c r="X82" i="38"/>
  <c r="I81" i="38"/>
  <c r="AF63" i="38"/>
  <c r="AF62" i="38"/>
  <c r="N59" i="38"/>
  <c r="N58" i="38"/>
  <c r="AC53" i="38"/>
  <c r="B51" i="38"/>
  <c r="AC49" i="38"/>
  <c r="AF42" i="38"/>
  <c r="W41" i="38"/>
  <c r="AF35" i="38"/>
  <c r="AF33" i="38"/>
  <c r="X30" i="38"/>
  <c r="J30" i="38"/>
  <c r="Q29" i="38"/>
  <c r="Q22" i="38"/>
  <c r="AF19" i="38"/>
  <c r="AC15" i="38"/>
  <c r="I11" i="38"/>
  <c r="X5" i="38"/>
  <c r="I91" i="38"/>
  <c r="X90" i="38"/>
  <c r="AC77" i="38"/>
  <c r="I77" i="38"/>
  <c r="W76" i="38"/>
  <c r="W73" i="38"/>
  <c r="N73" i="38"/>
  <c r="I69" i="38"/>
  <c r="I64" i="38"/>
  <c r="I63" i="38"/>
  <c r="J62" i="38"/>
  <c r="W60" i="38"/>
  <c r="W59" i="38"/>
  <c r="X58" i="38"/>
  <c r="I50" i="38"/>
  <c r="X43" i="38"/>
  <c r="W39" i="38"/>
  <c r="N38" i="38"/>
  <c r="X32" i="38"/>
  <c r="W30" i="38"/>
  <c r="I30" i="38"/>
  <c r="AC17" i="38"/>
  <c r="I15" i="38"/>
  <c r="I13" i="38"/>
  <c r="X7" i="38"/>
  <c r="J7" i="38"/>
  <c r="N45" i="38"/>
  <c r="AC41" i="38"/>
  <c r="I40" i="38"/>
  <c r="W37" i="38"/>
  <c r="X36" i="38"/>
  <c r="AC32" i="38"/>
  <c r="I32" i="38"/>
  <c r="W29" i="38"/>
  <c r="N28" i="38"/>
  <c r="I22" i="38"/>
  <c r="N15" i="38"/>
  <c r="X11" i="38"/>
  <c r="N89" i="38"/>
  <c r="AC87" i="38"/>
  <c r="AC84" i="38"/>
  <c r="AC83" i="38"/>
  <c r="J79" i="38"/>
  <c r="J76" i="38"/>
  <c r="N66" i="38"/>
  <c r="AC65" i="38"/>
  <c r="J61" i="38"/>
  <c r="J60" i="38"/>
  <c r="X57" i="38"/>
  <c r="N49" i="38"/>
  <c r="X44" i="38"/>
  <c r="AC40" i="38"/>
  <c r="J80" i="38"/>
  <c r="X73" i="38"/>
  <c r="X72" i="38"/>
  <c r="N70" i="38"/>
  <c r="AC68" i="38"/>
  <c r="AC64" i="38"/>
  <c r="X53" i="38"/>
  <c r="AC52" i="38"/>
  <c r="X49" i="38"/>
  <c r="N44" i="38"/>
  <c r="N36" i="38"/>
  <c r="AC89" i="38"/>
  <c r="N35" i="38"/>
  <c r="N83" i="38"/>
  <c r="AC81" i="38"/>
  <c r="AC88" i="38"/>
  <c r="J4" i="38"/>
  <c r="I4" i="38"/>
  <c r="W4" i="38"/>
  <c r="X4" i="38"/>
  <c r="H4" i="38"/>
  <c r="Y4" i="38"/>
  <c r="K4" i="38"/>
  <c r="Z4" i="38"/>
  <c r="L4" i="38"/>
  <c r="M4" i="38"/>
  <c r="AB4" i="38"/>
  <c r="AE4" i="38"/>
  <c r="Q4" i="38"/>
  <c r="AF4" i="38"/>
  <c r="R4" i="38"/>
  <c r="AD4" i="38"/>
  <c r="P4" i="38"/>
  <c r="AC4" i="38"/>
  <c r="V4" i="38"/>
  <c r="O4" i="38"/>
  <c r="U4" i="38"/>
  <c r="N4" i="38"/>
  <c r="G4" i="38"/>
  <c r="T4" i="38"/>
  <c r="F4" i="38"/>
  <c r="AG4" i="38"/>
  <c r="S4" i="38"/>
  <c r="E4" i="38"/>
  <c r="B4" i="38"/>
  <c r="A3" i="38"/>
  <c r="AA2" i="38"/>
  <c r="D2" i="38"/>
  <c r="C4" i="38" a="1"/>
  <c r="C41" i="38" a="1"/>
  <c r="C66" i="38" a="1"/>
  <c r="C79" i="38" a="1"/>
  <c r="C42" i="38" a="1"/>
  <c r="C7" i="38" a="1"/>
  <c r="C39" i="38" a="1"/>
  <c r="C30" i="38" a="1"/>
  <c r="C69" i="38" a="1"/>
  <c r="C11" i="38" a="1"/>
  <c r="C88" i="38" a="1"/>
  <c r="C43" i="38" a="1"/>
  <c r="C31" i="38" a="1"/>
  <c r="C72" i="38" a="1"/>
  <c r="C75" i="38" a="1"/>
  <c r="C64" i="38" a="1"/>
  <c r="C73" i="38" a="1"/>
  <c r="C51" i="38" a="1"/>
  <c r="C13" i="38" a="1"/>
  <c r="C89" i="38" a="1"/>
  <c r="C76" i="38" a="1"/>
  <c r="C33" i="38" a="1"/>
  <c r="C58" i="38" a="1"/>
  <c r="C50" i="38" a="1"/>
  <c r="C20" i="38" a="1"/>
  <c r="C65" i="38" a="1"/>
  <c r="C47" i="38" a="1"/>
  <c r="C15" i="38" a="1"/>
  <c r="C12" i="38" a="1"/>
  <c r="C90" i="38" a="1"/>
  <c r="C83" i="38" a="1"/>
  <c r="C48" i="38" a="1"/>
  <c r="C87" i="38" a="1"/>
  <c r="C55" i="38" a="1"/>
  <c r="C22" i="38" a="1"/>
  <c r="C6" i="38" a="1"/>
  <c r="C14" i="38" a="1"/>
  <c r="E40" i="38" a="1"/>
  <c r="E34" i="38" a="1"/>
  <c r="E52" i="38" a="1"/>
  <c r="E37" i="38" a="1"/>
  <c r="E63" i="38" a="1"/>
  <c r="T53" i="38" a="1"/>
  <c r="T86" i="38" a="1"/>
  <c r="T25" i="38" a="1"/>
  <c r="T62" i="38" a="1"/>
  <c r="F18" i="38" a="1"/>
  <c r="F57" i="38" a="1"/>
  <c r="F34" i="38" a="1"/>
  <c r="F38" i="38" a="1"/>
  <c r="F35" i="38" a="1"/>
  <c r="S20" i="38" a="1"/>
  <c r="S39" i="38" a="1"/>
  <c r="S18" i="38" a="1"/>
  <c r="S38" i="38" a="1"/>
  <c r="S45" i="38" a="1"/>
  <c r="G30" i="38" a="1"/>
  <c r="G20" i="38" a="1"/>
  <c r="G75" i="38" a="1"/>
  <c r="G17" i="38" a="1"/>
  <c r="U9" i="38" a="1"/>
  <c r="U31" i="38" a="1"/>
  <c r="U68" i="38" a="1"/>
  <c r="U12" i="38" a="1"/>
  <c r="U66" i="38" a="1"/>
  <c r="T61" i="38" a="1"/>
  <c r="V42" i="38" a="1"/>
  <c r="V60" i="38" a="1"/>
  <c r="V86" i="38" a="1"/>
  <c r="V82" i="38" a="1"/>
  <c r="V77" i="38" a="1"/>
  <c r="T17" i="38" a="1"/>
  <c r="H30" i="38" a="1"/>
  <c r="H73" i="38" a="1"/>
  <c r="H37" i="38" a="1"/>
  <c r="H62" i="38" a="1"/>
  <c r="Y24" i="38" a="1"/>
  <c r="Y35" i="38" a="1"/>
  <c r="Y79" i="38" a="1"/>
  <c r="Y91" i="38" a="1"/>
  <c r="Y64" i="38" a="1"/>
  <c r="V51" i="38" a="1"/>
  <c r="V44" i="38" a="1"/>
  <c r="F28" i="38" a="1"/>
  <c r="S52" i="38" a="1"/>
  <c r="Y69" i="38" a="1"/>
  <c r="K22" i="38" a="1"/>
  <c r="K31" i="38" a="1"/>
  <c r="K50" i="38" a="1"/>
  <c r="K43" i="38" a="1"/>
  <c r="Z36" i="38" a="1"/>
  <c r="Z51" i="38" a="1"/>
  <c r="Z52" i="38" a="1"/>
  <c r="L15" i="38" a="1"/>
  <c r="L73" i="38" a="1"/>
  <c r="L32" i="38" a="1"/>
  <c r="K59" i="38" a="1"/>
  <c r="M35" i="38" a="1"/>
  <c r="M65" i="38" a="1"/>
  <c r="M51" i="38" a="1"/>
  <c r="AB25" i="38" a="1"/>
  <c r="AB55" i="38" a="1"/>
  <c r="AB29" i="38" a="1"/>
  <c r="L70" i="38" a="1"/>
  <c r="AB74" i="38" a="1"/>
  <c r="Z63" i="38" a="1"/>
  <c r="L51" i="38" a="1"/>
  <c r="L44" i="38" a="1"/>
  <c r="C40" i="38" a="1"/>
  <c r="C91" i="38" a="1"/>
  <c r="C80" i="38" a="1"/>
  <c r="R40" i="38" a="1"/>
  <c r="R60" i="38" a="1"/>
  <c r="R84" i="38" a="1"/>
  <c r="AG5" i="38" a="1"/>
  <c r="AG80" i="38" a="1"/>
  <c r="AG47" i="38" a="1"/>
  <c r="Z77" i="38" a="1"/>
  <c r="M23" i="38" a="1"/>
  <c r="O5" i="38" a="1"/>
  <c r="O26" i="38" a="1"/>
  <c r="AD38" i="38" a="1"/>
  <c r="AD14" i="38" a="1"/>
  <c r="P5" i="38" a="1"/>
  <c r="P11" i="38" a="1"/>
  <c r="P43" i="38" a="1"/>
  <c r="AE14" i="38" a="1"/>
  <c r="AE16" i="38" a="1"/>
  <c r="AE64" i="38" a="1"/>
  <c r="B15" i="38" a="1"/>
  <c r="B79" i="38" a="1"/>
  <c r="Q10" i="38" a="1"/>
  <c r="Q6" i="38" a="1"/>
  <c r="Q42" i="38" a="1"/>
  <c r="AF43" i="38" a="1"/>
  <c r="AF10" i="38" a="1"/>
  <c r="P66" i="38" a="1"/>
  <c r="I5" i="38" a="1"/>
  <c r="I58" i="38" a="1"/>
  <c r="W48" i="38" a="1"/>
  <c r="I74" i="38" a="1"/>
  <c r="J6" i="38" a="1"/>
  <c r="X37" i="38" a="1"/>
  <c r="W44" i="38" a="1"/>
  <c r="N62" i="38" a="1"/>
  <c r="N14" i="38" a="1"/>
  <c r="AC13" i="38" a="1"/>
  <c r="AB40" i="38" a="1"/>
  <c r="M49" i="38" a="1"/>
  <c r="Z22" i="38" a="1"/>
  <c r="C52" i="38" a="1"/>
  <c r="C61" i="38" a="1"/>
  <c r="R51" i="38" a="1"/>
  <c r="R76" i="38" a="1"/>
  <c r="AG9" i="38" a="1"/>
  <c r="AG87" i="38" a="1"/>
  <c r="AG60" i="38" a="1"/>
  <c r="Z74" i="38" a="1"/>
  <c r="M7" i="38" a="1"/>
  <c r="O53" i="38" a="1"/>
  <c r="AD42" i="38" a="1"/>
  <c r="AD31" i="38" a="1"/>
  <c r="P12" i="38" a="1"/>
  <c r="P20" i="38" a="1"/>
  <c r="P57" i="38" a="1"/>
  <c r="AE39" i="38" a="1"/>
  <c r="O57" i="38" a="1"/>
  <c r="B23" i="38" a="1"/>
  <c r="B86" i="38" a="1"/>
  <c r="Q17" i="38" a="1"/>
  <c r="Q26" i="38" a="1"/>
  <c r="AF15" i="38" a="1"/>
  <c r="AF50" i="38" a="1"/>
  <c r="P56" i="38" a="1"/>
  <c r="I12" i="38" a="1"/>
  <c r="I65" i="38" a="1"/>
  <c r="W32" i="38" a="1"/>
  <c r="I59" i="38" a="1"/>
  <c r="J13" i="38" a="1"/>
  <c r="X41" i="38" a="1"/>
  <c r="I39" i="38" a="1"/>
  <c r="AC60" i="38" a="1"/>
  <c r="N17" i="38" a="1"/>
  <c r="AF22" i="38" a="1"/>
  <c r="AF38" i="38" a="1"/>
  <c r="Q55" i="38" a="1"/>
  <c r="I72" i="38" a="1"/>
  <c r="W43" i="38" a="1"/>
  <c r="W56" i="38" a="1"/>
  <c r="J39" i="38" a="1"/>
  <c r="X45" i="38" a="1"/>
  <c r="N55" i="38" a="1"/>
  <c r="N26" i="38" a="1"/>
  <c r="I79" i="38" a="1"/>
  <c r="W86" i="38" a="1"/>
  <c r="J14" i="38" a="1"/>
  <c r="X26" i="38" a="1"/>
  <c r="N48" i="38" a="1"/>
  <c r="N30" i="38" a="1"/>
  <c r="E53" i="38" a="1"/>
  <c r="E69" i="38" a="1"/>
  <c r="E23" i="38" a="1"/>
  <c r="E38" i="38" a="1"/>
  <c r="E28" i="38" a="1"/>
  <c r="T14" i="38" a="1"/>
  <c r="T20" i="38" a="1"/>
  <c r="T59" i="38" a="1"/>
  <c r="T69" i="38" a="1"/>
  <c r="F7" i="38" a="1"/>
  <c r="F64" i="38" a="1"/>
  <c r="F44" i="38" a="1"/>
  <c r="F69" i="38" a="1"/>
  <c r="F60" i="38" a="1"/>
  <c r="S15" i="38" a="1"/>
  <c r="S59" i="38" a="1"/>
  <c r="S33" i="38" a="1"/>
  <c r="S53" i="38" a="1"/>
  <c r="S58" i="38" a="1"/>
  <c r="G34" i="38" a="1"/>
  <c r="G51" i="38" a="1"/>
  <c r="G90" i="38" a="1"/>
  <c r="G36" i="38" a="1"/>
  <c r="U16" i="38" a="1"/>
  <c r="U45" i="38" a="1"/>
  <c r="U87" i="38" a="1"/>
  <c r="U20" i="38" a="1"/>
  <c r="U13" i="38" a="1"/>
  <c r="F52" i="38" a="1"/>
  <c r="V15" i="38" a="1"/>
  <c r="V74" i="38" a="1"/>
  <c r="V80" i="38" a="1"/>
  <c r="V53" i="38" a="1"/>
  <c r="S89" i="38" a="1"/>
  <c r="H7" i="38" a="1"/>
  <c r="H33" i="38" a="1"/>
  <c r="H32" i="38" a="1"/>
  <c r="H53" i="38" a="1"/>
  <c r="H34" i="38" a="1"/>
  <c r="Y14" i="38" a="1"/>
  <c r="Y43" i="38" a="1"/>
  <c r="Y88" i="38" a="1"/>
  <c r="Y56" i="38" a="1"/>
  <c r="T76" i="38" a="1"/>
  <c r="H43" i="38" a="1"/>
  <c r="F40" i="38" a="1"/>
  <c r="V91" i="38" a="1"/>
  <c r="E50" i="38" a="1"/>
  <c r="F63" i="38" a="1"/>
  <c r="K11" i="38" a="1"/>
  <c r="K61" i="38" a="1"/>
  <c r="K62" i="38" a="1"/>
  <c r="K83" i="38" a="1"/>
  <c r="Z49" i="38" a="1"/>
  <c r="Z23" i="38" a="1"/>
  <c r="Z57" i="38" a="1"/>
  <c r="L19" i="38" a="1"/>
  <c r="L80" i="38" a="1"/>
  <c r="L62" i="38" a="1"/>
  <c r="Z38" i="38" a="1"/>
  <c r="M39" i="38" a="1"/>
  <c r="M68" i="38" a="1"/>
  <c r="M76" i="38" a="1"/>
  <c r="AB13" i="38" a="1"/>
  <c r="AB62" i="38" a="1"/>
  <c r="Z61" i="38" a="1"/>
  <c r="AB71" i="38" a="1"/>
  <c r="AB58" i="38" a="1"/>
  <c r="C28" i="38" a="1"/>
  <c r="R87" i="38" a="1"/>
  <c r="O35" i="38" a="1"/>
  <c r="AE51" i="38" a="1"/>
  <c r="AF30" i="38" a="1"/>
  <c r="AC50" i="38" a="1"/>
  <c r="AC45" i="38" a="1"/>
  <c r="X29" i="38" a="1"/>
  <c r="E6" i="38" a="1"/>
  <c r="E10" i="38" a="1"/>
  <c r="E84" i="38" a="1"/>
  <c r="E25" i="38" a="1"/>
  <c r="E62" i="38" a="1"/>
  <c r="E89" i="38" a="1"/>
  <c r="T23" i="38" a="1"/>
  <c r="T22" i="38" a="1"/>
  <c r="T70" i="38" a="1"/>
  <c r="T32" i="38" a="1"/>
  <c r="F22" i="38" a="1"/>
  <c r="F71" i="38" a="1"/>
  <c r="F49" i="38" a="1"/>
  <c r="F72" i="38" a="1"/>
  <c r="F68" i="38" a="1"/>
  <c r="S19" i="38" a="1"/>
  <c r="S66" i="38" a="1"/>
  <c r="S41" i="38" a="1"/>
  <c r="S10" i="38" a="1"/>
  <c r="S74" i="38" a="1"/>
  <c r="G7" i="38" a="1"/>
  <c r="G18" i="38" a="1"/>
  <c r="G44" i="38" a="1"/>
  <c r="G29" i="38" a="1"/>
  <c r="U23" i="38" a="1"/>
  <c r="U55" i="38" a="1"/>
  <c r="U88" i="38" a="1"/>
  <c r="U61" i="38" a="1"/>
  <c r="U33" i="38" a="1"/>
  <c r="E32" i="38" a="1"/>
  <c r="V23" i="38" a="1"/>
  <c r="V81" i="38" a="1"/>
  <c r="V83" i="38" a="1"/>
  <c r="V59" i="38" a="1"/>
  <c r="G82" i="38" a="1"/>
  <c r="H14" i="38" a="1"/>
  <c r="H44" i="38" a="1"/>
  <c r="H48" i="38" a="1"/>
  <c r="H66" i="38" a="1"/>
  <c r="H36" i="38" a="1"/>
  <c r="Y7" i="38" a="1"/>
  <c r="Y58" i="38" a="1"/>
  <c r="Y10" i="38" a="1"/>
  <c r="Y37" i="38" a="1"/>
  <c r="H70" i="38" a="1"/>
  <c r="U41" i="38" a="1"/>
  <c r="V31" i="38" a="1"/>
  <c r="G89" i="38" a="1"/>
  <c r="Y45" i="38" a="1"/>
  <c r="F51" i="38" a="1"/>
  <c r="K24" i="38" a="1"/>
  <c r="K68" i="38" a="1"/>
  <c r="K77" i="38" a="1"/>
  <c r="K7" i="38" a="1"/>
  <c r="Z9" i="38" a="1"/>
  <c r="Z34" i="38" a="1"/>
  <c r="Z58" i="38" a="1"/>
  <c r="L23" i="38" a="1"/>
  <c r="L90" i="38" a="1"/>
  <c r="L89" i="38" a="1"/>
  <c r="L26" i="38" a="1"/>
  <c r="M43" i="38" a="1"/>
  <c r="M19" i="38" a="1"/>
  <c r="M86" i="38" a="1"/>
  <c r="AB6" i="38" a="1"/>
  <c r="AB69" i="38" a="1"/>
  <c r="AB65" i="38" a="1"/>
  <c r="AB56" i="38" a="1"/>
  <c r="L61" i="38" a="1"/>
  <c r="M58" i="38" a="1"/>
  <c r="L24" i="38" a="1"/>
  <c r="K21" i="38" a="1"/>
  <c r="C9" i="38" a="1"/>
  <c r="C62" i="38" a="1"/>
  <c r="C68" i="38" a="1"/>
  <c r="R13" i="38" a="1"/>
  <c r="R79" i="38" a="1"/>
  <c r="R19" i="38" a="1"/>
  <c r="AG23" i="38" a="1"/>
  <c r="AG37" i="38" a="1"/>
  <c r="AG61" i="38" a="1"/>
  <c r="R66" i="38" a="1"/>
  <c r="K5" i="38" a="1"/>
  <c r="O18" i="38" a="1"/>
  <c r="O55" i="38" a="1"/>
  <c r="AD48" i="38" a="1"/>
  <c r="AD66" i="38" a="1"/>
  <c r="P19" i="38" a="1"/>
  <c r="P38" i="38" a="1"/>
  <c r="P73" i="38" a="1"/>
  <c r="AE24" i="38" a="1"/>
  <c r="AE47" i="38" a="1"/>
  <c r="AD40" i="38" a="1"/>
  <c r="B10" i="38" a="1"/>
  <c r="B28" i="38" a="1"/>
  <c r="Q24" i="38" a="1"/>
  <c r="Q56" i="38" a="1"/>
  <c r="AF51" i="38" a="1"/>
  <c r="I19" i="38" a="1"/>
  <c r="W36" i="38" a="1"/>
  <c r="E13" i="38" a="1"/>
  <c r="E19" i="38" a="1"/>
  <c r="E12" i="38" a="1"/>
  <c r="E42" i="38" a="1"/>
  <c r="E77" i="38" a="1"/>
  <c r="T11" i="38" a="1"/>
  <c r="T28" i="38" a="1"/>
  <c r="T52" i="38" a="1"/>
  <c r="T38" i="38" a="1"/>
  <c r="T48" i="38" a="1"/>
  <c r="F10" i="38" a="1"/>
  <c r="F5" i="38" a="1"/>
  <c r="F79" i="38" a="1"/>
  <c r="F36" i="38" a="1"/>
  <c r="F74" i="38" a="1"/>
  <c r="S23" i="38" a="1"/>
  <c r="S73" i="38" a="1"/>
  <c r="S35" i="38" a="1"/>
  <c r="S29" i="38" a="1"/>
  <c r="S26" i="38" a="1"/>
  <c r="G13" i="38" a="1"/>
  <c r="G56" i="38" a="1"/>
  <c r="G70" i="38" a="1"/>
  <c r="G77" i="38" a="1"/>
  <c r="U7" i="38" a="1"/>
  <c r="U62" i="38" a="1"/>
  <c r="U30" i="38" a="1"/>
  <c r="U73" i="38" a="1"/>
  <c r="U72" i="38" a="1"/>
  <c r="E26" i="38" a="1"/>
  <c r="V25" i="38" a="1"/>
  <c r="V37" i="38" a="1"/>
  <c r="V28" i="38" a="1"/>
  <c r="V35" i="38" a="1"/>
  <c r="G80" i="38" a="1"/>
  <c r="H21" i="38" a="1"/>
  <c r="H88" i="38" a="1"/>
  <c r="H20" i="38" a="1"/>
  <c r="H75" i="38" a="1"/>
  <c r="H25" i="38" a="1"/>
  <c r="Y9" i="38" a="1"/>
  <c r="Y59" i="38" a="1"/>
  <c r="Y32" i="38" a="1"/>
  <c r="Y39" i="38" a="1"/>
  <c r="H68" i="38" a="1"/>
  <c r="G28" i="38" a="1"/>
  <c r="G21" i="38" a="1"/>
  <c r="G73" i="38" a="1"/>
  <c r="V32" i="38" a="1"/>
  <c r="T26" i="38" a="1"/>
  <c r="K10" i="38" a="1"/>
  <c r="K75" i="38" a="1"/>
  <c r="K91" i="38" a="1"/>
  <c r="K63" i="38" a="1"/>
  <c r="Z10" i="38" a="1"/>
  <c r="Z60" i="38" a="1"/>
  <c r="Z7" i="38" a="1"/>
  <c r="L5" i="38" a="1"/>
  <c r="L64" i="38" a="1"/>
  <c r="L14" i="38" a="1"/>
  <c r="Z25" i="38" a="1"/>
  <c r="M47" i="38" a="1"/>
  <c r="M21" i="38" a="1"/>
  <c r="M60" i="38" a="1"/>
  <c r="AB21" i="38" a="1"/>
  <c r="AB76" i="38" a="1"/>
  <c r="AB38" i="38" a="1"/>
  <c r="M56" i="38" a="1"/>
  <c r="Z56" i="38" a="1"/>
  <c r="L56" i="38" a="1"/>
  <c r="M90" i="38" a="1"/>
  <c r="L18" i="38" a="1"/>
  <c r="C18" i="38" a="1"/>
  <c r="C82" i="38" a="1"/>
  <c r="C71" i="38" a="1"/>
  <c r="R33" i="38" a="1"/>
  <c r="R12" i="38" a="1"/>
  <c r="R20" i="38" a="1"/>
  <c r="AG28" i="38" a="1"/>
  <c r="AG44" i="38" a="1"/>
  <c r="AG90" i="38" a="1"/>
  <c r="L65" i="38" a="1"/>
  <c r="O7" i="38" a="1"/>
  <c r="O19" i="38" a="1"/>
  <c r="O23" i="38" a="1"/>
  <c r="AD23" i="38" a="1"/>
  <c r="AD69" i="38" a="1"/>
  <c r="P6" i="38" a="1"/>
  <c r="P41" i="38" a="1"/>
  <c r="P35" i="38" a="1"/>
  <c r="AE25" i="38" a="1"/>
  <c r="AE55" i="38" a="1"/>
  <c r="P40" i="38" a="1"/>
  <c r="B18" i="38" a="1"/>
  <c r="B50" i="38" a="1"/>
  <c r="Q12" i="38" a="1"/>
  <c r="Q63" i="38" a="1"/>
  <c r="AF12" i="38" a="1"/>
  <c r="AF61" i="38" a="1"/>
  <c r="AD89" i="38" a="1"/>
  <c r="P52" i="38" a="1"/>
  <c r="I18" i="38" a="1"/>
  <c r="W55" i="38" a="1"/>
  <c r="AC34" i="38" a="1"/>
  <c r="E20" i="38" a="1"/>
  <c r="E29" i="38" a="1"/>
  <c r="E65" i="38" a="1"/>
  <c r="E57" i="38" a="1"/>
  <c r="E81" i="38" a="1"/>
  <c r="T18" i="38" a="1"/>
  <c r="T42" i="38" a="1"/>
  <c r="T90" i="38" a="1"/>
  <c r="T75" i="38" a="1"/>
  <c r="T49" i="38" a="1"/>
  <c r="F14" i="38" a="1"/>
  <c r="F24" i="38" a="1"/>
  <c r="F82" i="38" a="1"/>
  <c r="F37" i="38" a="1"/>
  <c r="F15" i="38" a="1"/>
  <c r="S11" i="38" a="1"/>
  <c r="S80" i="38" a="1"/>
  <c r="S91" i="38" a="1"/>
  <c r="S37" i="38" a="1"/>
  <c r="G9" i="38" a="1"/>
  <c r="G41" i="38" a="1"/>
  <c r="G71" i="38" a="1"/>
  <c r="G26" i="38" a="1"/>
  <c r="G81" i="38" a="1"/>
  <c r="U18" i="38" a="1"/>
  <c r="U69" i="38" a="1"/>
  <c r="U52" i="38" a="1"/>
  <c r="U86" i="38" a="1"/>
  <c r="U21" i="38" a="1"/>
  <c r="V7" i="38" a="1"/>
  <c r="V26" i="38" a="1"/>
  <c r="V69" i="38" a="1"/>
  <c r="V63" i="38" a="1"/>
  <c r="V36" i="38" a="1"/>
  <c r="F59" i="38" a="1"/>
  <c r="H6" i="38" a="1"/>
  <c r="H26" i="38" a="1"/>
  <c r="H10" i="38" a="1"/>
  <c r="H90" i="38" a="1"/>
  <c r="H29" i="38" a="1"/>
  <c r="Y17" i="38" a="1"/>
  <c r="Y6" i="38" a="1"/>
  <c r="Y73" i="38" a="1"/>
  <c r="Y76" i="38" a="1"/>
  <c r="S63" i="38" a="1"/>
  <c r="S17" i="38" a="1"/>
  <c r="F13" i="38" a="1"/>
  <c r="E61" i="38" a="1"/>
  <c r="U26" i="38" a="1"/>
  <c r="T12" i="38" a="1"/>
  <c r="K23" i="38" a="1"/>
  <c r="K82" i="38" a="1"/>
  <c r="K9" i="38" a="1"/>
  <c r="Z6" i="38" a="1"/>
  <c r="Z87" i="38" a="1"/>
  <c r="Z75" i="38" a="1"/>
  <c r="Z70" i="38" a="1"/>
  <c r="L25" i="38" a="1"/>
  <c r="L37" i="38" a="1"/>
  <c r="L30" i="38" a="1"/>
  <c r="K6" i="38" a="1"/>
  <c r="M9" i="38" a="1"/>
  <c r="M25" i="38" a="1"/>
  <c r="M61" i="38" a="1"/>
  <c r="AB43" i="38" a="1"/>
  <c r="AB83" i="38" a="1"/>
  <c r="AB81" i="38" a="1"/>
  <c r="M42" i="38" a="1"/>
  <c r="M24" i="38" a="1"/>
  <c r="AB50" i="38" a="1"/>
  <c r="K80" i="38" a="1"/>
  <c r="Z14" i="38" a="1"/>
  <c r="C34" i="38" a="1"/>
  <c r="C81" i="38" a="1"/>
  <c r="C74" i="38" a="1"/>
  <c r="R61" i="38" a="1"/>
  <c r="R14" i="38" a="1"/>
  <c r="R25" i="38" a="1"/>
  <c r="AG32" i="38" a="1"/>
  <c r="AG45" i="38" a="1"/>
  <c r="AG18" i="38" a="1"/>
  <c r="R57" i="38" a="1"/>
  <c r="O14" i="38" a="1"/>
  <c r="O43" i="38" a="1"/>
  <c r="AD5" i="38" a="1"/>
  <c r="AD7" i="38" a="1"/>
  <c r="AD70" i="38" a="1"/>
  <c r="P21" i="38" a="1"/>
  <c r="P10" i="38" a="1"/>
  <c r="AE10" i="38" a="1"/>
  <c r="AE40" i="38" a="1"/>
  <c r="AE71" i="38" a="1"/>
  <c r="O36" i="38" a="1"/>
  <c r="B41" i="38" a="1"/>
  <c r="B60" i="38" a="1"/>
  <c r="Q16" i="38" a="1"/>
  <c r="E7" i="38" a="1"/>
  <c r="E47" i="38" a="1"/>
  <c r="E68" i="38" a="1"/>
  <c r="E58" i="38" a="1"/>
  <c r="E91" i="38" a="1"/>
  <c r="T16" i="38" a="1"/>
  <c r="T57" i="38" a="1"/>
  <c r="T7" i="38" a="1"/>
  <c r="T79" i="38" a="1"/>
  <c r="T55" i="38" a="1"/>
  <c r="F6" i="38" a="1"/>
  <c r="F33" i="38" a="1"/>
  <c r="F88" i="38" a="1"/>
  <c r="F62" i="38" a="1"/>
  <c r="F65" i="38" a="1"/>
  <c r="S21" i="38" a="1"/>
  <c r="S87" i="38" a="1"/>
  <c r="S24" i="38" a="1"/>
  <c r="S57" i="38" a="1"/>
  <c r="G16" i="38" a="1"/>
  <c r="G52" i="38" a="1"/>
  <c r="G72" i="38" a="1"/>
  <c r="G79" i="38" a="1"/>
  <c r="G91" i="38" a="1"/>
  <c r="U22" i="38" a="1"/>
  <c r="U76" i="38" a="1"/>
  <c r="U28" i="38" a="1"/>
  <c r="U17" i="38" a="1"/>
  <c r="U34" i="38" a="1"/>
  <c r="V14" i="38" a="1"/>
  <c r="V30" i="38" a="1"/>
  <c r="V9" i="38" a="1"/>
  <c r="V64" i="38" a="1"/>
  <c r="V75" i="38" a="1"/>
  <c r="G48" i="38" a="1"/>
  <c r="H9" i="38" a="1"/>
  <c r="H38" i="38" a="1"/>
  <c r="H47" i="38" a="1"/>
  <c r="H82" i="38" a="1"/>
  <c r="H49" i="38" a="1"/>
  <c r="Y19" i="38" a="1"/>
  <c r="Y74" i="38" a="1"/>
  <c r="Y90" i="38" a="1"/>
  <c r="Y80" i="38" a="1"/>
  <c r="G61" i="38" a="1"/>
  <c r="U11" i="38" a="1"/>
  <c r="F86" i="38" a="1"/>
  <c r="U58" i="38" a="1"/>
  <c r="U91" i="38" a="1"/>
  <c r="U90" i="38" a="1"/>
  <c r="K44" i="38" a="1"/>
  <c r="K17" i="38" a="1"/>
  <c r="K39" i="38" a="1"/>
  <c r="Z13" i="38" a="1"/>
  <c r="Z26" i="38" a="1"/>
  <c r="Z76" i="38" a="1"/>
  <c r="Z5" i="38" a="1"/>
  <c r="L31" i="38" a="1"/>
  <c r="L63" i="38" a="1"/>
  <c r="L41" i="38" a="1"/>
  <c r="M11" i="38" a="1"/>
  <c r="M29" i="38" a="1"/>
  <c r="M69" i="38" a="1"/>
  <c r="M80" i="38" a="1"/>
  <c r="AB31" i="38" a="1"/>
  <c r="AB32" i="38" a="1"/>
  <c r="AB87" i="38" a="1"/>
  <c r="M41" i="38" a="1"/>
  <c r="AB17" i="38" a="1"/>
  <c r="M44" i="38" a="1"/>
  <c r="K76" i="38" a="1"/>
  <c r="C10" i="38" a="1"/>
  <c r="C45" i="38" a="1"/>
  <c r="C37" i="38" a="1"/>
  <c r="R15" i="38" a="1"/>
  <c r="R68" i="38" a="1"/>
  <c r="R80" i="38" a="1"/>
  <c r="R49" i="38" a="1"/>
  <c r="AG36" i="38" a="1"/>
  <c r="AG91" i="38" a="1"/>
  <c r="AG33" i="38" a="1"/>
  <c r="C57" i="38" a="1"/>
  <c r="O21" i="38" a="1"/>
  <c r="O49" i="38" a="1"/>
  <c r="AD12" i="38" a="1"/>
  <c r="AD22" i="38" a="1"/>
  <c r="AD50" i="38" a="1"/>
  <c r="P9" i="38" a="1"/>
  <c r="P50" i="38" a="1"/>
  <c r="AE17" i="38" a="1"/>
  <c r="AE48" i="38" a="1"/>
  <c r="AE5" i="38" a="1"/>
  <c r="P26" i="38" a="1"/>
  <c r="E35" i="38" a="1"/>
  <c r="E59" i="38" a="1"/>
  <c r="E88" i="38" a="1"/>
  <c r="E76" i="38" a="1"/>
  <c r="E30" i="38" a="1"/>
  <c r="T10" i="38" a="1"/>
  <c r="T64" i="38" a="1"/>
  <c r="T40" i="38" a="1"/>
  <c r="T15" i="38" a="1"/>
  <c r="T5" i="38" a="1"/>
  <c r="F9" i="38" a="1"/>
  <c r="F41" i="38" a="1"/>
  <c r="F31" i="38" a="1"/>
  <c r="F77" i="38" a="1"/>
  <c r="F80" i="38" a="1"/>
  <c r="S40" i="38" a="1"/>
  <c r="S7" i="38" a="1"/>
  <c r="S47" i="38" a="1"/>
  <c r="S84" i="38" a="1"/>
  <c r="G23" i="38" a="1"/>
  <c r="G35" i="38" a="1"/>
  <c r="G5" i="38" a="1"/>
  <c r="G11" i="38" a="1"/>
  <c r="G47" i="38" a="1"/>
  <c r="U10" i="38" a="1"/>
  <c r="U83" i="38" a="1"/>
  <c r="U50" i="38" a="1"/>
  <c r="U82" i="38" a="1"/>
  <c r="U81" i="38" a="1"/>
  <c r="V21" i="38" a="1"/>
  <c r="V50" i="38" a="1"/>
  <c r="V66" i="38" a="1"/>
  <c r="V71" i="38" a="1"/>
  <c r="V79" i="38" a="1"/>
  <c r="G45" i="38" a="1"/>
  <c r="H13" i="38" a="1"/>
  <c r="H41" i="38" a="1"/>
  <c r="H65" i="38" a="1"/>
  <c r="H31" i="38" a="1"/>
  <c r="H71" i="38" a="1"/>
  <c r="Y26" i="38" a="1"/>
  <c r="Y13" i="38" a="1"/>
  <c r="Y30" i="38" a="1"/>
  <c r="Y86" i="38" a="1"/>
  <c r="S50" i="38" a="1"/>
  <c r="H89" i="38" a="1"/>
  <c r="U80" i="38" a="1"/>
  <c r="H23" i="38" a="1"/>
  <c r="V90" i="38" a="1"/>
  <c r="E79" i="38" a="1"/>
  <c r="K18" i="38" a="1"/>
  <c r="K19" i="38" a="1"/>
  <c r="K14" i="38" a="1"/>
  <c r="Z20" i="38" a="1"/>
  <c r="Z30" i="38" a="1"/>
  <c r="Z79" i="38" a="1"/>
  <c r="K88" i="38" a="1"/>
  <c r="L49" i="38" a="1"/>
  <c r="L82" i="38" a="1"/>
  <c r="L71" i="38" a="1"/>
  <c r="M18" i="38" a="1"/>
  <c r="M37" i="38" a="1"/>
  <c r="M84" i="38" a="1"/>
  <c r="M34" i="38" a="1"/>
  <c r="AB35" i="38" a="1"/>
  <c r="AB41" i="38" a="1"/>
  <c r="AB91" i="38" a="1"/>
  <c r="L40" i="38" a="1"/>
  <c r="AB12" i="38" a="1"/>
  <c r="L43" i="38" a="1"/>
  <c r="Z65" i="38" a="1"/>
  <c r="C17" i="38" a="1"/>
  <c r="C56" i="38" a="1"/>
  <c r="C23" i="38" a="1"/>
  <c r="R22" i="38" a="1"/>
  <c r="R75" i="38" a="1"/>
  <c r="R10" i="38" a="1"/>
  <c r="R55" i="38" a="1"/>
  <c r="AG12" i="38" a="1"/>
  <c r="AG74" i="38" a="1"/>
  <c r="AG68" i="38" a="1"/>
  <c r="M55" i="38" a="1"/>
  <c r="O9" i="38" a="1"/>
  <c r="O52" i="38" a="1"/>
  <c r="AD19" i="38" a="1"/>
  <c r="AD37" i="38" a="1"/>
  <c r="AD88" i="38" a="1"/>
  <c r="P23" i="38" a="1"/>
  <c r="E43" i="38" a="1"/>
  <c r="E73" i="38" a="1"/>
  <c r="E14" i="38" a="1"/>
  <c r="E24" i="38" a="1"/>
  <c r="E74" i="38" a="1"/>
  <c r="T35" i="38" a="1"/>
  <c r="T24" i="38" a="1"/>
  <c r="T77" i="38" a="1"/>
  <c r="T66" i="38" a="1"/>
  <c r="T87" i="38" a="1"/>
  <c r="F47" i="38" a="1"/>
  <c r="F55" i="38" a="1"/>
  <c r="F73" i="38" a="1"/>
  <c r="F91" i="38" a="1"/>
  <c r="F90" i="38" a="1"/>
  <c r="S49" i="38" a="1"/>
  <c r="S62" i="38" a="1"/>
  <c r="S65" i="38" a="1"/>
  <c r="S34" i="38" a="1"/>
  <c r="G12" i="38" a="1"/>
  <c r="G50" i="38" a="1"/>
  <c r="G33" i="38" a="1"/>
  <c r="G59" i="38" a="1"/>
  <c r="G10" i="38" a="1"/>
  <c r="U25" i="38" a="1"/>
  <c r="U38" i="38" a="1"/>
  <c r="U71" i="38" a="1"/>
  <c r="U59" i="38" a="1"/>
  <c r="U32" i="38" a="1"/>
  <c r="V22" i="38" a="1"/>
  <c r="V29" i="38" a="1"/>
  <c r="V89" i="38" a="1"/>
  <c r="V76" i="38" a="1"/>
  <c r="V84" i="38" a="1"/>
  <c r="T73" i="38" a="1"/>
  <c r="H15" i="38" a="1"/>
  <c r="H60" i="38" a="1"/>
  <c r="H5" i="38" a="1"/>
  <c r="H19" i="38" a="1"/>
  <c r="Y15" i="38" a="1"/>
  <c r="Y38" i="38" a="1"/>
  <c r="Y51" i="38" a="1"/>
  <c r="Y31" i="38" a="1"/>
  <c r="Y40" i="38" a="1"/>
  <c r="V19" i="38" a="1"/>
  <c r="Y81" i="38" a="1"/>
  <c r="H63" i="38" a="1"/>
  <c r="G15" i="38" a="1"/>
  <c r="H76" i="38" a="1"/>
  <c r="T68" i="38" a="1"/>
  <c r="K32" i="38" a="1"/>
  <c r="K29" i="38" a="1"/>
  <c r="K41" i="38" a="1"/>
  <c r="Z18" i="38" a="1"/>
  <c r="Z59" i="38" a="1"/>
  <c r="Z15" i="38" a="1"/>
  <c r="K66" i="38" a="1"/>
  <c r="L17" i="38" a="1"/>
  <c r="L86" i="38" a="1"/>
  <c r="L77" i="38" a="1"/>
  <c r="M14" i="38" a="1"/>
  <c r="M57" i="38" a="1"/>
  <c r="M88" i="38" a="1"/>
  <c r="M32" i="38" a="1"/>
  <c r="AB7" i="38" a="1"/>
  <c r="AB63" i="38" a="1"/>
  <c r="AB72" i="38" a="1"/>
  <c r="L39" i="38" a="1"/>
  <c r="M89" i="38" a="1"/>
  <c r="Z31" i="38" a="1"/>
  <c r="AB60" i="38" a="1"/>
  <c r="C5" i="38" a="1"/>
  <c r="C70" i="38" a="1"/>
  <c r="C49" i="38" a="1"/>
  <c r="R24" i="38" a="1"/>
  <c r="R89" i="38" a="1"/>
  <c r="R69" i="38" a="1"/>
  <c r="R17" i="38" a="1"/>
  <c r="AG38" i="38" a="1"/>
  <c r="AG24" i="38" a="1"/>
  <c r="AG86" i="38" a="1"/>
  <c r="K49" i="38" a="1"/>
  <c r="O17" i="38" a="1"/>
  <c r="O74" i="38" a="1"/>
  <c r="AD13" i="38" a="1"/>
  <c r="AD52" i="38" a="1"/>
  <c r="O76" i="38" a="1"/>
  <c r="P29" i="38" a="1"/>
  <c r="P65" i="38" a="1"/>
  <c r="AE20" i="38" a="1"/>
  <c r="AE63" i="38" a="1"/>
  <c r="P90" i="38" a="1"/>
  <c r="B12" i="38" a="1"/>
  <c r="B42" i="38" a="1"/>
  <c r="B80" i="38" a="1"/>
  <c r="Q37" i="38" a="1"/>
  <c r="Q51" i="38" a="1"/>
  <c r="AF37" i="38" a="1"/>
  <c r="AF57" i="38" a="1"/>
  <c r="B74" i="38" a="1"/>
  <c r="AE35" i="38" a="1"/>
  <c r="I37" i="38" a="1"/>
  <c r="W6" i="38" a="1"/>
  <c r="W72" i="38" a="1"/>
  <c r="J5" i="38" a="1"/>
  <c r="J77" i="38" a="1"/>
  <c r="X56" i="38" a="1"/>
  <c r="W11" i="38" a="1"/>
  <c r="N16" i="38" a="1"/>
  <c r="AC18" i="38" a="1"/>
  <c r="E9" i="38" a="1"/>
  <c r="E80" i="38" a="1"/>
  <c r="E44" i="38" a="1"/>
  <c r="E11" i="38" a="1"/>
  <c r="E15" i="38" a="1"/>
  <c r="T39" i="38" a="1"/>
  <c r="T30" i="38" a="1"/>
  <c r="T33" i="38" a="1"/>
  <c r="T72" i="38" a="1"/>
  <c r="T19" i="38" a="1"/>
  <c r="F20" i="38" a="1"/>
  <c r="F66" i="38" a="1"/>
  <c r="F19" i="38" a="1"/>
  <c r="F12" i="38" a="1"/>
  <c r="F23" i="38" a="1"/>
  <c r="S31" i="38" a="1"/>
  <c r="S77" i="38" a="1"/>
  <c r="E66" i="38" a="1"/>
  <c r="E36" i="38" a="1"/>
  <c r="T82" i="38" a="1"/>
  <c r="T51" i="38" a="1"/>
  <c r="F75" i="38" a="1"/>
  <c r="S44" i="38" a="1"/>
  <c r="S75" i="38" a="1"/>
  <c r="G49" i="38" a="1"/>
  <c r="G64" i="38" a="1"/>
  <c r="U24" i="38" a="1"/>
  <c r="U53" i="38" a="1"/>
  <c r="V12" i="38" a="1"/>
  <c r="V62" i="38" a="1"/>
  <c r="E82" i="38" a="1"/>
  <c r="H81" i="38" a="1"/>
  <c r="H69" i="38" a="1"/>
  <c r="Y25" i="38" a="1"/>
  <c r="Y29" i="38" a="1"/>
  <c r="Y57" i="38" a="1"/>
  <c r="Y84" i="38" a="1"/>
  <c r="K40" i="38" a="1"/>
  <c r="K12" i="38" a="1"/>
  <c r="Z91" i="38" a="1"/>
  <c r="L34" i="38" a="1"/>
  <c r="L75" i="38" a="1"/>
  <c r="M87" i="38" a="1"/>
  <c r="AB42" i="38" a="1"/>
  <c r="AB80" i="38" a="1"/>
  <c r="L42" i="38" a="1"/>
  <c r="C19" i="38" a="1"/>
  <c r="C21" i="38" a="1"/>
  <c r="R42" i="38" a="1"/>
  <c r="AG35" i="38" a="1"/>
  <c r="M83" i="38" a="1"/>
  <c r="O60" i="38" a="1"/>
  <c r="AD65" i="38" a="1"/>
  <c r="P22" i="38" a="1"/>
  <c r="AE23" i="38" a="1"/>
  <c r="AE80" i="38" a="1"/>
  <c r="B58" i="38" a="1"/>
  <c r="Q41" i="38" a="1"/>
  <c r="AF16" i="38" a="1"/>
  <c r="AF18" i="38" a="1"/>
  <c r="AE44" i="38" a="1"/>
  <c r="I25" i="38" a="1"/>
  <c r="W58" i="38" a="1"/>
  <c r="J21" i="38" a="1"/>
  <c r="X51" i="38" a="1"/>
  <c r="N69" i="38" a="1"/>
  <c r="AC22" i="38" a="1"/>
  <c r="AD79" i="38" a="1"/>
  <c r="X70" i="38" a="1"/>
  <c r="G69" i="38" a="1"/>
  <c r="Z40" i="38" a="1"/>
  <c r="Z37" i="38" a="1"/>
  <c r="AG73" i="38" a="1"/>
  <c r="AE56" i="38" a="1"/>
  <c r="AF73" i="38" a="1"/>
  <c r="X77" i="38" a="1"/>
  <c r="E45" i="38" a="1"/>
  <c r="V45" i="38" a="1"/>
  <c r="Q44" i="38" a="1"/>
  <c r="O73" i="38" a="1"/>
  <c r="E87" i="38" a="1"/>
  <c r="E60" i="38" a="1"/>
  <c r="T83" i="38" a="1"/>
  <c r="T65" i="38" a="1"/>
  <c r="F39" i="38" a="1"/>
  <c r="S12" i="38" a="1"/>
  <c r="S30" i="38" a="1"/>
  <c r="G55" i="38" a="1"/>
  <c r="G57" i="38" a="1"/>
  <c r="U37" i="38" a="1"/>
  <c r="U70" i="38" a="1"/>
  <c r="V20" i="38" a="1"/>
  <c r="V68" i="38" a="1"/>
  <c r="S71" i="38" a="1"/>
  <c r="H40" i="38" a="1"/>
  <c r="H12" i="38" a="1"/>
  <c r="Y66" i="38" a="1"/>
  <c r="Y53" i="38" a="1"/>
  <c r="Y47" i="38" a="1"/>
  <c r="Y60" i="38" a="1"/>
  <c r="K51" i="38" a="1"/>
  <c r="K13" i="38" a="1"/>
  <c r="Z21" i="38" a="1"/>
  <c r="L45" i="38" a="1"/>
  <c r="K72" i="38" a="1"/>
  <c r="M6" i="38" a="1"/>
  <c r="AB20" i="38" a="1"/>
  <c r="M73" i="38" a="1"/>
  <c r="L21" i="38" a="1"/>
  <c r="C25" i="38" a="1"/>
  <c r="C38" i="38" a="1"/>
  <c r="R72" i="38" a="1"/>
  <c r="AG59" i="38" a="1"/>
  <c r="Z81" i="38" a="1"/>
  <c r="O81" i="38" a="1"/>
  <c r="AD72" i="38" a="1"/>
  <c r="P48" i="38" a="1"/>
  <c r="AE13" i="38" a="1"/>
  <c r="O79" i="38" a="1"/>
  <c r="B65" i="38" a="1"/>
  <c r="Q45" i="38" a="1"/>
  <c r="AF20" i="38" a="1"/>
  <c r="AF56" i="38" a="1"/>
  <c r="AE42" i="38" a="1"/>
  <c r="I36" i="38" a="1"/>
  <c r="W65" i="38" a="1"/>
  <c r="J28" i="38" a="1"/>
  <c r="X63" i="38" a="1"/>
  <c r="N47" i="38" a="1"/>
  <c r="AC5" i="38" a="1"/>
  <c r="O88" i="38" a="1"/>
  <c r="B72" i="38" a="1"/>
  <c r="AF72" i="38" a="1"/>
  <c r="I23" i="38" a="1"/>
  <c r="J15" i="38" a="1"/>
  <c r="AC16" i="38" a="1"/>
  <c r="E71" i="38" a="1"/>
  <c r="F26" i="38" a="1"/>
  <c r="S25" i="38" a="1"/>
  <c r="G84" i="38" a="1"/>
  <c r="U75" i="38" a="1"/>
  <c r="T9" i="38" a="1"/>
  <c r="Y22" i="38" a="1"/>
  <c r="Y36" i="38" a="1"/>
  <c r="R23" i="38" a="1"/>
  <c r="P58" i="38" a="1"/>
  <c r="B61" i="38" a="1"/>
  <c r="P31" i="38" a="1"/>
  <c r="I75" i="38" a="1"/>
  <c r="AC12" i="38" a="1"/>
  <c r="E22" i="38" a="1"/>
  <c r="F21" i="38" a="1"/>
  <c r="F81" i="38" a="1"/>
  <c r="S55" i="38" a="1"/>
  <c r="G87" i="38" a="1"/>
  <c r="V17" i="38" a="1"/>
  <c r="Y5" i="38" a="1"/>
  <c r="Z44" i="38" a="1"/>
  <c r="Z71" i="38" a="1"/>
  <c r="AD77" i="38" a="1"/>
  <c r="Q25" i="38" a="1"/>
  <c r="AC30" i="38" a="1"/>
  <c r="H28" i="38" a="1"/>
  <c r="M20" i="38" a="1"/>
  <c r="AG29" i="38" a="1"/>
  <c r="Q70" i="38" a="1"/>
  <c r="W53" i="38" a="1"/>
  <c r="E16" i="38" a="1"/>
  <c r="E83" i="38" a="1"/>
  <c r="T74" i="38" a="1"/>
  <c r="F11" i="38" a="1"/>
  <c r="F84" i="38" a="1"/>
  <c r="S22" i="38" a="1"/>
  <c r="S88" i="38" a="1"/>
  <c r="G62" i="38" a="1"/>
  <c r="G39" i="38" a="1"/>
  <c r="U29" i="38" a="1"/>
  <c r="U36" i="38" a="1"/>
  <c r="V34" i="38" a="1"/>
  <c r="V41" i="38" a="1"/>
  <c r="U40" i="38" a="1"/>
  <c r="H57" i="38" a="1"/>
  <c r="H77" i="38" a="1"/>
  <c r="Y70" i="38" a="1"/>
  <c r="Y23" i="38" a="1"/>
  <c r="S79" i="38" a="1"/>
  <c r="T58" i="38" a="1"/>
  <c r="K42" i="38" a="1"/>
  <c r="Z11" i="38" a="1"/>
  <c r="Z35" i="38" a="1"/>
  <c r="L59" i="38" a="1"/>
  <c r="M10" i="38" a="1"/>
  <c r="M13" i="38" a="1"/>
  <c r="AB36" i="38" a="1"/>
  <c r="Z39" i="38" a="1"/>
  <c r="K16" i="38" a="1"/>
  <c r="C32" i="38" a="1"/>
  <c r="R5" i="38" a="1"/>
  <c r="R21" i="38" a="1"/>
  <c r="AG66" i="38" a="1"/>
  <c r="C53" i="38" a="1"/>
  <c r="P51" i="38" a="1"/>
  <c r="AE49" i="38" a="1"/>
  <c r="AE18" i="38" a="1"/>
  <c r="Q21" i="38" a="1"/>
  <c r="AF24" i="38" a="1"/>
  <c r="B40" i="38" a="1"/>
  <c r="W79" i="38" a="1"/>
  <c r="N40" i="38" a="1"/>
  <c r="E18" i="38" a="1"/>
  <c r="T37" i="38" a="1"/>
  <c r="F17" i="38" a="1"/>
  <c r="S48" i="38" a="1"/>
  <c r="U47" i="38" a="1"/>
  <c r="V38" i="38" a="1"/>
  <c r="V39" i="38" a="1"/>
  <c r="H58" i="38" a="1"/>
  <c r="Y11" i="38" a="1"/>
  <c r="S56" i="38" a="1"/>
  <c r="H56" i="38" a="1"/>
  <c r="K89" i="38" a="1"/>
  <c r="Z43" i="38" a="1"/>
  <c r="L66" i="38" a="1"/>
  <c r="M5" i="38" a="1"/>
  <c r="M17" i="38" a="1"/>
  <c r="AB53" i="38" a="1"/>
  <c r="AB77" i="38" a="1"/>
  <c r="C36" i="38" a="1"/>
  <c r="R7" i="38" a="1"/>
  <c r="AB44" i="38" a="1"/>
  <c r="O56" i="38" a="1"/>
  <c r="AD86" i="38" a="1"/>
  <c r="B5" i="38" a="1"/>
  <c r="Q30" i="38" a="1"/>
  <c r="AF5" i="38" a="1"/>
  <c r="I86" i="38" a="1"/>
  <c r="J56" i="38" a="1"/>
  <c r="AC26" i="38" a="1"/>
  <c r="E55" i="38" a="1"/>
  <c r="T31" i="38" a="1"/>
  <c r="T91" i="38" a="1"/>
  <c r="F43" i="38" a="1"/>
  <c r="F30" i="38" a="1"/>
  <c r="S5" i="38" a="1"/>
  <c r="S51" i="38" a="1"/>
  <c r="G24" i="38" a="1"/>
  <c r="G68" i="38" a="1"/>
  <c r="U64" i="38" a="1"/>
  <c r="U5" i="38" a="1"/>
  <c r="V52" i="38" a="1"/>
  <c r="V10" i="38" a="1"/>
  <c r="H17" i="38" a="1"/>
  <c r="H35" i="38" a="1"/>
  <c r="Y16" i="38" a="1"/>
  <c r="Y71" i="38" a="1"/>
  <c r="T6" i="38" a="1"/>
  <c r="T41" i="38" a="1"/>
  <c r="F76" i="38" a="1"/>
  <c r="K47" i="38" a="1"/>
  <c r="Z28" i="38" a="1"/>
  <c r="K84" i="38" a="1"/>
  <c r="L29" i="38" a="1"/>
  <c r="M15" i="38" a="1"/>
  <c r="M48" i="38" a="1"/>
  <c r="AB86" i="38" a="1"/>
  <c r="L9" i="38" a="1"/>
  <c r="M63" i="38" a="1"/>
  <c r="C84" i="38" a="1"/>
  <c r="R32" i="38" a="1"/>
  <c r="R56" i="38" a="1"/>
  <c r="AG58" i="38" a="1"/>
  <c r="M33" i="38" a="1"/>
  <c r="AD9" i="38" a="1"/>
  <c r="O45" i="38" a="1"/>
  <c r="P86" i="38" a="1"/>
  <c r="AE84" i="38" a="1"/>
  <c r="B20" i="38" a="1"/>
  <c r="B21" i="38" a="1"/>
  <c r="Q77" i="38" a="1"/>
  <c r="AF14" i="38" a="1"/>
  <c r="P75" i="38" a="1"/>
  <c r="AD20" i="38" a="1"/>
  <c r="W19" i="38" a="1"/>
  <c r="W28" i="38" a="1"/>
  <c r="J84" i="38" a="1"/>
  <c r="X25" i="38" a="1"/>
  <c r="N7" i="38" a="1"/>
  <c r="AC31" i="38" a="1"/>
  <c r="Z82" i="38" a="1"/>
  <c r="AF53" i="38" a="1"/>
  <c r="Q19" i="38" a="1"/>
  <c r="Z45" i="38" a="1"/>
  <c r="E56" i="38" a="1"/>
  <c r="T43" i="38" a="1"/>
  <c r="T36" i="38" a="1"/>
  <c r="F48" i="38" a="1"/>
  <c r="F87" i="38" a="1"/>
  <c r="S16" i="38" a="1"/>
  <c r="S28" i="38" a="1"/>
  <c r="G43" i="38" a="1"/>
  <c r="G74" i="38" a="1"/>
  <c r="U65" i="38" a="1"/>
  <c r="U44" i="38" a="1"/>
  <c r="V88" i="38" a="1"/>
  <c r="V18" i="38" a="1"/>
  <c r="H16" i="38" a="1"/>
  <c r="H39" i="38" a="1"/>
  <c r="Y20" i="38" a="1"/>
  <c r="Y41" i="38" a="1"/>
  <c r="G86" i="38" a="1"/>
  <c r="G31" i="38" a="1"/>
  <c r="Y49" i="38" a="1"/>
  <c r="K81" i="38" a="1"/>
  <c r="Z32" i="38" a="1"/>
  <c r="K64" i="38" a="1"/>
  <c r="L52" i="38" a="1"/>
  <c r="M31" i="38" a="1"/>
  <c r="AB9" i="38" a="1"/>
  <c r="AB90" i="38" a="1"/>
  <c r="K79" i="38" a="1"/>
  <c r="L58" i="38" a="1"/>
  <c r="C26" i="38" a="1"/>
  <c r="R36" i="38" a="1"/>
  <c r="R26" i="38" a="1"/>
  <c r="AG53" i="38" a="1"/>
  <c r="AB24" i="38" a="1"/>
  <c r="AD17" i="38" a="1"/>
  <c r="AD26" i="38" a="1"/>
  <c r="P34" i="38" a="1"/>
  <c r="AE30" i="38" a="1"/>
  <c r="B24" i="38" a="1"/>
  <c r="B29" i="38" a="1"/>
  <c r="Q84" i="38" a="1"/>
  <c r="AF29" i="38" a="1"/>
  <c r="AD74" i="38" a="1"/>
  <c r="P17" i="38" a="1"/>
  <c r="W21" i="38" a="1"/>
  <c r="W45" i="38" a="1"/>
  <c r="X10" i="38" a="1"/>
  <c r="X19" i="38" a="1"/>
  <c r="N18" i="38" a="1"/>
  <c r="I33" i="38" a="1"/>
  <c r="V16" i="38" a="1"/>
  <c r="Q11" i="38" a="1"/>
  <c r="Q49" i="38" a="1"/>
  <c r="G83" i="38" a="1"/>
  <c r="P24" i="38" a="1"/>
  <c r="E70" i="38" a="1"/>
  <c r="T13" i="38" a="1"/>
  <c r="T29" i="38" a="1"/>
  <c r="F53" i="38" a="1"/>
  <c r="F25" i="38" a="1"/>
  <c r="S32" i="38" a="1"/>
  <c r="G25" i="38" a="1"/>
  <c r="G53" i="38" a="1"/>
  <c r="T89" i="38" a="1"/>
  <c r="U63" i="38" a="1"/>
  <c r="U48" i="38" a="1"/>
  <c r="V47" i="38" a="1"/>
  <c r="V57" i="38" a="1"/>
  <c r="H11" i="38" a="1"/>
  <c r="H55" i="38" a="1"/>
  <c r="Y18" i="38" a="1"/>
  <c r="Y42" i="38" a="1"/>
  <c r="Y65" i="38" a="1"/>
  <c r="E21" i="38" a="1"/>
  <c r="U42" i="38" a="1"/>
  <c r="K30" i="38" a="1"/>
  <c r="Z41" i="38" a="1"/>
  <c r="K53" i="38" a="1"/>
  <c r="L48" i="38" a="1"/>
  <c r="M53" i="38" a="1"/>
  <c r="AB16" i="38" a="1"/>
  <c r="AB19" i="38" a="1"/>
  <c r="Z90" i="38" a="1"/>
  <c r="K56" i="38" a="1"/>
  <c r="C35" i="38" a="1"/>
  <c r="R82" i="38" a="1"/>
  <c r="R29" i="38" a="1"/>
  <c r="AG21" i="38" a="1"/>
  <c r="O13" i="38" a="1"/>
  <c r="AD10" i="38" a="1"/>
  <c r="AD16" i="38" a="1"/>
  <c r="P42" i="38" a="1"/>
  <c r="AE38" i="38" a="1"/>
  <c r="B13" i="38" a="1"/>
  <c r="B37" i="38" a="1"/>
  <c r="Q33" i="38" a="1"/>
  <c r="AF32" i="38" a="1"/>
  <c r="AD71" i="38" a="1"/>
  <c r="I41" i="38" a="1"/>
  <c r="W9" i="38" a="1"/>
  <c r="J10" i="38" a="1"/>
  <c r="X17" i="38" a="1"/>
  <c r="X15" i="38" a="1"/>
  <c r="N22" i="38" a="1"/>
  <c r="E39" i="38" a="1"/>
  <c r="E33" i="38" a="1"/>
  <c r="T47" i="38" a="1"/>
  <c r="T81" i="38" a="1"/>
  <c r="F42" i="38" a="1"/>
  <c r="F83" i="38" a="1"/>
  <c r="S81" i="38" a="1"/>
  <c r="G19" i="38" a="1"/>
  <c r="G6" i="38" a="1"/>
  <c r="E51" i="38" a="1"/>
  <c r="U89" i="38" a="1"/>
  <c r="U49" i="38" a="1"/>
  <c r="V48" i="38" a="1"/>
  <c r="V13" i="38" a="1"/>
  <c r="H24" i="38" a="1"/>
  <c r="H84" i="38" a="1"/>
  <c r="Y61" i="38" a="1"/>
  <c r="Y63" i="38" a="1"/>
  <c r="T56" i="38" a="1"/>
  <c r="S82" i="38" a="1"/>
  <c r="Y33" i="38" a="1"/>
  <c r="K38" i="38" a="1"/>
  <c r="Z66" i="38" a="1"/>
  <c r="L6" i="38" a="1"/>
  <c r="L68" i="38" a="1"/>
  <c r="M64" i="38" a="1"/>
  <c r="AB23" i="38" a="1"/>
  <c r="AB26" i="38" a="1"/>
  <c r="K86" i="38" a="1"/>
  <c r="AB51" i="38" a="1"/>
  <c r="C44" i="38" a="1"/>
  <c r="R18" i="38" a="1"/>
  <c r="AG6" i="38" a="1"/>
  <c r="AG25" i="38" a="1"/>
  <c r="O20" i="38" a="1"/>
  <c r="AD18" i="38" a="1"/>
  <c r="O15" i="38" a="1"/>
  <c r="AE6" i="38" a="1"/>
  <c r="AE12" i="38" a="1"/>
  <c r="B45" i="38" a="1"/>
  <c r="B38" i="38" a="1"/>
  <c r="Q75" i="38" a="1"/>
  <c r="AF68" i="38" a="1"/>
  <c r="B71" i="38" a="1"/>
  <c r="I45" i="38" a="1"/>
  <c r="W13" i="38" a="1"/>
  <c r="J17" i="38" a="1"/>
  <c r="X6" i="38" a="1"/>
  <c r="X13" i="38" a="1"/>
  <c r="N25" i="38" a="1"/>
  <c r="E17" i="38" a="1"/>
  <c r="E86" i="38" a="1"/>
  <c r="T34" i="38" a="1"/>
  <c r="T84" i="38" a="1"/>
  <c r="F70" i="38" a="1"/>
  <c r="F45" i="38" a="1"/>
  <c r="S64" i="38" a="1"/>
  <c r="G38" i="38" a="1"/>
  <c r="G37" i="38" a="1"/>
  <c r="U14" i="38" a="1"/>
  <c r="U35" i="38" a="1"/>
  <c r="S70" i="38" a="1"/>
  <c r="V70" i="38" a="1"/>
  <c r="V33" i="38" a="1"/>
  <c r="H50" i="38" a="1"/>
  <c r="H61" i="38" a="1"/>
  <c r="Y68" i="38" a="1"/>
  <c r="Y83" i="38" a="1"/>
  <c r="T80" i="38" a="1"/>
  <c r="G32" i="38" a="1"/>
  <c r="K34" i="38" a="1"/>
  <c r="Z73" i="38" a="1"/>
  <c r="L13" i="38" a="1"/>
  <c r="L74" i="38" a="1"/>
  <c r="M71" i="38" a="1"/>
  <c r="AB10" i="38" a="1"/>
  <c r="AB11" i="38" a="1"/>
  <c r="Z83" i="38" a="1"/>
  <c r="M50" i="38" a="1"/>
  <c r="C29" i="38" a="1"/>
  <c r="R31" i="38" a="1"/>
  <c r="AG13" i="38" a="1"/>
  <c r="AG76" i="38" a="1"/>
  <c r="O34" i="38" a="1"/>
  <c r="P14" i="38" a="1"/>
  <c r="AE21" i="38" a="1"/>
  <c r="AE31" i="38" a="1"/>
  <c r="B47" i="38" a="1"/>
  <c r="Q58" i="38" a="1"/>
  <c r="O70" i="38" a="1"/>
  <c r="W17" i="38" a="1"/>
  <c r="X9" i="38" a="1"/>
  <c r="N34" i="38" a="1"/>
  <c r="E41" i="38" a="1"/>
  <c r="T88" i="38" a="1"/>
  <c r="F58" i="38" a="1"/>
  <c r="G42" i="38" a="1"/>
  <c r="U19" i="38" a="1"/>
  <c r="S68" i="38" a="1"/>
  <c r="V72" i="38" a="1"/>
  <c r="H79" i="38" a="1"/>
  <c r="Y87" i="38" a="1"/>
  <c r="E75" i="38" a="1"/>
  <c r="K45" i="38" a="1"/>
  <c r="L12" i="38" a="1"/>
  <c r="AB14" i="38" a="1"/>
  <c r="L76" i="38" a="1"/>
  <c r="C59" i="38" a="1"/>
  <c r="AG20" i="38" a="1"/>
  <c r="O38" i="38" a="1"/>
  <c r="P33" i="38" a="1"/>
  <c r="P88" i="38" a="1"/>
  <c r="Q20" i="38" a="1"/>
  <c r="AE68" i="38" a="1"/>
  <c r="J12" i="38" a="1"/>
  <c r="J9" i="38" a="1"/>
  <c r="AC7" i="38" a="1"/>
  <c r="E64" i="38" a="1"/>
  <c r="S69" i="38" a="1"/>
  <c r="U43" i="38" a="1"/>
  <c r="V6" i="38" a="1"/>
  <c r="H59" i="38" a="1"/>
  <c r="Y89" i="38" a="1"/>
  <c r="V65" i="38" a="1"/>
  <c r="K71" i="38" a="1"/>
  <c r="L16" i="38" a="1"/>
  <c r="AB39" i="38" a="1"/>
  <c r="K73" i="38" a="1"/>
  <c r="C60" i="38" a="1"/>
  <c r="AG49" i="38" a="1"/>
  <c r="O42" i="38" a="1"/>
  <c r="P37" i="38" a="1"/>
  <c r="AE83" i="38" a="1"/>
  <c r="Q74" i="38" a="1"/>
  <c r="I48" i="38" a="1"/>
  <c r="J16" i="38" a="1"/>
  <c r="N76" i="38" a="1"/>
  <c r="T45" i="38" a="1"/>
  <c r="S72" i="38" a="1"/>
  <c r="G88" i="38" a="1"/>
  <c r="U6" i="38" a="1"/>
  <c r="V61" i="38" a="1"/>
  <c r="H74" i="38" a="1"/>
  <c r="Y52" i="38" a="1"/>
  <c r="G63" i="38" a="1"/>
  <c r="K74" i="38" a="1"/>
  <c r="L87" i="38" a="1"/>
  <c r="M45" i="38" a="1"/>
  <c r="Z86" i="38" a="1"/>
  <c r="C16" i="38" a="1"/>
  <c r="C86" i="38" a="1"/>
  <c r="AG15" i="38" a="1"/>
  <c r="O50" i="38" a="1"/>
  <c r="P7" i="38" a="1"/>
  <c r="O82" i="38" a="1"/>
  <c r="Q34" i="38" a="1"/>
  <c r="I24" i="38" a="1"/>
  <c r="J20" i="38" a="1"/>
  <c r="AC74" i="38" a="1"/>
  <c r="T44" i="38" a="1"/>
  <c r="G76" i="38" a="1"/>
  <c r="U84" i="38" a="1"/>
  <c r="U79" i="38" a="1"/>
  <c r="V56" i="38" a="1"/>
  <c r="H72" i="38" a="1"/>
  <c r="Y44" i="38" a="1"/>
  <c r="K25" i="38" a="1"/>
  <c r="L83" i="38" a="1"/>
  <c r="M16" i="38" a="1"/>
  <c r="K26" i="38" a="1"/>
  <c r="R16" i="38" a="1"/>
  <c r="AG22" i="38" a="1"/>
  <c r="O71" i="38" a="1"/>
  <c r="AE70" i="38" a="1"/>
  <c r="B76" i="38" a="1"/>
  <c r="AF86" i="38" a="1"/>
  <c r="W71" i="38" a="1"/>
  <c r="X84" i="38" a="1"/>
  <c r="E48" i="38" a="1"/>
  <c r="F32" i="38" a="1"/>
  <c r="S61" i="38" a="1"/>
  <c r="G60" i="38" a="1"/>
  <c r="U57" i="38" a="1"/>
  <c r="V73" i="38" a="1"/>
  <c r="Y12" i="38" a="1"/>
  <c r="S9" i="38" a="1"/>
  <c r="K52" i="38" a="1"/>
  <c r="L11" i="38" a="1"/>
  <c r="AB82" i="38" a="1"/>
  <c r="Z68" i="38" a="1"/>
  <c r="R28" i="38" a="1"/>
  <c r="R37" i="38" a="1"/>
  <c r="P79" i="38" a="1"/>
  <c r="B16" i="38" a="1"/>
  <c r="AF45" i="38" a="1"/>
  <c r="I31" i="38" a="1"/>
  <c r="N23" i="38" a="1"/>
  <c r="H87" i="38" a="1"/>
  <c r="AD25" i="38" a="1"/>
  <c r="B48" i="38" a="1"/>
  <c r="AF75" i="38" a="1"/>
  <c r="I29" i="38" a="1"/>
  <c r="J24" i="38" a="1"/>
  <c r="J11" i="38" a="1"/>
  <c r="E31" i="38" a="1"/>
  <c r="T71" i="38" a="1"/>
  <c r="F89" i="38" a="1"/>
  <c r="S42" i="38" a="1"/>
  <c r="G66" i="38" a="1"/>
  <c r="U74" i="38" a="1"/>
  <c r="V24" i="38" a="1"/>
  <c r="H22" i="38" a="1"/>
  <c r="Y75" i="38" a="1"/>
  <c r="S76" i="38" a="1"/>
  <c r="K15" i="38" a="1"/>
  <c r="Z80" i="38" a="1"/>
  <c r="L20" i="38" a="1"/>
  <c r="M28" i="38" a="1"/>
  <c r="AB75" i="38" a="1"/>
  <c r="AB49" i="38" a="1"/>
  <c r="R41" i="38" a="1"/>
  <c r="AG16" i="38" a="1"/>
  <c r="AD34" i="38" a="1"/>
  <c r="AE29" i="38" a="1"/>
  <c r="B31" i="38" a="1"/>
  <c r="Q59" i="38" a="1"/>
  <c r="AF82" i="38" a="1"/>
  <c r="W14" i="38" a="1"/>
  <c r="X33" i="38" a="1"/>
  <c r="E49" i="38" a="1"/>
  <c r="T50" i="38" a="1"/>
  <c r="T60" i="38" a="1"/>
  <c r="F16" i="38" a="1"/>
  <c r="S6" i="38" a="1"/>
  <c r="G14" i="38" a="1"/>
  <c r="G40" i="38" a="1"/>
  <c r="U77" i="38" a="1"/>
  <c r="V11" i="38" a="1"/>
  <c r="H51" i="38" a="1"/>
  <c r="Y82" i="38" a="1"/>
  <c r="F61" i="38" a="1"/>
  <c r="K28" i="38" a="1"/>
  <c r="Z17" i="38" a="1"/>
  <c r="M36" i="38" a="1"/>
  <c r="Z89" i="38" a="1"/>
  <c r="C24" i="38" a="1"/>
  <c r="R91" i="38" a="1"/>
  <c r="AG19" i="38" a="1"/>
  <c r="AD47" i="38" a="1"/>
  <c r="AE33" i="38" a="1"/>
  <c r="B17" i="38" a="1"/>
  <c r="B68" i="38" a="1"/>
  <c r="W16" i="38" a="1"/>
  <c r="X35" i="38" a="1"/>
  <c r="AC14" i="38" a="1"/>
  <c r="E5" i="38" a="1"/>
  <c r="E72" i="38" a="1"/>
  <c r="T63" i="38" a="1"/>
  <c r="F56" i="38" a="1"/>
  <c r="S13" i="38" a="1"/>
  <c r="G22" i="38" a="1"/>
  <c r="U15" i="38" a="1"/>
  <c r="V5" i="38" a="1"/>
  <c r="V55" i="38" a="1"/>
  <c r="H64" i="38" a="1"/>
  <c r="Y21" i="38" a="1"/>
  <c r="V58" i="38" a="1"/>
  <c r="K36" i="38" a="1"/>
  <c r="Z42" i="38" a="1"/>
  <c r="L79" i="38" a="1"/>
  <c r="AB28" i="38" a="1"/>
  <c r="K70" i="38" a="1"/>
  <c r="R48" i="38" a="1"/>
  <c r="R88" i="38" a="1"/>
  <c r="AD58" i="38" a="1"/>
  <c r="AE15" i="38" a="1"/>
  <c r="B39" i="38" a="1"/>
  <c r="AF7" i="38" a="1"/>
  <c r="W49" i="38" a="1"/>
  <c r="X50" i="38" a="1"/>
  <c r="AC21" i="38" a="1"/>
  <c r="S36" i="38" a="1"/>
  <c r="U56" i="38" a="1"/>
  <c r="Y34" i="38" a="1"/>
  <c r="U51" i="38" a="1"/>
  <c r="Z12" i="38" a="1"/>
  <c r="M12" i="38" a="1"/>
  <c r="AB33" i="38" a="1"/>
  <c r="C63" i="38" a="1"/>
  <c r="R53" i="38" a="1"/>
  <c r="R39" i="38" a="1"/>
  <c r="P72" i="38" a="1"/>
  <c r="B19" i="38" a="1"/>
  <c r="AF41" i="38" a="1"/>
  <c r="W5" i="38" a="1"/>
  <c r="J63" i="38" a="1"/>
  <c r="N9" i="38" a="1"/>
  <c r="E90" i="38" a="1"/>
  <c r="T21" i="38" a="1"/>
  <c r="F29" i="38" a="1"/>
  <c r="S60" i="38" a="1"/>
  <c r="U39" i="38" a="1"/>
  <c r="V40" i="38" a="1"/>
  <c r="S43" i="38" a="1"/>
  <c r="Y48" i="38" a="1"/>
  <c r="F50" i="38" a="1"/>
  <c r="S83" i="38" a="1"/>
  <c r="Z19" i="38" a="1"/>
  <c r="M26" i="38" a="1"/>
  <c r="AB22" i="38" a="1"/>
  <c r="C77" i="38" a="1"/>
  <c r="R81" i="38" a="1"/>
  <c r="O72" i="38" a="1"/>
  <c r="AE77" i="38" a="1"/>
  <c r="B77" i="38" a="1"/>
  <c r="AF76" i="38" a="1"/>
  <c r="W12" i="38" a="1"/>
  <c r="J70" i="38" a="1"/>
  <c r="N32" i="38" a="1"/>
  <c r="AA4" i="38" a="1"/>
  <c r="D4" i="38" a="1"/>
  <c r="C14" i="38" l="1"/>
  <c r="C6" i="38"/>
  <c r="C22" i="38"/>
  <c r="C55" i="38"/>
  <c r="C87" i="38"/>
  <c r="C48" i="38"/>
  <c r="C83" i="38"/>
  <c r="C90" i="38"/>
  <c r="C12" i="38"/>
  <c r="C15" i="38"/>
  <c r="C47" i="38"/>
  <c r="C65" i="38"/>
  <c r="C20" i="38"/>
  <c r="C50" i="38"/>
  <c r="C58" i="38"/>
  <c r="C33" i="38"/>
  <c r="C76" i="38"/>
  <c r="C89" i="38"/>
  <c r="C13" i="38"/>
  <c r="C51" i="38"/>
  <c r="C73" i="38"/>
  <c r="C64" i="38"/>
  <c r="C75" i="38"/>
  <c r="C72" i="38"/>
  <c r="C31" i="38"/>
  <c r="C43" i="38"/>
  <c r="C88" i="38"/>
  <c r="C11" i="38"/>
  <c r="C69" i="38"/>
  <c r="C30" i="38"/>
  <c r="C39" i="38"/>
  <c r="C7" i="38"/>
  <c r="C42" i="38"/>
  <c r="C79" i="38"/>
  <c r="C66" i="38"/>
  <c r="C41" i="38"/>
  <c r="C4" i="38"/>
  <c r="N32" i="38"/>
  <c r="J70" i="38"/>
  <c r="W12" i="38"/>
  <c r="AF76" i="38"/>
  <c r="B77" i="38"/>
  <c r="AE77" i="38"/>
  <c r="O72" i="38"/>
  <c r="R81" i="38"/>
  <c r="C77" i="38"/>
  <c r="AB22" i="38"/>
  <c r="M26" i="38"/>
  <c r="Z19" i="38"/>
  <c r="S83" i="38"/>
  <c r="F50" i="38"/>
  <c r="Y48" i="38"/>
  <c r="S43" i="38"/>
  <c r="V40" i="38"/>
  <c r="U39" i="38"/>
  <c r="S60" i="38"/>
  <c r="F29" i="38"/>
  <c r="T21" i="38"/>
  <c r="E90" i="38"/>
  <c r="N9" i="38"/>
  <c r="J63" i="38"/>
  <c r="W5" i="38"/>
  <c r="AF41" i="38"/>
  <c r="B19" i="38"/>
  <c r="P72" i="38"/>
  <c r="R39" i="38"/>
  <c r="R53" i="38"/>
  <c r="C63" i="38"/>
  <c r="AB33" i="38"/>
  <c r="M12" i="38"/>
  <c r="Z12" i="38"/>
  <c r="U51" i="38"/>
  <c r="Y34" i="38"/>
  <c r="U56" i="38"/>
  <c r="S36" i="38"/>
  <c r="AC21" i="38"/>
  <c r="X50" i="38"/>
  <c r="W49" i="38"/>
  <c r="AF7" i="38"/>
  <c r="B39" i="38"/>
  <c r="AE15" i="38"/>
  <c r="AD58" i="38"/>
  <c r="R88" i="38"/>
  <c r="R48" i="38"/>
  <c r="K70" i="38"/>
  <c r="AB28" i="38"/>
  <c r="L79" i="38"/>
  <c r="Z42" i="38"/>
  <c r="K36" i="38"/>
  <c r="V58" i="38"/>
  <c r="Y21" i="38"/>
  <c r="H64" i="38"/>
  <c r="V55" i="38"/>
  <c r="V5" i="38"/>
  <c r="U15" i="38"/>
  <c r="G22" i="38"/>
  <c r="S13" i="38"/>
  <c r="F56" i="38"/>
  <c r="T63" i="38"/>
  <c r="E72" i="38"/>
  <c r="E5" i="38"/>
  <c r="AC14" i="38"/>
  <c r="X35" i="38"/>
  <c r="W16" i="38"/>
  <c r="B68" i="38"/>
  <c r="B17" i="38"/>
  <c r="AE33" i="38"/>
  <c r="AD47" i="38"/>
  <c r="AG19" i="38"/>
  <c r="R91" i="38"/>
  <c r="C24" i="38"/>
  <c r="Z89" i="38"/>
  <c r="M36" i="38"/>
  <c r="Z17" i="38"/>
  <c r="K28" i="38"/>
  <c r="F61" i="38"/>
  <c r="Y82" i="38"/>
  <c r="H51" i="38"/>
  <c r="V11" i="38"/>
  <c r="U77" i="38"/>
  <c r="G40" i="38"/>
  <c r="G14" i="38"/>
  <c r="S6" i="38"/>
  <c r="F16" i="38"/>
  <c r="T60" i="38"/>
  <c r="T50" i="38"/>
  <c r="E49" i="38"/>
  <c r="X33" i="38"/>
  <c r="W14" i="38"/>
  <c r="AF82" i="38"/>
  <c r="Q59" i="38"/>
  <c r="B31" i="38"/>
  <c r="AE29" i="38"/>
  <c r="AD34" i="38"/>
  <c r="AG16" i="38"/>
  <c r="R41" i="38"/>
  <c r="AB49" i="38"/>
  <c r="AB75" i="38"/>
  <c r="M28" i="38"/>
  <c r="L20" i="38"/>
  <c r="Z80" i="38"/>
  <c r="K15" i="38"/>
  <c r="S76" i="38"/>
  <c r="Y75" i="38"/>
  <c r="H22" i="38"/>
  <c r="V24" i="38"/>
  <c r="U74" i="38"/>
  <c r="G66" i="38"/>
  <c r="S42" i="38"/>
  <c r="F89" i="38"/>
  <c r="T71" i="38"/>
  <c r="E31" i="38"/>
  <c r="J11" i="38"/>
  <c r="J24" i="38"/>
  <c r="I29" i="38"/>
  <c r="AF75" i="38"/>
  <c r="B48" i="38"/>
  <c r="AD25" i="38"/>
  <c r="H87" i="38"/>
  <c r="N23" i="38"/>
  <c r="I31" i="38"/>
  <c r="AF45" i="38"/>
  <c r="B16" i="38"/>
  <c r="P79" i="38"/>
  <c r="R37" i="38"/>
  <c r="R28" i="38"/>
  <c r="Z68" i="38"/>
  <c r="AB82" i="38"/>
  <c r="L11" i="38"/>
  <c r="K52" i="38"/>
  <c r="S9" i="38"/>
  <c r="Y12" i="38"/>
  <c r="V73" i="38"/>
  <c r="U57" i="38"/>
  <c r="G60" i="38"/>
  <c r="S61" i="38"/>
  <c r="F32" i="38"/>
  <c r="E48" i="38"/>
  <c r="X84" i="38"/>
  <c r="W71" i="38"/>
  <c r="AF86" i="38"/>
  <c r="B76" i="38"/>
  <c r="AE70" i="38"/>
  <c r="O71" i="38"/>
  <c r="AG22" i="38"/>
  <c r="R16" i="38"/>
  <c r="K26" i="38"/>
  <c r="M16" i="38"/>
  <c r="L83" i="38"/>
  <c r="K25" i="38"/>
  <c r="Y44" i="38"/>
  <c r="H72" i="38"/>
  <c r="V56" i="38"/>
  <c r="U79" i="38"/>
  <c r="U84" i="38"/>
  <c r="G76" i="38"/>
  <c r="T44" i="38"/>
  <c r="AC74" i="38"/>
  <c r="J20" i="38"/>
  <c r="I24" i="38"/>
  <c r="Q34" i="38"/>
  <c r="O82" i="38"/>
  <c r="P7" i="38"/>
  <c r="O50" i="38"/>
  <c r="AG15" i="38"/>
  <c r="C86" i="38"/>
  <c r="C16" i="38"/>
  <c r="Z86" i="38"/>
  <c r="M45" i="38"/>
  <c r="L87" i="38"/>
  <c r="K74" i="38"/>
  <c r="G63" i="38"/>
  <c r="Y52" i="38"/>
  <c r="H74" i="38"/>
  <c r="V61" i="38"/>
  <c r="U6" i="38"/>
  <c r="G88" i="38"/>
  <c r="S72" i="38"/>
  <c r="T45" i="38"/>
  <c r="N76" i="38"/>
  <c r="J16" i="38"/>
  <c r="I48" i="38"/>
  <c r="Q74" i="38"/>
  <c r="AE83" i="38"/>
  <c r="P37" i="38"/>
  <c r="O42" i="38"/>
  <c r="AG49" i="38"/>
  <c r="C60" i="38"/>
  <c r="K73" i="38"/>
  <c r="AB39" i="38"/>
  <c r="L16" i="38"/>
  <c r="K71" i="38"/>
  <c r="V65" i="38"/>
  <c r="Y89" i="38"/>
  <c r="H59" i="38"/>
  <c r="V6" i="38"/>
  <c r="U43" i="38"/>
  <c r="S69" i="38"/>
  <c r="E64" i="38"/>
  <c r="AC7" i="38"/>
  <c r="J9" i="38"/>
  <c r="J12" i="38"/>
  <c r="AE68" i="38"/>
  <c r="Q20" i="38"/>
  <c r="P88" i="38"/>
  <c r="P33" i="38"/>
  <c r="O38" i="38"/>
  <c r="AG20" i="38"/>
  <c r="C59" i="38"/>
  <c r="L76" i="38"/>
  <c r="AB14" i="38"/>
  <c r="L12" i="38"/>
  <c r="K45" i="38"/>
  <c r="E75" i="38"/>
  <c r="Y87" i="38"/>
  <c r="H79" i="38"/>
  <c r="V72" i="38"/>
  <c r="S68" i="38"/>
  <c r="U19" i="38"/>
  <c r="G42" i="38"/>
  <c r="F58" i="38"/>
  <c r="T88" i="38"/>
  <c r="E41" i="38"/>
  <c r="N34" i="38"/>
  <c r="X9" i="38"/>
  <c r="W17" i="38"/>
  <c r="O70" i="38"/>
  <c r="Q58" i="38"/>
  <c r="B47" i="38"/>
  <c r="AE31" i="38"/>
  <c r="AE21" i="38"/>
  <c r="P14" i="38"/>
  <c r="O34" i="38"/>
  <c r="AG76" i="38"/>
  <c r="AG13" i="38"/>
  <c r="R31" i="38"/>
  <c r="C29" i="38"/>
  <c r="M50" i="38"/>
  <c r="Z83" i="38"/>
  <c r="AB11" i="38"/>
  <c r="AB10" i="38"/>
  <c r="M71" i="38"/>
  <c r="L74" i="38"/>
  <c r="L13" i="38"/>
  <c r="Z73" i="38"/>
  <c r="K34" i="38"/>
  <c r="G32" i="38"/>
  <c r="T80" i="38"/>
  <c r="Y83" i="38"/>
  <c r="Y68" i="38"/>
  <c r="H61" i="38"/>
  <c r="H50" i="38"/>
  <c r="V33" i="38"/>
  <c r="V70" i="38"/>
  <c r="S70" i="38"/>
  <c r="U35" i="38"/>
  <c r="U14" i="38"/>
  <c r="G37" i="38"/>
  <c r="G38" i="38"/>
  <c r="S64" i="38"/>
  <c r="F45" i="38"/>
  <c r="F70" i="38"/>
  <c r="T84" i="38"/>
  <c r="T34" i="38"/>
  <c r="E86" i="38"/>
  <c r="E17" i="38"/>
  <c r="N25" i="38"/>
  <c r="X13" i="38"/>
  <c r="X6" i="38"/>
  <c r="J17" i="38"/>
  <c r="W13" i="38"/>
  <c r="I45" i="38"/>
  <c r="B71" i="38"/>
  <c r="AF68" i="38"/>
  <c r="Q75" i="38"/>
  <c r="B38" i="38"/>
  <c r="B45" i="38"/>
  <c r="AE12" i="38"/>
  <c r="AE6" i="38"/>
  <c r="O15" i="38"/>
  <c r="AD18" i="38"/>
  <c r="O20" i="38"/>
  <c r="AG25" i="38"/>
  <c r="AG6" i="38"/>
  <c r="R18" i="38"/>
  <c r="C44" i="38"/>
  <c r="AB51" i="38"/>
  <c r="K86" i="38"/>
  <c r="AB26" i="38"/>
  <c r="AB23" i="38"/>
  <c r="M64" i="38"/>
  <c r="L68" i="38"/>
  <c r="L6" i="38"/>
  <c r="Z66" i="38"/>
  <c r="K38" i="38"/>
  <c r="Y33" i="38"/>
  <c r="S82" i="38"/>
  <c r="T56" i="38"/>
  <c r="Y63" i="38"/>
  <c r="Y61" i="38"/>
  <c r="H84" i="38"/>
  <c r="H24" i="38"/>
  <c r="V13" i="38"/>
  <c r="V48" i="38"/>
  <c r="U49" i="38"/>
  <c r="U89" i="38"/>
  <c r="E51" i="38"/>
  <c r="G6" i="38"/>
  <c r="G19" i="38"/>
  <c r="S81" i="38"/>
  <c r="F83" i="38"/>
  <c r="F42" i="38"/>
  <c r="T81" i="38"/>
  <c r="T47" i="38"/>
  <c r="E33" i="38"/>
  <c r="E39" i="38"/>
  <c r="N22" i="38"/>
  <c r="X15" i="38"/>
  <c r="X17" i="38"/>
  <c r="J10" i="38"/>
  <c r="W9" i="38"/>
  <c r="I41" i="38"/>
  <c r="AD71" i="38"/>
  <c r="AF32" i="38"/>
  <c r="Q33" i="38"/>
  <c r="B37" i="38"/>
  <c r="B13" i="38"/>
  <c r="AE38" i="38"/>
  <c r="P42" i="38"/>
  <c r="AD16" i="38"/>
  <c r="AD10" i="38"/>
  <c r="O13" i="38"/>
  <c r="AG21" i="38"/>
  <c r="R29" i="38"/>
  <c r="R82" i="38"/>
  <c r="C35" i="38"/>
  <c r="K56" i="38"/>
  <c r="Z90" i="38"/>
  <c r="AB19" i="38"/>
  <c r="AB16" i="38"/>
  <c r="M53" i="38"/>
  <c r="L48" i="38"/>
  <c r="K53" i="38"/>
  <c r="Z41" i="38"/>
  <c r="K30" i="38"/>
  <c r="U42" i="38"/>
  <c r="E21" i="38"/>
  <c r="Y65" i="38"/>
  <c r="Y42" i="38"/>
  <c r="Y18" i="38"/>
  <c r="H55" i="38"/>
  <c r="H11" i="38"/>
  <c r="V57" i="38"/>
  <c r="V47" i="38"/>
  <c r="U48" i="38"/>
  <c r="U63" i="38"/>
  <c r="T89" i="38"/>
  <c r="G53" i="38"/>
  <c r="G25" i="38"/>
  <c r="S32" i="38"/>
  <c r="F25" i="38"/>
  <c r="F53" i="38"/>
  <c r="T29" i="38"/>
  <c r="T13" i="38"/>
  <c r="E70" i="38"/>
  <c r="P24" i="38"/>
  <c r="G83" i="38"/>
  <c r="Q49" i="38"/>
  <c r="Q11" i="38"/>
  <c r="V16" i="38"/>
  <c r="I33" i="38"/>
  <c r="N18" i="38"/>
  <c r="X19" i="38"/>
  <c r="X10" i="38"/>
  <c r="W45" i="38"/>
  <c r="W21" i="38"/>
  <c r="P17" i="38"/>
  <c r="AD74" i="38"/>
  <c r="AF29" i="38"/>
  <c r="Q84" i="38"/>
  <c r="B29" i="38"/>
  <c r="B24" i="38"/>
  <c r="AE30" i="38"/>
  <c r="P34" i="38"/>
  <c r="AD26" i="38"/>
  <c r="AD17" i="38"/>
  <c r="AB24" i="38"/>
  <c r="AG53" i="38"/>
  <c r="R26" i="38"/>
  <c r="R36" i="38"/>
  <c r="C26" i="38"/>
  <c r="L58" i="38"/>
  <c r="K79" i="38"/>
  <c r="AB90" i="38"/>
  <c r="AB9" i="38"/>
  <c r="M31" i="38"/>
  <c r="L52" i="38"/>
  <c r="K64" i="38"/>
  <c r="Z32" i="38"/>
  <c r="K81" i="38"/>
  <c r="Y49" i="38"/>
  <c r="G31" i="38"/>
  <c r="G86" i="38"/>
  <c r="Y41" i="38"/>
  <c r="Y20" i="38"/>
  <c r="H39" i="38"/>
  <c r="H16" i="38"/>
  <c r="V18" i="38"/>
  <c r="V88" i="38"/>
  <c r="U44" i="38"/>
  <c r="U65" i="38"/>
  <c r="G74" i="38"/>
  <c r="G43" i="38"/>
  <c r="S28" i="38"/>
  <c r="S16" i="38"/>
  <c r="F87" i="38"/>
  <c r="F48" i="38"/>
  <c r="T36" i="38"/>
  <c r="T43" i="38"/>
  <c r="E56" i="38"/>
  <c r="Z45" i="38"/>
  <c r="Q19" i="38"/>
  <c r="AF53" i="38"/>
  <c r="Z82" i="38"/>
  <c r="AC31" i="38"/>
  <c r="N7" i="38"/>
  <c r="X25" i="38"/>
  <c r="J84" i="38"/>
  <c r="W28" i="38"/>
  <c r="W19" i="38"/>
  <c r="AD20" i="38"/>
  <c r="P75" i="38"/>
  <c r="AF14" i="38"/>
  <c r="Q77" i="38"/>
  <c r="B21" i="38"/>
  <c r="B20" i="38"/>
  <c r="AE84" i="38"/>
  <c r="P86" i="38"/>
  <c r="O45" i="38"/>
  <c r="AD9" i="38"/>
  <c r="M33" i="38"/>
  <c r="AG58" i="38"/>
  <c r="R56" i="38"/>
  <c r="R32" i="38"/>
  <c r="C84" i="38"/>
  <c r="M63" i="38"/>
  <c r="L9" i="38"/>
  <c r="AB86" i="38"/>
  <c r="M48" i="38"/>
  <c r="M15" i="38"/>
  <c r="L29" i="38"/>
  <c r="K84" i="38"/>
  <c r="Z28" i="38"/>
  <c r="K47" i="38"/>
  <c r="F76" i="38"/>
  <c r="T41" i="38"/>
  <c r="T6" i="38"/>
  <c r="Y71" i="38"/>
  <c r="Y16" i="38"/>
  <c r="H35" i="38"/>
  <c r="H17" i="38"/>
  <c r="V10" i="38"/>
  <c r="V52" i="38"/>
  <c r="U5" i="38"/>
  <c r="U64" i="38"/>
  <c r="G68" i="38"/>
  <c r="G24" i="38"/>
  <c r="S51" i="38"/>
  <c r="S5" i="38"/>
  <c r="F30" i="38"/>
  <c r="F43" i="38"/>
  <c r="T91" i="38"/>
  <c r="T31" i="38"/>
  <c r="E55" i="38"/>
  <c r="AC26" i="38"/>
  <c r="J56" i="38"/>
  <c r="I86" i="38"/>
  <c r="AF5" i="38"/>
  <c r="G32" i="2" s="1"/>
  <c r="Q30" i="38"/>
  <c r="B5" i="38"/>
  <c r="AD86" i="38"/>
  <c r="O56" i="38"/>
  <c r="AB44" i="38"/>
  <c r="R7" i="38"/>
  <c r="C36" i="38"/>
  <c r="AB77" i="38"/>
  <c r="AB53" i="38"/>
  <c r="M17" i="38"/>
  <c r="M5" i="38"/>
  <c r="L66" i="38"/>
  <c r="Z43" i="38"/>
  <c r="K89" i="38"/>
  <c r="H56" i="38"/>
  <c r="S56" i="38"/>
  <c r="Y11" i="38"/>
  <c r="H58" i="38"/>
  <c r="V39" i="38"/>
  <c r="V38" i="38"/>
  <c r="U47" i="38"/>
  <c r="S48" i="38"/>
  <c r="F17" i="38"/>
  <c r="T37" i="38"/>
  <c r="E18" i="38"/>
  <c r="N40" i="38"/>
  <c r="W79" i="38"/>
  <c r="B40" i="38"/>
  <c r="AF24" i="38"/>
  <c r="Q21" i="38"/>
  <c r="AE18" i="38"/>
  <c r="AE49" i="38"/>
  <c r="P51" i="38"/>
  <c r="C53" i="38"/>
  <c r="AG66" i="38"/>
  <c r="R21" i="38"/>
  <c r="R5" i="38"/>
  <c r="C32" i="38"/>
  <c r="K16" i="38"/>
  <c r="Z39" i="38"/>
  <c r="AB36" i="38"/>
  <c r="M13" i="38"/>
  <c r="M10" i="38"/>
  <c r="L59" i="38"/>
  <c r="Z35" i="38"/>
  <c r="Z11" i="38"/>
  <c r="K42" i="38"/>
  <c r="T58" i="38"/>
  <c r="S79" i="38"/>
  <c r="Y23" i="38"/>
  <c r="Y70" i="38"/>
  <c r="H77" i="38"/>
  <c r="H57" i="38"/>
  <c r="U40" i="38"/>
  <c r="V41" i="38"/>
  <c r="V34" i="38"/>
  <c r="U36" i="38"/>
  <c r="U29" i="38"/>
  <c r="G39" i="38"/>
  <c r="G62" i="38"/>
  <c r="S88" i="38"/>
  <c r="S22" i="38"/>
  <c r="F84" i="38"/>
  <c r="F11" i="38"/>
  <c r="T74" i="38"/>
  <c r="E83" i="38"/>
  <c r="E16" i="38"/>
  <c r="W53" i="38"/>
  <c r="Q70" i="38"/>
  <c r="AG29" i="38"/>
  <c r="M20" i="38"/>
  <c r="H28" i="38"/>
  <c r="AC30" i="38"/>
  <c r="Q25" i="38"/>
  <c r="AD77" i="38"/>
  <c r="Z71" i="38"/>
  <c r="Z44" i="38"/>
  <c r="Y5" i="38"/>
  <c r="V17" i="38"/>
  <c r="G87" i="38"/>
  <c r="S55" i="38"/>
  <c r="F81" i="38"/>
  <c r="F21" i="38"/>
  <c r="E22" i="38"/>
  <c r="AC12" i="38"/>
  <c r="I75" i="38"/>
  <c r="P31" i="38"/>
  <c r="B61" i="38"/>
  <c r="P58" i="38"/>
  <c r="R23" i="38"/>
  <c r="Y36" i="38"/>
  <c r="Y22" i="38"/>
  <c r="T9" i="38"/>
  <c r="U75" i="38"/>
  <c r="G84" i="38"/>
  <c r="S25" i="38"/>
  <c r="F26" i="38"/>
  <c r="E71" i="38"/>
  <c r="AC16" i="38"/>
  <c r="J15" i="38"/>
  <c r="I23" i="38"/>
  <c r="AF72" i="38"/>
  <c r="B72" i="38"/>
  <c r="O88" i="38"/>
  <c r="AC5" i="38"/>
  <c r="N47" i="38"/>
  <c r="X63" i="38"/>
  <c r="J28" i="38"/>
  <c r="W65" i="38"/>
  <c r="I36" i="38"/>
  <c r="AE42" i="38"/>
  <c r="AF56" i="38"/>
  <c r="AF20" i="38"/>
  <c r="Q45" i="38"/>
  <c r="B65" i="38"/>
  <c r="O79" i="38"/>
  <c r="AE13" i="38"/>
  <c r="P48" i="38"/>
  <c r="AD72" i="38"/>
  <c r="O81" i="38"/>
  <c r="Z81" i="38"/>
  <c r="AG59" i="38"/>
  <c r="R72" i="38"/>
  <c r="C38" i="38"/>
  <c r="C25" i="38"/>
  <c r="L21" i="38"/>
  <c r="M73" i="38"/>
  <c r="AB20" i="38"/>
  <c r="M6" i="38"/>
  <c r="K72" i="38"/>
  <c r="L45" i="38"/>
  <c r="Z21" i="38"/>
  <c r="K13" i="38"/>
  <c r="K51" i="38"/>
  <c r="Y60" i="38"/>
  <c r="Y47" i="38"/>
  <c r="Y53" i="38"/>
  <c r="Y66" i="38"/>
  <c r="H12" i="38"/>
  <c r="H40" i="38"/>
  <c r="S71" i="38"/>
  <c r="V68" i="38"/>
  <c r="V20" i="38"/>
  <c r="U70" i="38"/>
  <c r="U37" i="38"/>
  <c r="G57" i="38"/>
  <c r="G55" i="38"/>
  <c r="S30" i="38"/>
  <c r="S12" i="38"/>
  <c r="F39" i="38"/>
  <c r="T65" i="38"/>
  <c r="T83" i="38"/>
  <c r="E60" i="38"/>
  <c r="E87" i="38"/>
  <c r="O73" i="38"/>
  <c r="Q44" i="38"/>
  <c r="V45" i="38"/>
  <c r="E45" i="38"/>
  <c r="X77" i="38"/>
  <c r="AF73" i="38"/>
  <c r="AE56" i="38"/>
  <c r="AG73" i="38"/>
  <c r="Z37" i="38"/>
  <c r="Z40" i="38"/>
  <c r="G69" i="38"/>
  <c r="X70" i="38"/>
  <c r="AD79" i="38"/>
  <c r="AC22" i="38"/>
  <c r="N69" i="38"/>
  <c r="X51" i="38"/>
  <c r="J21" i="38"/>
  <c r="W58" i="38"/>
  <c r="I25" i="38"/>
  <c r="AE44" i="38"/>
  <c r="AF18" i="38"/>
  <c r="AF16" i="38"/>
  <c r="Q41" i="38"/>
  <c r="B58" i="38"/>
  <c r="AE80" i="38"/>
  <c r="AE23" i="38"/>
  <c r="P22" i="38"/>
  <c r="AD65" i="38"/>
  <c r="O60" i="38"/>
  <c r="M83" i="38"/>
  <c r="AG35" i="38"/>
  <c r="R42" i="38"/>
  <c r="C21" i="38"/>
  <c r="C19" i="38"/>
  <c r="L42" i="38"/>
  <c r="AB80" i="38"/>
  <c r="AB42" i="38"/>
  <c r="M87" i="38"/>
  <c r="L75" i="38"/>
  <c r="L34" i="38"/>
  <c r="Z91" i="38"/>
  <c r="K12" i="38"/>
  <c r="K40" i="38"/>
  <c r="Y84" i="38"/>
  <c r="Y57" i="38"/>
  <c r="Y29" i="38"/>
  <c r="Y25" i="38"/>
  <c r="H69" i="38"/>
  <c r="H81" i="38"/>
  <c r="E82" i="38"/>
  <c r="V62" i="38"/>
  <c r="V12" i="38"/>
  <c r="U53" i="38"/>
  <c r="U24" i="38"/>
  <c r="G64" i="38"/>
  <c r="G49" i="38"/>
  <c r="S75" i="38"/>
  <c r="S44" i="38"/>
  <c r="F75" i="38"/>
  <c r="T51" i="38"/>
  <c r="T82" i="38"/>
  <c r="E36" i="38"/>
  <c r="E66" i="38"/>
  <c r="S77" i="38"/>
  <c r="S31" i="38"/>
  <c r="F23" i="38"/>
  <c r="F12" i="38"/>
  <c r="F19" i="38"/>
  <c r="F66" i="38"/>
  <c r="F20" i="38"/>
  <c r="T19" i="38"/>
  <c r="T72" i="38"/>
  <c r="T33" i="38"/>
  <c r="T30" i="38"/>
  <c r="T39" i="38"/>
  <c r="E15" i="38"/>
  <c r="E11" i="38"/>
  <c r="E44" i="38"/>
  <c r="E80" i="38"/>
  <c r="E9" i="38"/>
  <c r="AC18" i="38"/>
  <c r="N16" i="38"/>
  <c r="W11" i="38"/>
  <c r="X56" i="38"/>
  <c r="J77" i="38"/>
  <c r="J5" i="38"/>
  <c r="W72" i="38"/>
  <c r="W6" i="38"/>
  <c r="I37" i="38"/>
  <c r="AE35" i="38"/>
  <c r="B74" i="38"/>
  <c r="AF57" i="38"/>
  <c r="AF37" i="38"/>
  <c r="Q51" i="38"/>
  <c r="Q37" i="38"/>
  <c r="B80" i="38"/>
  <c r="B42" i="38"/>
  <c r="B12" i="38"/>
  <c r="P90" i="38"/>
  <c r="AE63" i="38"/>
  <c r="AE20" i="38"/>
  <c r="P65" i="38"/>
  <c r="P29" i="38"/>
  <c r="O76" i="38"/>
  <c r="AD52" i="38"/>
  <c r="AD13" i="38"/>
  <c r="O74" i="38"/>
  <c r="O17" i="38"/>
  <c r="K49" i="38"/>
  <c r="AG86" i="38"/>
  <c r="AG24" i="38"/>
  <c r="AG38" i="38"/>
  <c r="R17" i="38"/>
  <c r="R69" i="38"/>
  <c r="R89" i="38"/>
  <c r="R24" i="38"/>
  <c r="C49" i="38"/>
  <c r="C70" i="38"/>
  <c r="C5" i="38"/>
  <c r="AB60" i="38"/>
  <c r="Z31" i="38"/>
  <c r="M89" i="38"/>
  <c r="L39" i="38"/>
  <c r="AB72" i="38"/>
  <c r="AB63" i="38"/>
  <c r="AB7" i="38"/>
  <c r="M32" i="38"/>
  <c r="M88" i="38"/>
  <c r="M57" i="38"/>
  <c r="M14" i="38"/>
  <c r="L77" i="38"/>
  <c r="L86" i="38"/>
  <c r="L17" i="38"/>
  <c r="K66" i="38"/>
  <c r="Z15" i="38"/>
  <c r="Z59" i="38"/>
  <c r="Z18" i="38"/>
  <c r="K41" i="38"/>
  <c r="K29" i="38"/>
  <c r="K32" i="38"/>
  <c r="T68" i="38"/>
  <c r="H76" i="38"/>
  <c r="G15" i="38"/>
  <c r="H63" i="38"/>
  <c r="Y81" i="38"/>
  <c r="V19" i="38"/>
  <c r="Y40" i="38"/>
  <c r="Y31" i="38"/>
  <c r="Y51" i="38"/>
  <c r="Y38" i="38"/>
  <c r="Y15" i="38"/>
  <c r="H19" i="38"/>
  <c r="H5" i="38"/>
  <c r="H60" i="38"/>
  <c r="H15" i="38"/>
  <c r="T73" i="38"/>
  <c r="V84" i="38"/>
  <c r="V76" i="38"/>
  <c r="V89" i="38"/>
  <c r="V29" i="38"/>
  <c r="V22" i="38"/>
  <c r="U32" i="38"/>
  <c r="U59" i="38"/>
  <c r="U71" i="38"/>
  <c r="U38" i="38"/>
  <c r="U25" i="38"/>
  <c r="G10" i="38"/>
  <c r="G59" i="38"/>
  <c r="G33" i="38"/>
  <c r="G50" i="38"/>
  <c r="G12" i="38"/>
  <c r="S34" i="38"/>
  <c r="S65" i="38"/>
  <c r="S62" i="38"/>
  <c r="S49" i="38"/>
  <c r="F90" i="38"/>
  <c r="F91" i="38"/>
  <c r="F73" i="38"/>
  <c r="F55" i="38"/>
  <c r="F47" i="38"/>
  <c r="T87" i="38"/>
  <c r="T66" i="38"/>
  <c r="T77" i="38"/>
  <c r="T24" i="38"/>
  <c r="T35" i="38"/>
  <c r="E74" i="38"/>
  <c r="E24" i="38"/>
  <c r="E14" i="38"/>
  <c r="E73" i="38"/>
  <c r="E43" i="38"/>
  <c r="P23" i="38"/>
  <c r="AD88" i="38"/>
  <c r="AD37" i="38"/>
  <c r="AD19" i="38"/>
  <c r="O52" i="38"/>
  <c r="O9" i="38"/>
  <c r="M55" i="38"/>
  <c r="AG68" i="38"/>
  <c r="AG74" i="38"/>
  <c r="AG12" i="38"/>
  <c r="R55" i="38"/>
  <c r="R10" i="38"/>
  <c r="R75" i="38"/>
  <c r="R22" i="38"/>
  <c r="C23" i="38"/>
  <c r="C56" i="38"/>
  <c r="C17" i="38"/>
  <c r="Z65" i="38"/>
  <c r="L43" i="38"/>
  <c r="AB12" i="38"/>
  <c r="L40" i="38"/>
  <c r="AB91" i="38"/>
  <c r="AB41" i="38"/>
  <c r="AB35" i="38"/>
  <c r="M34" i="38"/>
  <c r="M84" i="38"/>
  <c r="M37" i="38"/>
  <c r="M18" i="38"/>
  <c r="L71" i="38"/>
  <c r="L82" i="38"/>
  <c r="L49" i="38"/>
  <c r="K88" i="38"/>
  <c r="Z79" i="38"/>
  <c r="Z30" i="38"/>
  <c r="Z20" i="38"/>
  <c r="K14" i="38"/>
  <c r="K19" i="38"/>
  <c r="K18" i="38"/>
  <c r="E79" i="38"/>
  <c r="V90" i="38"/>
  <c r="H23" i="38"/>
  <c r="U80" i="38"/>
  <c r="H89" i="38"/>
  <c r="S50" i="38"/>
  <c r="Y86" i="38"/>
  <c r="Y30" i="38"/>
  <c r="Y13" i="38"/>
  <c r="Y26" i="38"/>
  <c r="H71" i="38"/>
  <c r="H31" i="38"/>
  <c r="H65" i="38"/>
  <c r="H41" i="38"/>
  <c r="H13" i="38"/>
  <c r="G45" i="38"/>
  <c r="V79" i="38"/>
  <c r="V71" i="38"/>
  <c r="V66" i="38"/>
  <c r="V50" i="38"/>
  <c r="V21" i="38"/>
  <c r="U81" i="38"/>
  <c r="U82" i="38"/>
  <c r="U50" i="38"/>
  <c r="U83" i="38"/>
  <c r="U10" i="38"/>
  <c r="G47" i="38"/>
  <c r="G11" i="38"/>
  <c r="G5" i="38"/>
  <c r="G35" i="38"/>
  <c r="G23" i="38"/>
  <c r="S84" i="38"/>
  <c r="S47" i="38"/>
  <c r="S7" i="38"/>
  <c r="S40" i="38"/>
  <c r="F80" i="38"/>
  <c r="F77" i="38"/>
  <c r="F31" i="38"/>
  <c r="F41" i="38"/>
  <c r="F9" i="38"/>
  <c r="T5" i="38"/>
  <c r="T15" i="38"/>
  <c r="T40" i="38"/>
  <c r="T64" i="38"/>
  <c r="T10" i="38"/>
  <c r="E30" i="38"/>
  <c r="E76" i="38"/>
  <c r="E88" i="38"/>
  <c r="E59" i="38"/>
  <c r="E35" i="38"/>
  <c r="P26" i="38"/>
  <c r="AE5" i="38"/>
  <c r="G31" i="2" s="1"/>
  <c r="AE48" i="38"/>
  <c r="AE17" i="38"/>
  <c r="P50" i="38"/>
  <c r="P9" i="38"/>
  <c r="AD50" i="38"/>
  <c r="AD22" i="38"/>
  <c r="AD12" i="38"/>
  <c r="O49" i="38"/>
  <c r="O21" i="38"/>
  <c r="C57" i="38"/>
  <c r="AG33" i="38"/>
  <c r="AG91" i="38"/>
  <c r="AG36" i="38"/>
  <c r="R49" i="38"/>
  <c r="R80" i="38"/>
  <c r="R68" i="38"/>
  <c r="R15" i="38"/>
  <c r="C37" i="38"/>
  <c r="C45" i="38"/>
  <c r="C10" i="38"/>
  <c r="K76" i="38"/>
  <c r="M44" i="38"/>
  <c r="AB17" i="38"/>
  <c r="M41" i="38"/>
  <c r="AB87" i="38"/>
  <c r="AB32" i="38"/>
  <c r="AB31" i="38"/>
  <c r="M80" i="38"/>
  <c r="M69" i="38"/>
  <c r="M29" i="38"/>
  <c r="M11" i="38"/>
  <c r="L41" i="38"/>
  <c r="L63" i="38"/>
  <c r="L31" i="38"/>
  <c r="Z5" i="38"/>
  <c r="Z76" i="38"/>
  <c r="Z26" i="38"/>
  <c r="Z13" i="38"/>
  <c r="K39" i="38"/>
  <c r="K17" i="38"/>
  <c r="K44" i="38"/>
  <c r="U90" i="38"/>
  <c r="U91" i="38"/>
  <c r="U58" i="38"/>
  <c r="F86" i="38"/>
  <c r="U11" i="38"/>
  <c r="G61" i="38"/>
  <c r="Y80" i="38"/>
  <c r="Y90" i="38"/>
  <c r="Y74" i="38"/>
  <c r="Y19" i="38"/>
  <c r="H49" i="38"/>
  <c r="H82" i="38"/>
  <c r="H47" i="38"/>
  <c r="H38" i="38"/>
  <c r="H9" i="38"/>
  <c r="G48" i="38"/>
  <c r="V75" i="38"/>
  <c r="V64" i="38"/>
  <c r="V9" i="38"/>
  <c r="V30" i="38"/>
  <c r="V14" i="38"/>
  <c r="U34" i="38"/>
  <c r="U17" i="38"/>
  <c r="U28" i="38"/>
  <c r="U76" i="38"/>
  <c r="U22" i="38"/>
  <c r="G91" i="38"/>
  <c r="G79" i="38"/>
  <c r="G72" i="38"/>
  <c r="G52" i="38"/>
  <c r="G16" i="38"/>
  <c r="S57" i="38"/>
  <c r="S24" i="38"/>
  <c r="S87" i="38"/>
  <c r="S21" i="38"/>
  <c r="F65" i="38"/>
  <c r="F62" i="38"/>
  <c r="F88" i="38"/>
  <c r="F33" i="38"/>
  <c r="F6" i="38"/>
  <c r="T55" i="38"/>
  <c r="T79" i="38"/>
  <c r="T7" i="38"/>
  <c r="T57" i="38"/>
  <c r="T16" i="38"/>
  <c r="E91" i="38"/>
  <c r="E58" i="38"/>
  <c r="E68" i="38"/>
  <c r="E47" i="38"/>
  <c r="E7" i="38"/>
  <c r="Q16" i="38"/>
  <c r="B60" i="38"/>
  <c r="B41" i="38"/>
  <c r="O36" i="38"/>
  <c r="AE71" i="38"/>
  <c r="AE40" i="38"/>
  <c r="AE10" i="38"/>
  <c r="P10" i="38"/>
  <c r="P21" i="38"/>
  <c r="AD70" i="38"/>
  <c r="AD7" i="38"/>
  <c r="AD5" i="38"/>
  <c r="O43" i="38"/>
  <c r="O14" i="38"/>
  <c r="R57" i="38"/>
  <c r="AG18" i="38"/>
  <c r="AG45" i="38"/>
  <c r="AG32" i="38"/>
  <c r="R25" i="38"/>
  <c r="R14" i="38"/>
  <c r="R61" i="38"/>
  <c r="C74" i="38"/>
  <c r="C81" i="38"/>
  <c r="C34" i="38"/>
  <c r="Z14" i="38"/>
  <c r="K80" i="38"/>
  <c r="AB50" i="38"/>
  <c r="M24" i="38"/>
  <c r="M42" i="38"/>
  <c r="AB81" i="38"/>
  <c r="AB83" i="38"/>
  <c r="AB43" i="38"/>
  <c r="M61" i="38"/>
  <c r="M25" i="38"/>
  <c r="M9" i="38"/>
  <c r="K6" i="38"/>
  <c r="L30" i="38"/>
  <c r="L37" i="38"/>
  <c r="L25" i="38"/>
  <c r="Z70" i="38"/>
  <c r="Z75" i="38"/>
  <c r="Z87" i="38"/>
  <c r="Z6" i="38"/>
  <c r="K9" i="38"/>
  <c r="K82" i="38"/>
  <c r="K23" i="38"/>
  <c r="T12" i="38"/>
  <c r="U26" i="38"/>
  <c r="E61" i="38"/>
  <c r="F13" i="38"/>
  <c r="S17" i="38"/>
  <c r="S63" i="38"/>
  <c r="Y76" i="38"/>
  <c r="Y73" i="38"/>
  <c r="Y6" i="38"/>
  <c r="Y17" i="38"/>
  <c r="H29" i="38"/>
  <c r="H90" i="38"/>
  <c r="H10" i="38"/>
  <c r="H26" i="38"/>
  <c r="H6" i="38"/>
  <c r="F59" i="38"/>
  <c r="V36" i="38"/>
  <c r="V63" i="38"/>
  <c r="V69" i="38"/>
  <c r="V26" i="38"/>
  <c r="V7" i="38"/>
  <c r="U21" i="38"/>
  <c r="U86" i="38"/>
  <c r="U52" i="38"/>
  <c r="U69" i="38"/>
  <c r="U18" i="38"/>
  <c r="G81" i="38"/>
  <c r="G26" i="38"/>
  <c r="G71" i="38"/>
  <c r="G41" i="38"/>
  <c r="G9" i="38"/>
  <c r="S37" i="38"/>
  <c r="S91" i="38"/>
  <c r="S80" i="38"/>
  <c r="S11" i="38"/>
  <c r="F15" i="38"/>
  <c r="F37" i="38"/>
  <c r="F82" i="38"/>
  <c r="F24" i="38"/>
  <c r="F14" i="38"/>
  <c r="T49" i="38"/>
  <c r="T75" i="38"/>
  <c r="T90" i="38"/>
  <c r="T42" i="38"/>
  <c r="T18" i="38"/>
  <c r="E81" i="38"/>
  <c r="E57" i="38"/>
  <c r="E65" i="38"/>
  <c r="E29" i="38"/>
  <c r="E20" i="38"/>
  <c r="AC34" i="38"/>
  <c r="W55" i="38"/>
  <c r="I18" i="38"/>
  <c r="P52" i="38"/>
  <c r="AD89" i="38"/>
  <c r="AF61" i="38"/>
  <c r="AF12" i="38"/>
  <c r="Q63" i="38"/>
  <c r="Q12" i="38"/>
  <c r="B50" i="38"/>
  <c r="B18" i="38"/>
  <c r="P40" i="38"/>
  <c r="AE55" i="38"/>
  <c r="AE25" i="38"/>
  <c r="P35" i="38"/>
  <c r="P41" i="38"/>
  <c r="P6" i="38"/>
  <c r="AD69" i="38"/>
  <c r="AD23" i="38"/>
  <c r="O23" i="38"/>
  <c r="O19" i="38"/>
  <c r="O7" i="38"/>
  <c r="L65" i="38"/>
  <c r="AG90" i="38"/>
  <c r="AG44" i="38"/>
  <c r="AG28" i="38"/>
  <c r="R20" i="38"/>
  <c r="R12" i="38"/>
  <c r="R33" i="38"/>
  <c r="C71" i="38"/>
  <c r="C82" i="38"/>
  <c r="C18" i="38"/>
  <c r="L18" i="38"/>
  <c r="M90" i="38"/>
  <c r="L56" i="38"/>
  <c r="Z56" i="38"/>
  <c r="M56" i="38"/>
  <c r="AB38" i="38"/>
  <c r="AB76" i="38"/>
  <c r="AB21" i="38"/>
  <c r="M60" i="38"/>
  <c r="M21" i="38"/>
  <c r="M47" i="38"/>
  <c r="Z25" i="38"/>
  <c r="L14" i="38"/>
  <c r="L64" i="38"/>
  <c r="L5" i="38"/>
  <c r="Z7" i="38"/>
  <c r="Z60" i="38"/>
  <c r="Z10" i="38"/>
  <c r="K63" i="38"/>
  <c r="K91" i="38"/>
  <c r="K75" i="38"/>
  <c r="K10" i="38"/>
  <c r="T26" i="38"/>
  <c r="V32" i="38"/>
  <c r="G73" i="38"/>
  <c r="G21" i="38"/>
  <c r="G28" i="38"/>
  <c r="H68" i="38"/>
  <c r="Y39" i="38"/>
  <c r="Y32" i="38"/>
  <c r="Y59" i="38"/>
  <c r="Y9" i="38"/>
  <c r="H25" i="38"/>
  <c r="H75" i="38"/>
  <c r="H20" i="38"/>
  <c r="H88" i="38"/>
  <c r="H21" i="38"/>
  <c r="G80" i="38"/>
  <c r="V35" i="38"/>
  <c r="V28" i="38"/>
  <c r="V37" i="38"/>
  <c r="V25" i="38"/>
  <c r="E26" i="38"/>
  <c r="U72" i="38"/>
  <c r="U73" i="38"/>
  <c r="U30" i="38"/>
  <c r="U62" i="38"/>
  <c r="U7" i="38"/>
  <c r="G77" i="38"/>
  <c r="G70" i="38"/>
  <c r="G56" i="38"/>
  <c r="G13" i="38"/>
  <c r="S26" i="38"/>
  <c r="S29" i="38"/>
  <c r="S35" i="38"/>
  <c r="S73" i="38"/>
  <c r="S23" i="38"/>
  <c r="F74" i="38"/>
  <c r="F36" i="38"/>
  <c r="F79" i="38"/>
  <c r="F5" i="38"/>
  <c r="F10" i="38"/>
  <c r="T48" i="38"/>
  <c r="T38" i="38"/>
  <c r="T52" i="38"/>
  <c r="T28" i="38"/>
  <c r="T11" i="38"/>
  <c r="E77" i="38"/>
  <c r="E42" i="38"/>
  <c r="E12" i="38"/>
  <c r="E19" i="38"/>
  <c r="E13" i="38"/>
  <c r="W36" i="38"/>
  <c r="I19" i="38"/>
  <c r="AF51" i="38"/>
  <c r="Q56" i="38"/>
  <c r="Q24" i="38"/>
  <c r="B28" i="38"/>
  <c r="B10" i="38"/>
  <c r="AD40" i="38"/>
  <c r="AE47" i="38"/>
  <c r="AE24" i="38"/>
  <c r="P73" i="38"/>
  <c r="P38" i="38"/>
  <c r="P19" i="38"/>
  <c r="AD66" i="38"/>
  <c r="AD48" i="38"/>
  <c r="O55" i="38"/>
  <c r="O18" i="38"/>
  <c r="K5" i="38"/>
  <c r="R66" i="38"/>
  <c r="AG61" i="38"/>
  <c r="AG37" i="38"/>
  <c r="AG23" i="38"/>
  <c r="R19" i="38"/>
  <c r="R79" i="38"/>
  <c r="R13" i="38"/>
  <c r="C68" i="38"/>
  <c r="C62" i="38"/>
  <c r="C9" i="38"/>
  <c r="K21" i="38"/>
  <c r="L24" i="38"/>
  <c r="M58" i="38"/>
  <c r="L61" i="38"/>
  <c r="AB56" i="38"/>
  <c r="AB65" i="38"/>
  <c r="AB69" i="38"/>
  <c r="AB6" i="38"/>
  <c r="M86" i="38"/>
  <c r="M19" i="38"/>
  <c r="M43" i="38"/>
  <c r="L26" i="38"/>
  <c r="L89" i="38"/>
  <c r="L90" i="38"/>
  <c r="L23" i="38"/>
  <c r="Z58" i="38"/>
  <c r="Z34" i="38"/>
  <c r="Z9" i="38"/>
  <c r="K7" i="38"/>
  <c r="K77" i="38"/>
  <c r="K68" i="38"/>
  <c r="K24" i="38"/>
  <c r="F51" i="38"/>
  <c r="Y45" i="38"/>
  <c r="G89" i="38"/>
  <c r="V31" i="38"/>
  <c r="U41" i="38"/>
  <c r="H70" i="38"/>
  <c r="Y37" i="38"/>
  <c r="Y10" i="38"/>
  <c r="Y58" i="38"/>
  <c r="Y7" i="38"/>
  <c r="H36" i="38"/>
  <c r="H66" i="38"/>
  <c r="H48" i="38"/>
  <c r="H44" i="38"/>
  <c r="H14" i="38"/>
  <c r="G82" i="38"/>
  <c r="V59" i="38"/>
  <c r="V83" i="38"/>
  <c r="V81" i="38"/>
  <c r="V23" i="38"/>
  <c r="E32" i="38"/>
  <c r="U33" i="38"/>
  <c r="U61" i="38"/>
  <c r="U88" i="38"/>
  <c r="U55" i="38"/>
  <c r="U23" i="38"/>
  <c r="G29" i="38"/>
  <c r="G44" i="38"/>
  <c r="G18" i="38"/>
  <c r="G7" i="38"/>
  <c r="S74" i="38"/>
  <c r="S10" i="38"/>
  <c r="S41" i="38"/>
  <c r="S66" i="38"/>
  <c r="S19" i="38"/>
  <c r="F68" i="38"/>
  <c r="F72" i="38"/>
  <c r="F49" i="38"/>
  <c r="F71" i="38"/>
  <c r="F22" i="38"/>
  <c r="T32" i="38"/>
  <c r="T70" i="38"/>
  <c r="T22" i="38"/>
  <c r="T23" i="38"/>
  <c r="E89" i="38"/>
  <c r="E62" i="38"/>
  <c r="E25" i="38"/>
  <c r="E84" i="38"/>
  <c r="E10" i="38"/>
  <c r="E6" i="38"/>
  <c r="X29" i="38"/>
  <c r="AC45" i="38"/>
  <c r="AC50" i="38"/>
  <c r="AF30" i="38"/>
  <c r="AE51" i="38"/>
  <c r="O35" i="38"/>
  <c r="R87" i="38"/>
  <c r="C28" i="38"/>
  <c r="AB58" i="38"/>
  <c r="AB71" i="38"/>
  <c r="Z61" i="38"/>
  <c r="AB62" i="38"/>
  <c r="AB13" i="38"/>
  <c r="M76" i="38"/>
  <c r="M68" i="38"/>
  <c r="M39" i="38"/>
  <c r="Z38" i="38"/>
  <c r="L62" i="38"/>
  <c r="L80" i="38"/>
  <c r="L19" i="38"/>
  <c r="Z57" i="38"/>
  <c r="Z23" i="38"/>
  <c r="Z49" i="38"/>
  <c r="K83" i="38"/>
  <c r="K62" i="38"/>
  <c r="K61" i="38"/>
  <c r="K11" i="38"/>
  <c r="F63" i="38"/>
  <c r="E50" i="38"/>
  <c r="V91" i="38"/>
  <c r="F40" i="38"/>
  <c r="H43" i="38"/>
  <c r="T76" i="38"/>
  <c r="Y56" i="38"/>
  <c r="Y88" i="38"/>
  <c r="Y43" i="38"/>
  <c r="Y14" i="38"/>
  <c r="H34" i="38"/>
  <c r="H53" i="38"/>
  <c r="H32" i="38"/>
  <c r="H33" i="38"/>
  <c r="H7" i="38"/>
  <c r="S89" i="38"/>
  <c r="V53" i="38"/>
  <c r="V80" i="38"/>
  <c r="V74" i="38"/>
  <c r="V15" i="38"/>
  <c r="F52" i="38"/>
  <c r="U13" i="38"/>
  <c r="U20" i="38"/>
  <c r="U87" i="38"/>
  <c r="U45" i="38"/>
  <c r="U16" i="38"/>
  <c r="G36" i="38"/>
  <c r="G90" i="38"/>
  <c r="G51" i="38"/>
  <c r="G34" i="38"/>
  <c r="S58" i="38"/>
  <c r="S53" i="38"/>
  <c r="S33" i="38"/>
  <c r="S59" i="38"/>
  <c r="S15" i="38"/>
  <c r="F60" i="38"/>
  <c r="F69" i="38"/>
  <c r="F44" i="38"/>
  <c r="F64" i="38"/>
  <c r="F7" i="38"/>
  <c r="T69" i="38"/>
  <c r="T59" i="38"/>
  <c r="T20" i="38"/>
  <c r="T14" i="38"/>
  <c r="E28" i="38"/>
  <c r="E38" i="38"/>
  <c r="E23" i="38"/>
  <c r="E69" i="38"/>
  <c r="E53" i="38"/>
  <c r="N30" i="38"/>
  <c r="N48" i="38"/>
  <c r="X26" i="38"/>
  <c r="J14" i="38"/>
  <c r="W86" i="38"/>
  <c r="I79" i="38"/>
  <c r="N26" i="38"/>
  <c r="N55" i="38"/>
  <c r="X45" i="38"/>
  <c r="J39" i="38"/>
  <c r="W56" i="38"/>
  <c r="W43" i="38"/>
  <c r="I72" i="38"/>
  <c r="Q55" i="38"/>
  <c r="AF38" i="38"/>
  <c r="AF22" i="38"/>
  <c r="N17" i="38"/>
  <c r="AC60" i="38"/>
  <c r="I39" i="38"/>
  <c r="X41" i="38"/>
  <c r="J13" i="38"/>
  <c r="I59" i="38"/>
  <c r="W32" i="38"/>
  <c r="I65" i="38"/>
  <c r="I12" i="38"/>
  <c r="P56" i="38"/>
  <c r="AF50" i="38"/>
  <c r="AF15" i="38"/>
  <c r="Q26" i="38"/>
  <c r="Q17" i="38"/>
  <c r="B86" i="38"/>
  <c r="B23" i="38"/>
  <c r="O57" i="38"/>
  <c r="AE39" i="38"/>
  <c r="P57" i="38"/>
  <c r="P20" i="38"/>
  <c r="P12" i="38"/>
  <c r="AD31" i="38"/>
  <c r="AD42" i="38"/>
  <c r="O53" i="38"/>
  <c r="M7" i="38"/>
  <c r="Z74" i="38"/>
  <c r="AG60" i="38"/>
  <c r="AG87" i="38"/>
  <c r="AG9" i="38"/>
  <c r="R76" i="38"/>
  <c r="R51" i="38"/>
  <c r="C61" i="38"/>
  <c r="C52" i="38"/>
  <c r="Z22" i="38"/>
  <c r="M49" i="38"/>
  <c r="AB40" i="38"/>
  <c r="AC13" i="38"/>
  <c r="N14" i="38"/>
  <c r="N62" i="38"/>
  <c r="W44" i="38"/>
  <c r="X37" i="38"/>
  <c r="J6" i="38"/>
  <c r="I74" i="38"/>
  <c r="W48" i="38"/>
  <c r="I58" i="38"/>
  <c r="I5" i="38"/>
  <c r="P66" i="38"/>
  <c r="AF10" i="38"/>
  <c r="AF43" i="38"/>
  <c r="Q42" i="38"/>
  <c r="Q6" i="38"/>
  <c r="Q10" i="38"/>
  <c r="B79" i="38"/>
  <c r="B15" i="38"/>
  <c r="AE64" i="38"/>
  <c r="AE16" i="38"/>
  <c r="AE14" i="38"/>
  <c r="P43" i="38"/>
  <c r="P11" i="38"/>
  <c r="P5" i="38"/>
  <c r="AD14" i="38"/>
  <c r="AD38" i="38"/>
  <c r="O26" i="38"/>
  <c r="O5" i="38"/>
  <c r="M23" i="38"/>
  <c r="Z77" i="38"/>
  <c r="AG47" i="38"/>
  <c r="AG80" i="38"/>
  <c r="AG5" i="38"/>
  <c r="G33" i="2" s="1"/>
  <c r="R84" i="38"/>
  <c r="R60" i="38"/>
  <c r="R40" i="38"/>
  <c r="C80" i="38"/>
  <c r="C91" i="38"/>
  <c r="C40" i="38"/>
  <c r="L44" i="38"/>
  <c r="L51" i="38"/>
  <c r="Z63" i="38"/>
  <c r="AB74" i="38"/>
  <c r="L70" i="38"/>
  <c r="AB29" i="38"/>
  <c r="AB55" i="38"/>
  <c r="AB25" i="38"/>
  <c r="M51" i="38"/>
  <c r="M65" i="38"/>
  <c r="M35" i="38"/>
  <c r="K59" i="38"/>
  <c r="L32" i="38"/>
  <c r="L73" i="38"/>
  <c r="L15" i="38"/>
  <c r="Z52" i="38"/>
  <c r="Z51" i="38"/>
  <c r="Z36" i="38"/>
  <c r="K43" i="38"/>
  <c r="K50" i="38"/>
  <c r="K31" i="38"/>
  <c r="K22" i="38"/>
  <c r="Y69" i="38"/>
  <c r="S52" i="38"/>
  <c r="F28" i="38"/>
  <c r="V44" i="38"/>
  <c r="V51" i="38"/>
  <c r="Y64" i="38"/>
  <c r="Y91" i="38"/>
  <c r="Y79" i="38"/>
  <c r="Y35" i="38"/>
  <c r="Y24" i="38"/>
  <c r="H62" i="38"/>
  <c r="H37" i="38"/>
  <c r="H73" i="38"/>
  <c r="H30" i="38"/>
  <c r="T17" i="38"/>
  <c r="V77" i="38"/>
  <c r="V82" i="38"/>
  <c r="V86" i="38"/>
  <c r="V60" i="38"/>
  <c r="V42" i="38"/>
  <c r="T61" i="38"/>
  <c r="U66" i="38"/>
  <c r="U12" i="38"/>
  <c r="U68" i="38"/>
  <c r="U31" i="38"/>
  <c r="U9" i="38"/>
  <c r="G17" i="38"/>
  <c r="G75" i="38"/>
  <c r="G20" i="38"/>
  <c r="G30" i="38"/>
  <c r="S45" i="38"/>
  <c r="S38" i="38"/>
  <c r="S18" i="38"/>
  <c r="S39" i="38"/>
  <c r="S20" i="38"/>
  <c r="F35" i="38"/>
  <c r="F38" i="38"/>
  <c r="F34" i="38"/>
  <c r="F57" i="38"/>
  <c r="F18" i="38"/>
  <c r="T62" i="38"/>
  <c r="T25" i="38"/>
  <c r="T86" i="38"/>
  <c r="T53" i="38"/>
  <c r="E63" i="38"/>
  <c r="E37" i="38"/>
  <c r="E52" i="38"/>
  <c r="E34" i="38"/>
  <c r="E40" i="38"/>
  <c r="D4" i="38"/>
  <c r="AA4" i="38"/>
  <c r="D44" i="38" a="1"/>
  <c r="D83" i="38" a="1"/>
  <c r="D24" i="38" a="1"/>
  <c r="D88" i="38" a="1"/>
  <c r="D80" i="38" a="1"/>
  <c r="AA11" i="38" a="1"/>
  <c r="AA33" i="38" a="1"/>
  <c r="AA51" i="38" a="1"/>
  <c r="AA66" i="38" a="1"/>
  <c r="AA68" i="38" a="1"/>
  <c r="AA79" i="38" a="1"/>
  <c r="D56" i="38" a="1"/>
  <c r="AA74" i="38" a="1"/>
  <c r="AA35" i="38" a="1"/>
  <c r="AA24" i="38" a="1"/>
  <c r="AA41" i="38" a="1"/>
  <c r="AA28" i="38" a="1"/>
  <c r="AA9" i="38" a="1"/>
  <c r="AA39" i="38" a="1"/>
  <c r="D51" i="38" a="1"/>
  <c r="D10" i="38" a="1"/>
  <c r="D31" i="38" a="1"/>
  <c r="D91" i="38" a="1"/>
  <c r="D90" i="38" a="1"/>
  <c r="AA18" i="38" a="1"/>
  <c r="AA44" i="38" a="1"/>
  <c r="AA69" i="38" a="1"/>
  <c r="AA7" i="38" a="1"/>
  <c r="AA40" i="38" a="1"/>
  <c r="AA82" i="38" a="1"/>
  <c r="D37" i="38" a="1"/>
  <c r="D14" i="38" a="1"/>
  <c r="D29" i="38" a="1"/>
  <c r="D30" i="38" a="1"/>
  <c r="D65" i="38" a="1"/>
  <c r="AA15" i="38" a="1"/>
  <c r="AA57" i="38" a="1"/>
  <c r="AA72" i="38" a="1"/>
  <c r="AA43" i="38" a="1"/>
  <c r="AA63" i="38" a="1"/>
  <c r="AA88" i="38" a="1"/>
  <c r="D47" i="38" a="1"/>
  <c r="D28" i="38" a="1"/>
  <c r="D40" i="38" a="1"/>
  <c r="D69" i="38" a="1"/>
  <c r="D50" i="38" a="1"/>
  <c r="AA19" i="38" a="1"/>
  <c r="AA64" i="38" a="1"/>
  <c r="AA75" i="38" a="1"/>
  <c r="AA50" i="38" a="1"/>
  <c r="AA73" i="38" a="1"/>
  <c r="AA49" i="38" a="1"/>
  <c r="D15" i="38" a="1"/>
  <c r="D61" i="38" a="1"/>
  <c r="D35" i="38" a="1"/>
  <c r="D59" i="38" a="1"/>
  <c r="D9" i="38" a="1"/>
  <c r="D18" i="38" a="1"/>
  <c r="AA23" i="38" a="1"/>
  <c r="AA71" i="38" a="1"/>
  <c r="AA13" i="38" a="1"/>
  <c r="AA58" i="38" a="1"/>
  <c r="AA76" i="38" a="1"/>
  <c r="AA53" i="38" a="1"/>
  <c r="D22" i="38" a="1"/>
  <c r="D68" i="38" a="1"/>
  <c r="D36" i="38" a="1"/>
  <c r="D60" i="38" a="1"/>
  <c r="D17" i="38" a="1"/>
  <c r="D32" i="38" a="1"/>
  <c r="AA10" i="38" a="1"/>
  <c r="AA90" i="38" a="1"/>
  <c r="AA14" i="38" a="1"/>
  <c r="AA26" i="38" a="1"/>
  <c r="AA83" i="38" a="1"/>
  <c r="AA60" i="38" a="1"/>
  <c r="D19" i="38" a="1"/>
  <c r="D75" i="38" a="1"/>
  <c r="D86" i="38" a="1"/>
  <c r="D21" i="38" a="1"/>
  <c r="D53" i="38" a="1"/>
  <c r="AA21" i="38" a="1"/>
  <c r="AA48" i="38" a="1"/>
  <c r="AA45" i="38" a="1"/>
  <c r="AA20" i="38" a="1"/>
  <c r="D23" i="38" a="1"/>
  <c r="D82" i="38" a="1"/>
  <c r="D45" i="38" a="1"/>
  <c r="D38" i="38" a="1"/>
  <c r="D74" i="38" a="1"/>
  <c r="D41" i="38" a="1"/>
  <c r="AA16" i="38" a="1"/>
  <c r="AA80" i="38" a="1"/>
  <c r="AA55" i="38" a="1"/>
  <c r="AA22" i="38" a="1"/>
  <c r="AA32" i="38" a="1"/>
  <c r="D11" i="38" a="1"/>
  <c r="D89" i="38" a="1"/>
  <c r="D33" i="38" a="1"/>
  <c r="D39" i="38" a="1"/>
  <c r="D87" i="38" a="1"/>
  <c r="D13" i="38" a="1"/>
  <c r="AA81" i="38" a="1"/>
  <c r="AA56" i="38" a="1"/>
  <c r="AA37" i="38" a="1"/>
  <c r="D26" i="38" a="1"/>
  <c r="D7" i="38" a="1"/>
  <c r="D42" i="38" a="1"/>
  <c r="D62" i="38" a="1"/>
  <c r="D6" i="38" a="1"/>
  <c r="D70" i="38" a="1"/>
  <c r="AA47" i="38" a="1"/>
  <c r="AA61" i="38" a="1"/>
  <c r="AA84" i="38" a="1"/>
  <c r="AA65" i="38" a="1"/>
  <c r="AA38" i="38" a="1"/>
  <c r="D5" i="38" a="1"/>
  <c r="D43" i="38" a="1"/>
  <c r="D57" i="38" a="1"/>
  <c r="D66" i="38" a="1"/>
  <c r="D55" i="38" a="1"/>
  <c r="D72" i="38" a="1"/>
  <c r="AA6" i="38" a="1"/>
  <c r="AA62" i="38" a="1"/>
  <c r="AA87" i="38" a="1"/>
  <c r="AA70" i="38" a="1"/>
  <c r="D12" i="38" a="1"/>
  <c r="D49" i="38" a="1"/>
  <c r="D58" i="38" a="1"/>
  <c r="D77" i="38" a="1"/>
  <c r="D71" i="38" a="1"/>
  <c r="D79" i="38" a="1"/>
  <c r="AA36" i="38" a="1"/>
  <c r="AA77" i="38" a="1"/>
  <c r="AA12" i="38" a="1"/>
  <c r="AA91" i="38" a="1"/>
  <c r="AA86" i="38" a="1"/>
  <c r="D20" i="38" a="1"/>
  <c r="D73" i="38" a="1"/>
  <c r="D81" i="38" a="1"/>
  <c r="D34" i="38" a="1"/>
  <c r="D16" i="38" a="1"/>
  <c r="AA17" i="38" a="1"/>
  <c r="AA34" i="38" a="1"/>
  <c r="AA30" i="38" a="1"/>
  <c r="AA89" i="38" a="1"/>
  <c r="D25" i="38" a="1"/>
  <c r="D64" i="38" a="1"/>
  <c r="D76" i="38" a="1"/>
  <c r="D84" i="38" a="1"/>
  <c r="D52" i="38" a="1"/>
  <c r="AA5" i="38" a="1"/>
  <c r="AA42" i="38" a="1"/>
  <c r="AA52" i="38" a="1"/>
  <c r="AA25" i="38" a="1"/>
  <c r="AA59" i="38" a="1"/>
  <c r="AA29" i="38" a="1"/>
  <c r="D63" i="38" a="1"/>
  <c r="D48" i="38" a="1"/>
  <c r="AA31" i="38" a="1"/>
  <c r="G14" i="2" l="1"/>
  <c r="G29" i="2"/>
  <c r="G30" i="2"/>
  <c r="G16" i="2"/>
  <c r="G12" i="2"/>
  <c r="G26" i="2"/>
  <c r="G20" i="2"/>
  <c r="G24" i="2"/>
  <c r="K158" i="38"/>
  <c r="G11" i="2" s="1"/>
  <c r="W158" i="38"/>
  <c r="G23" i="2"/>
  <c r="F158" i="38"/>
  <c r="G6" i="2" s="1"/>
  <c r="H158" i="38"/>
  <c r="G8" i="2" s="1"/>
  <c r="AB158" i="38"/>
  <c r="G28" i="2" s="1"/>
  <c r="AD158" i="38"/>
  <c r="S158" i="38"/>
  <c r="G19" i="2" s="1"/>
  <c r="P158" i="38"/>
  <c r="AC158" i="38"/>
  <c r="L158" i="38"/>
  <c r="T158" i="38"/>
  <c r="I158" i="38"/>
  <c r="V158" i="38"/>
  <c r="G9" i="2"/>
  <c r="G22" i="2"/>
  <c r="N158" i="38"/>
  <c r="Z158" i="38"/>
  <c r="Q158" i="38"/>
  <c r="G17" i="2" s="1"/>
  <c r="J158" i="38"/>
  <c r="G10" i="2" s="1"/>
  <c r="Y158" i="38"/>
  <c r="G25" i="2" s="1"/>
  <c r="X158" i="38"/>
  <c r="E158" i="38"/>
  <c r="G5" i="2" s="1"/>
  <c r="B158" i="38"/>
  <c r="C158" i="38"/>
  <c r="G3" i="2" s="1"/>
  <c r="O158" i="38"/>
  <c r="G15" i="2" s="1"/>
  <c r="U158" i="38"/>
  <c r="G21" i="2" s="1"/>
  <c r="G158" i="38"/>
  <c r="G7" i="2" s="1"/>
  <c r="R158" i="38"/>
  <c r="G18" i="2" s="1"/>
  <c r="M158" i="38"/>
  <c r="G13" i="2" s="1"/>
  <c r="AA31" i="38"/>
  <c r="D48" i="38"/>
  <c r="D63" i="38"/>
  <c r="AA29" i="38"/>
  <c r="AA59" i="38"/>
  <c r="AA25" i="38"/>
  <c r="AA52" i="38"/>
  <c r="AA42" i="38"/>
  <c r="AA5" i="38"/>
  <c r="D52" i="38"/>
  <c r="D84" i="38"/>
  <c r="D76" i="38"/>
  <c r="D64" i="38"/>
  <c r="D25" i="38"/>
  <c r="AA89" i="38"/>
  <c r="AA30" i="38"/>
  <c r="AA34" i="38"/>
  <c r="AA17" i="38"/>
  <c r="D16" i="38"/>
  <c r="D34" i="38"/>
  <c r="D81" i="38"/>
  <c r="D73" i="38"/>
  <c r="D20" i="38"/>
  <c r="AA86" i="38"/>
  <c r="AA91" i="38"/>
  <c r="AA12" i="38"/>
  <c r="AA77" i="38"/>
  <c r="AA36" i="38"/>
  <c r="D79" i="38"/>
  <c r="D71" i="38"/>
  <c r="D77" i="38"/>
  <c r="D58" i="38"/>
  <c r="D49" i="38"/>
  <c r="D12" i="38"/>
  <c r="AA70" i="38"/>
  <c r="AA87" i="38"/>
  <c r="AA62" i="38"/>
  <c r="AA6" i="38"/>
  <c r="D72" i="38"/>
  <c r="D55" i="38"/>
  <c r="D66" i="38"/>
  <c r="D57" i="38"/>
  <c r="D43" i="38"/>
  <c r="D5" i="38"/>
  <c r="AA38" i="38"/>
  <c r="AA65" i="38"/>
  <c r="AA84" i="38"/>
  <c r="AA61" i="38"/>
  <c r="AA47" i="38"/>
  <c r="D70" i="38"/>
  <c r="D6" i="38"/>
  <c r="D62" i="38"/>
  <c r="D42" i="38"/>
  <c r="D7" i="38"/>
  <c r="D26" i="38"/>
  <c r="AA37" i="38"/>
  <c r="AA56" i="38"/>
  <c r="AA81" i="38"/>
  <c r="D13" i="38"/>
  <c r="D87" i="38"/>
  <c r="D39" i="38"/>
  <c r="D33" i="38"/>
  <c r="D89" i="38"/>
  <c r="D11" i="38"/>
  <c r="AA32" i="38"/>
  <c r="AA22" i="38"/>
  <c r="AA55" i="38"/>
  <c r="AA80" i="38"/>
  <c r="AA16" i="38"/>
  <c r="D41" i="38"/>
  <c r="D74" i="38"/>
  <c r="D38" i="38"/>
  <c r="D45" i="38"/>
  <c r="D82" i="38"/>
  <c r="D23" i="38"/>
  <c r="AA20" i="38"/>
  <c r="AA45" i="38"/>
  <c r="AA48" i="38"/>
  <c r="AA21" i="38"/>
  <c r="D53" i="38"/>
  <c r="D21" i="38"/>
  <c r="D86" i="38"/>
  <c r="D75" i="38"/>
  <c r="D19" i="38"/>
  <c r="AA60" i="38"/>
  <c r="AA83" i="38"/>
  <c r="AA26" i="38"/>
  <c r="AA14" i="38"/>
  <c r="AA90" i="38"/>
  <c r="AA10" i="38"/>
  <c r="D32" i="38"/>
  <c r="D17" i="38"/>
  <c r="D60" i="38"/>
  <c r="D36" i="38"/>
  <c r="D68" i="38"/>
  <c r="D22" i="38"/>
  <c r="AA53" i="38"/>
  <c r="AA76" i="38"/>
  <c r="AA58" i="38"/>
  <c r="AA13" i="38"/>
  <c r="AA71" i="38"/>
  <c r="AA23" i="38"/>
  <c r="D18" i="38"/>
  <c r="D9" i="38"/>
  <c r="D59" i="38"/>
  <c r="D35" i="38"/>
  <c r="D61" i="38"/>
  <c r="D15" i="38"/>
  <c r="AA49" i="38"/>
  <c r="AA73" i="38"/>
  <c r="AA50" i="38"/>
  <c r="AA75" i="38"/>
  <c r="AA64" i="38"/>
  <c r="AA19" i="38"/>
  <c r="D50" i="38"/>
  <c r="D69" i="38"/>
  <c r="D40" i="38"/>
  <c r="D28" i="38"/>
  <c r="D47" i="38"/>
  <c r="AA88" i="38"/>
  <c r="AA63" i="38"/>
  <c r="AA43" i="38"/>
  <c r="AA72" i="38"/>
  <c r="AA57" i="38"/>
  <c r="AA15" i="38"/>
  <c r="D65" i="38"/>
  <c r="D30" i="38"/>
  <c r="D29" i="38"/>
  <c r="D14" i="38"/>
  <c r="D37" i="38"/>
  <c r="AA82" i="38"/>
  <c r="AA40" i="38"/>
  <c r="AA7" i="38"/>
  <c r="AA69" i="38"/>
  <c r="AA44" i="38"/>
  <c r="AA18" i="38"/>
  <c r="D90" i="38"/>
  <c r="D91" i="38"/>
  <c r="D31" i="38"/>
  <c r="D10" i="38"/>
  <c r="D51" i="38"/>
  <c r="AA39" i="38"/>
  <c r="AA9" i="38"/>
  <c r="AA28" i="38"/>
  <c r="AA41" i="38"/>
  <c r="AA24" i="38"/>
  <c r="AA35" i="38"/>
  <c r="AA74" i="38"/>
  <c r="D56" i="38"/>
  <c r="AA79" i="38"/>
  <c r="AA68" i="38"/>
  <c r="AA66" i="38"/>
  <c r="AA51" i="38"/>
  <c r="AA33" i="38"/>
  <c r="AA11" i="38"/>
  <c r="D80" i="38"/>
  <c r="D88" i="38"/>
  <c r="D24" i="38"/>
  <c r="D83" i="38"/>
  <c r="D44" i="38"/>
  <c r="G4" i="2" l="1"/>
  <c r="AA158" i="38"/>
  <c r="D158" i="38"/>
  <c r="G27" i="2"/>
  <c r="G2"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<sst xmlns="http://schemas.openxmlformats.org/spreadsheetml/2006/main" count="25415" uniqueCount="679">
  <si>
    <t>Baseline Data Use Case Alignment — Reformatted Workbook</t>
  </si>
  <si>
    <t>Purpose</t>
  </si>
  <si>
    <t>One sheet per use case so you can review all required data elements, why each</t>
  </si>
  <si>
    <t>is needed, and outstanding questions without scrolling a single huge table.</t>
  </si>
  <si>
    <t>Sheets</t>
  </si>
  <si>
    <t>1. Use Case Index — links each Use Case ID to its dedicated sheet tab.</t>
  </si>
  <si>
    <t>2. UC01 through UC32 — one tab per use case (see Sheet Name column in the index).</t>
  </si>
  <si>
    <t>3. Open Questions — all open items across use cases.</t>
  </si>
  <si>
    <t>How to use</t>
  </si>
  <si>
    <t>- Open Use Case Index and go to the Sheet Name tab for your use case.</t>
  </si>
  <si>
    <t>- Each use case sheet groups fields by Section (1–8).</t>
  </si>
  <si>
    <t>- Fill Review Status as you confirm elements (Confirmed / In Review / Blocked).</t>
  </si>
  <si>
    <t>- Use Open Questions for cross-use-case follow-ups.</t>
  </si>
  <si>
    <t>Source file: Baseline Data Use Case Alignment - Day 20.xlsx</t>
  </si>
  <si>
    <t>Field order: Data Element Order.xlsx (sections 2–6); defaults for sections 1, 7, 8.</t>
  </si>
  <si>
    <t>Regenerate with: python3 scripts/reformat_day20_workbook.py</t>
  </si>
  <si>
    <t>Use Case ID</t>
  </si>
  <si>
    <t>Sheet Name</t>
  </si>
  <si>
    <t>Process</t>
  </si>
  <si>
    <t>Lead Category</t>
  </si>
  <si>
    <t>Use Case</t>
  </si>
  <si>
    <t>Activity Type</t>
  </si>
  <si>
    <t>Data Element Count</t>
  </si>
  <si>
    <t>Open Questions Count</t>
  </si>
  <si>
    <t>UC01</t>
  </si>
  <si>
    <t>UC01 Content Syndication Attend</t>
  </si>
  <si>
    <t>Content Syndication</t>
  </si>
  <si>
    <t>Hand Raiser</t>
  </si>
  <si>
    <t>Attended on Demand</t>
  </si>
  <si>
    <t>UC02</t>
  </si>
  <si>
    <t>UC02 Content Syndication Form S</t>
  </si>
  <si>
    <t>Form Submit</t>
  </si>
  <si>
    <t>UC03</t>
  </si>
  <si>
    <t>UC03 Content Syndication Attend</t>
  </si>
  <si>
    <t>Non-Hand Raiser</t>
  </si>
  <si>
    <t>UC04</t>
  </si>
  <si>
    <t>UC04 Content Syndication Form S</t>
  </si>
  <si>
    <t>UC05</t>
  </si>
  <si>
    <t>UC05 1st Party Events Follow-Up</t>
  </si>
  <si>
    <t>Manual Uploads</t>
  </si>
  <si>
    <t>1st Party Events</t>
  </si>
  <si>
    <t>Follow-Up Requested</t>
  </si>
  <si>
    <t>UC06</t>
  </si>
  <si>
    <t>UC06 3rd Party Events Follow-Up</t>
  </si>
  <si>
    <t>3rd Party Events</t>
  </si>
  <si>
    <t>UC07</t>
  </si>
  <si>
    <t>UC07 Paid Leads Follow-Up Reque</t>
  </si>
  <si>
    <t>Paid Leads</t>
  </si>
  <si>
    <t>UC08</t>
  </si>
  <si>
    <t>UC08 Webinars Follow-Up Request</t>
  </si>
  <si>
    <t>Webinars</t>
  </si>
  <si>
    <t>UC09</t>
  </si>
  <si>
    <t xml:space="preserve">UC09 1st Party Events Attended </t>
  </si>
  <si>
    <t>Attended Live In-Person</t>
  </si>
  <si>
    <t>UC10</t>
  </si>
  <si>
    <t xml:space="preserve">UC10 1st Party Events Attended </t>
  </si>
  <si>
    <t>Attended Live Virtual</t>
  </si>
  <si>
    <t>UC11</t>
  </si>
  <si>
    <t xml:space="preserve">UC11 1st Party Events Attended </t>
  </si>
  <si>
    <t>Attended Session</t>
  </si>
  <si>
    <t>UC12</t>
  </si>
  <si>
    <t>UC12 1st Party Events Booth Sca</t>
  </si>
  <si>
    <t>Booth Scan</t>
  </si>
  <si>
    <t>UC13</t>
  </si>
  <si>
    <t>UC13 1st Party Events Registere</t>
  </si>
  <si>
    <t>Registered</t>
  </si>
  <si>
    <t>UC14</t>
  </si>
  <si>
    <t xml:space="preserve">UC14 3rd Party Events Attended </t>
  </si>
  <si>
    <t>Attended CXO Event</t>
  </si>
  <si>
    <t>UC15</t>
  </si>
  <si>
    <t xml:space="preserve">UC15 3rd Party Events Attended </t>
  </si>
  <si>
    <t>Attended Meeting</t>
  </si>
  <si>
    <t>UC16</t>
  </si>
  <si>
    <t xml:space="preserve">UC16 3rd Party Events Attended </t>
  </si>
  <si>
    <t>UC17</t>
  </si>
  <si>
    <t>UC17 3rd Party Events Booth Sca</t>
  </si>
  <si>
    <t>UC18</t>
  </si>
  <si>
    <t>UC18 3rd Party Events Contact R</t>
  </si>
  <si>
    <t>Contact Registered</t>
  </si>
  <si>
    <t>UC19</t>
  </si>
  <si>
    <t>UC19 Event Sponsorships Attende</t>
  </si>
  <si>
    <t>Event Sponsorships</t>
  </si>
  <si>
    <t>UC20</t>
  </si>
  <si>
    <t>UC20 Event Sponsorships Attende</t>
  </si>
  <si>
    <t>UC21</t>
  </si>
  <si>
    <t>UC21 Event Sponsorships Registe</t>
  </si>
  <si>
    <t>UC22</t>
  </si>
  <si>
    <t>UC22 Webinars Attended Live Vir</t>
  </si>
  <si>
    <t>UC23</t>
  </si>
  <si>
    <t>UC23 Webinars Attended On-Deman</t>
  </si>
  <si>
    <t>Attended On-Demand</t>
  </si>
  <si>
    <t>UC24</t>
  </si>
  <si>
    <t>UC24 Webinars Registered</t>
  </si>
  <si>
    <t>UC25</t>
  </si>
  <si>
    <t>UC25 Offers - Contact Us Form S</t>
  </si>
  <si>
    <t>Online Forms</t>
  </si>
  <si>
    <t>Offers - Contact Us</t>
  </si>
  <si>
    <t>UC26</t>
  </si>
  <si>
    <t>UC26 Offers - Demo Form Submit</t>
  </si>
  <si>
    <t>Offers - Demo</t>
  </si>
  <si>
    <t>UC27</t>
  </si>
  <si>
    <t>Offers - Offer</t>
  </si>
  <si>
    <t>UC28</t>
  </si>
  <si>
    <t>UC28 Offers - Other Form Submit</t>
  </si>
  <si>
    <t>Offers - Other</t>
  </si>
  <si>
    <t>UC29</t>
  </si>
  <si>
    <t>UC29 Offers - Others Form Submi</t>
  </si>
  <si>
    <t>Offers - Others</t>
  </si>
  <si>
    <t>UC30</t>
  </si>
  <si>
    <t>UC30 Offers - Promotion Form Su</t>
  </si>
  <si>
    <t>Offers - Promotion</t>
  </si>
  <si>
    <t>UC31</t>
  </si>
  <si>
    <t>UC31 Offers - Trial Form Submit</t>
  </si>
  <si>
    <t>Offers - Trial</t>
  </si>
  <si>
    <t>UC32</t>
  </si>
  <si>
    <t>UC32 Offers - Trials Form Submi</t>
  </si>
  <si>
    <t>Offers - Trials</t>
  </si>
  <si>
    <t>UC01 — Content Syndication | Hand Raiser | Content Syndication | Attended on Demand</t>
  </si>
  <si>
    <t>Data Element</t>
  </si>
  <si>
    <t>Display Status</t>
  </si>
  <si>
    <t>Why We Need This</t>
  </si>
  <si>
    <t>How It Is Captured (Value Source)</t>
  </si>
  <si>
    <t>Data Rules</t>
  </si>
  <si>
    <t>Business-Friendly Prompt</t>
  </si>
  <si>
    <t>Input Type</t>
  </si>
  <si>
    <t>Outstanding Questions</t>
  </si>
  <si>
    <t>Attribution</t>
  </si>
  <si>
    <t>Operational Reporting</t>
  </si>
  <si>
    <t>Lead Scoring</t>
  </si>
  <si>
    <t>Seller Enablement</t>
  </si>
  <si>
    <t>Amanda Reviewed</t>
  </si>
  <si>
    <t>Review Status</t>
  </si>
  <si>
    <t>1 - System Classification</t>
  </si>
  <si>
    <t>Required</t>
  </si>
  <si>
    <t>To be able to align to lead scoring and attribution models</t>
  </si>
  <si>
    <t>Tray.io derived</t>
  </si>
  <si>
    <t>Set by Tray.io on receipt of submission from Integrate.</t>
  </si>
  <si>
    <t>What is the Activity we are aligning attribution to?</t>
  </si>
  <si>
    <t>Text</t>
  </si>
  <si>
    <t>Yes</t>
  </si>
  <si>
    <t>Derived</t>
  </si>
  <si>
    <t>Separated the type of Content Syndication for Attribution models to score separately</t>
  </si>
  <si>
    <t>Integrate Defined</t>
  </si>
  <si>
    <t>Set by Integrate</t>
  </si>
  <si>
    <t>What type of Content Syndication is this?</t>
  </si>
  <si>
    <t>Picklist/Text</t>
  </si>
  <si>
    <t>Controls funnel treatment and reporting categories.</t>
  </si>
  <si>
    <t>Derived from selected use case, activity type, and business rules.</t>
  </si>
  <si>
    <t>N/A - classified by system</t>
  </si>
  <si>
    <t>Sales Routing Trigger</t>
  </si>
  <si>
    <t>Determines whether the record routes to sales or not</t>
  </si>
  <si>
    <t>Customer Input/Integrate Defined</t>
  </si>
  <si>
    <t>Selected by Customer or set by Integrate</t>
  </si>
  <si>
    <t>Does the contact which to be contacted immediately by our sales team?</t>
  </si>
  <si>
    <t>2 - Contact Identity</t>
  </si>
  <si>
    <t>Person Party ID</t>
  </si>
  <si>
    <t>Provides a durable contact identifier for deduplication, matching, and downstream integrations.</t>
  </si>
  <si>
    <t>Tray.io / Contact Database derived</t>
  </si>
  <si>
    <t>Tray.io appends the unique contact Person Party ID after contact matching or creation.</t>
  </si>
  <si>
    <t>N/A - appended by Tray.io after upload</t>
  </si>
  <si>
    <t>System lookup</t>
  </si>
  <si>
    <t>UUID</t>
  </si>
  <si>
    <t>Tray.io appends the unique contact UUID after contact matching or creation.</t>
  </si>
  <si>
    <t>Marketing Automation Tool Contact ID</t>
  </si>
  <si>
    <t>Provides the system contact identifier for Eloqua processing, matching, and auditability.</t>
  </si>
  <si>
    <t>Tray.io appends the Marketing Automation ID after contact matching or creation.</t>
  </si>
  <si>
    <t>First Name</t>
  </si>
  <si>
    <t>Recommended</t>
  </si>
  <si>
    <t>Supports contact creation/update and personalization.</t>
  </si>
  <si>
    <t>Customer Input</t>
  </si>
  <si>
    <t>Provided by Integrate and enriched by Contact Database</t>
  </si>
  <si>
    <t>What is the contact first name?</t>
  </si>
  <si>
    <t>Last Name</t>
  </si>
  <si>
    <t>What is the contact last name?</t>
  </si>
  <si>
    <t>Job Title</t>
  </si>
  <si>
    <t xml:space="preserve">Supports persona reporting </t>
  </si>
  <si>
    <t>Provided by Integrate when available and used to derive Job Level &amp; Department</t>
  </si>
  <si>
    <t>What is the contact job title?</t>
  </si>
  <si>
    <t>Job Level</t>
  </si>
  <si>
    <t>Supports contact matching, enrichment, routing, and lead scoring</t>
  </si>
  <si>
    <t>Tray.io appends from Contact Database or derived from Job Title when available.</t>
  </si>
  <si>
    <t>Job Department</t>
  </si>
  <si>
    <t>Email</t>
  </si>
  <si>
    <t>Primary contact matching key for Eloqua/SFDC and deduplication.</t>
  </si>
  <si>
    <t>Provided by Integrate</t>
  </si>
  <si>
    <t>What is the contact email address?</t>
  </si>
  <si>
    <t>Confirm whether business email is mandatory and personal email domains are allowed.</t>
  </si>
  <si>
    <t>Email Status</t>
  </si>
  <si>
    <t>Supports email deliverability, consent, and follow-up eligibility checks.</t>
  </si>
  <si>
    <t>Tray.io appends current email status from Contact Database when available.</t>
  </si>
  <si>
    <t>OK to Email</t>
  </si>
  <si>
    <t>Supports compliant email follow-up and nurture eligibility decisions.</t>
  </si>
  <si>
    <t>Tray.io appends or derives the current email permission from Contact Database consent records.</t>
  </si>
  <si>
    <t>Phone Status</t>
  </si>
  <si>
    <t>Supports phone follow-up eligibility and regional compliance handling.</t>
  </si>
  <si>
    <t>Tray.io appends current phone status from Contact Database when available.</t>
  </si>
  <si>
    <t>OK to Call</t>
  </si>
  <si>
    <t>Supports compliant phone follow-up and routing decisions.</t>
  </si>
  <si>
    <t>Tray.io appends or derives the current call permission from Contact Database consent records.</t>
  </si>
  <si>
    <t>Partner Flag</t>
  </si>
  <si>
    <t>Identifies partner-related contacts for routing, segmentation, and reporting.</t>
  </si>
  <si>
    <t>Tray.io appends from Contact Database or partner/account enrichment when available.</t>
  </si>
  <si>
    <t>Student Flag</t>
  </si>
  <si>
    <t>Identifies student contacts for segmentation, routing, and reporting.</t>
  </si>
  <si>
    <t>Tray.io appends from Contact Database or derived contact profile attributes when available.</t>
  </si>
  <si>
    <t>Decision Maker Type</t>
  </si>
  <si>
    <t>Supports persona segmentation, routing, and sales prioritization.</t>
  </si>
  <si>
    <t>Company Name</t>
  </si>
  <si>
    <t>Supports account matching, attribution, and funnel reporting.</t>
  </si>
  <si>
    <t>Provided in uploaded contact file and enriched by Contact Database</t>
  </si>
  <si>
    <t>What company is the contact associated with?</t>
  </si>
  <si>
    <t>Confirm whether account matching requires domain, account ID, or company name only.</t>
  </si>
  <si>
    <t xml:space="preserve">Region </t>
  </si>
  <si>
    <t>Supports regional operational reporting and field rollups.</t>
  </si>
  <si>
    <t>Tray.io  derived</t>
  </si>
  <si>
    <t>Tray.io appends Region aligned to Country</t>
  </si>
  <si>
    <t>3 - Account Identity</t>
  </si>
  <si>
    <t>CR Party ID</t>
  </si>
  <si>
    <t>Provides party-level account matching support for deduplication and downstream integrations.</t>
  </si>
  <si>
    <t>Tray.io appends from account or party matching enrichment when available.</t>
  </si>
  <si>
    <t>ORG Party ID</t>
  </si>
  <si>
    <t>Provides organization-level account matching support for deduplication and downstream integrations.</t>
  </si>
  <si>
    <t>Tray.io appends from account or organization party matching enrichment when available.</t>
  </si>
  <si>
    <t>Address Line 1</t>
  </si>
  <si>
    <t>Optional</t>
  </si>
  <si>
    <t>Supports account/contact matching and regional routing</t>
  </si>
  <si>
    <t>Integrate input/Enriched by Contact Database</t>
  </si>
  <si>
    <t xml:space="preserve"> Adding this field will give a better account match rate in Contact Database, but will be enriched from Contact Database if known</t>
  </si>
  <si>
    <t>What is the contact street address?</t>
  </si>
  <si>
    <t>City</t>
  </si>
  <si>
    <t>What is the contact city?</t>
  </si>
  <si>
    <t>State/County</t>
  </si>
  <si>
    <t>What is the contact state or county?</t>
  </si>
  <si>
    <t>Postal/Zip Code</t>
  </si>
  <si>
    <t>What is the contact postal or zip code?</t>
  </si>
  <si>
    <t>Country</t>
  </si>
  <si>
    <t>Supports routing, privacy/compliance handling, and regional reporting.</t>
  </si>
  <si>
    <t>Integrate Input</t>
  </si>
  <si>
    <t>Provided by Integrate when available.</t>
  </si>
  <si>
    <t>Where is the contact located?</t>
  </si>
  <si>
    <t>Named Account Flag</t>
  </si>
  <si>
    <t>Identifies named accounts for segmentation, routing, and reporting.</t>
  </si>
  <si>
    <t>Tray.io appends from account enrichment when available.</t>
  </si>
  <si>
    <t>Number of Employees</t>
  </si>
  <si>
    <t>Supports firmographic segmentation, routing, and reporting.</t>
  </si>
  <si>
    <t>SAVM Account Manager Email</t>
  </si>
  <si>
    <t>Supports seller alignment, follow-up ownership, and account routing.</t>
  </si>
  <si>
    <t>Tray.io appends from SAVM account enrichment when available.</t>
  </si>
  <si>
    <t>SAVM Sales Coverage Code</t>
  </si>
  <si>
    <t>Supports sales coverage alignment, routing, and operational reporting.</t>
  </si>
  <si>
    <t>SAVM Sales Level 1</t>
  </si>
  <si>
    <t>Supports sales hierarchy reporting and territory alignment.</t>
  </si>
  <si>
    <t>Tray.io appends from SAVM account hierarchy enrichment when available.</t>
  </si>
  <si>
    <t>SAVM Sales Level 2</t>
  </si>
  <si>
    <t>SFDC Account ID</t>
  </si>
  <si>
    <t>Provides the matched account identifier for attribution, routing, and downstream reporting.</t>
  </si>
  <si>
    <t>Tray.io appends from SFDC or account matching enrichment when available.</t>
  </si>
  <si>
    <t>Vertical Market</t>
  </si>
  <si>
    <t>Supports industry segmentation, campaign reporting, and routing.</t>
  </si>
  <si>
    <t>Website URL</t>
  </si>
  <si>
    <t>Supports account matching, enrichment validation, and downstream account context.</t>
  </si>
  <si>
    <t>Phone Extension</t>
  </si>
  <si>
    <t>Excluded from standard performance reporting</t>
  </si>
  <si>
    <t>Data not stored in CDF but helpful with Bucher and Suter</t>
  </si>
  <si>
    <t>What is the phone extension?</t>
  </si>
  <si>
    <t>Do we still need Extension for B&amp;S to auto dial?</t>
  </si>
  <si>
    <t>Primary Phone Number</t>
  </si>
  <si>
    <t>Excluded from standard performance reporting but essential for upstream Virtual Demand Center (VDC) follow-up; Phone number should not be passed to sell if localized or country-specific phone opt-out privacy rules apply</t>
  </si>
  <si>
    <t>Phone data is enriched via the contact database when provided; if missing, the most recently added record is utilized, strictly adhering to regional or country-specific privacy regulations</t>
  </si>
  <si>
    <t>What is the primary phone number?</t>
  </si>
  <si>
    <t>OK to send if no phone number aligned?</t>
  </si>
  <si>
    <t>4 - Compliance / Permissions</t>
  </si>
  <si>
    <t>Email Opt-In Permission</t>
  </si>
  <si>
    <t>Supports consent, privacy, and compliance checks for manual-upload processing.</t>
  </si>
  <si>
    <t>Customer input or existing consent derived from Contact Database</t>
  </si>
  <si>
    <t>Blank values won't overwrite existing values in Contact Database</t>
  </si>
  <si>
    <t>Did the contact explicitly opt in to future email marketing communications?</t>
  </si>
  <si>
    <t>Primary Phone Opt-In Permission</t>
  </si>
  <si>
    <t>Did the contact explicitly opt in to future phone communications?</t>
  </si>
  <si>
    <t>Cross Border Storage (China Hand Raisers and Responses Only)</t>
  </si>
  <si>
    <t>Conditional</t>
  </si>
  <si>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</si>
  <si>
    <t>Was China cross-border storage consent captured for this transaction?</t>
  </si>
  <si>
    <t>Korea and Vietnam Combined Consent</t>
  </si>
  <si>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</si>
  <si>
    <t>Was Korea/Vietnam combined consent captured where required?</t>
  </si>
  <si>
    <t>Share Data with Cisco Affiliates and Suppliers (China Hand Raisers and Responses Only)</t>
  </si>
  <si>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</si>
  <si>
    <t>Was consent captured to share data with Cisco affiliates and suppliers?</t>
  </si>
  <si>
    <t>5 - Legacy Tracking Parameters</t>
  </si>
  <si>
    <t>Campaign Name</t>
  </si>
  <si>
    <t>Connects the touchpoint to attribution and marketing sourced pipeline reporting.</t>
  </si>
  <si>
    <t>Tray.io aligns to OMS tables</t>
  </si>
  <si>
    <t>Tray.io appends campaign information from OMS Tables populated by CTT Tool</t>
  </si>
  <si>
    <t>Program Name</t>
  </si>
  <si>
    <t>Tray.io appends program information from OMS Tables populated by CTT Tool</t>
  </si>
  <si>
    <t>Activity ID</t>
  </si>
  <si>
    <t>Maintains compatibility with existing operational, attribution, and funnel reporting during transition.</t>
  </si>
  <si>
    <t>Mandatory Value from Integrate</t>
  </si>
  <si>
    <t>What is the  Activity ID for this activity?</t>
  </si>
  <si>
    <t>Activity Name</t>
  </si>
  <si>
    <t>Provides human-readable activity context for legacy attribution, operational reporting, and validation.</t>
  </si>
  <si>
    <t>Tray.io derives Activity Name from Activity ID.</t>
  </si>
  <si>
    <t>Activity Description</t>
  </si>
  <si>
    <t>Provides activity context for reporting, validation, and downstream operational review.</t>
  </si>
  <si>
    <t>Tray.io derives Activity Description from Activity ID.</t>
  </si>
  <si>
    <t>Drive To ID</t>
  </si>
  <si>
    <t>To Review</t>
  </si>
  <si>
    <t>Maintains legacy destination and drive-to reporting alignment during transition.</t>
  </si>
  <si>
    <t>What is the Drive To ID?</t>
  </si>
  <si>
    <t>We should be able to get the drive to information from the Channel ID - I think we can retire DTID for Content Syndication</t>
  </si>
  <si>
    <t>DTID Reporting Channel</t>
  </si>
  <si>
    <t>Supports drive-to reporting alignment, attribution, and legacy tracking analysis.</t>
  </si>
  <si>
    <t>Tray.io derives DTID Reporting Channel from Drive To ID.</t>
  </si>
  <si>
    <t>Vehicle</t>
  </si>
  <si>
    <t>Supports vehicle-level attribution, reporting, and operational alignment.</t>
  </si>
  <si>
    <t>Tray.io derives Vehicle from Drive To ID.</t>
  </si>
  <si>
    <t>Offer ID</t>
  </si>
  <si>
    <t>Maintains legacy offer identification for attribution, campaign reporting, and operational alignment during transition.</t>
  </si>
  <si>
    <t>What is the Offer ID?</t>
  </si>
  <si>
    <t>Offer Name</t>
  </si>
  <si>
    <t>Provides offer context for attribution, campaign reporting, and downstream follow-up.</t>
  </si>
  <si>
    <t>Tray.io appends Offer Name when Offer ID is present.</t>
  </si>
  <si>
    <t>Offer Description</t>
  </si>
  <si>
    <t>Provides offer detail for reporting, validation, and downstream follow-up context.</t>
  </si>
  <si>
    <t>Tray.io appends Offer Description when Offer ID is present.</t>
  </si>
  <si>
    <t>Offer Type</t>
  </si>
  <si>
    <t>Supports offer segmentation, attribution analysis, and reporting.</t>
  </si>
  <si>
    <t>Tray.io appends Offer Type when Offer ID is present.</t>
  </si>
  <si>
    <t>6 - Future Tracking Parameters</t>
  </si>
  <si>
    <t>Workfront Channel ID</t>
  </si>
  <si>
    <t>Connects the upload to the Workfront channel taxonomy for durable operational and attribution alignment.</t>
  </si>
  <si>
    <t>Channel ID used appended by Integrate</t>
  </si>
  <si>
    <t>Primary Technology</t>
  </si>
  <si>
    <t>Identifies the primary technology associated with the content for future attribution, operational, and seller enablement reporting.</t>
  </si>
  <si>
    <t>Tray.io / Workfront derived</t>
  </si>
  <si>
    <t>Tray.io derives Primary Technology from Workfront Content ID and Workfront Channel ID alignment.</t>
  </si>
  <si>
    <t>Campaign</t>
  </si>
  <si>
    <t>Connects the touchpoint to campaign-level attribution and marketing sourced pipeline reporting aligned to Workfront Content ID and Channel ID.</t>
  </si>
  <si>
    <t>Tray.io derives Campaign from Workfront Content ID and Workfront Channel ID alignment.</t>
  </si>
  <si>
    <t>Program</t>
  </si>
  <si>
    <t>Connects the touchpoint to program-level attribution and marketing sourced pipeline reporting aligned to Workfront Content ID and Channel ID.</t>
  </si>
  <si>
    <t>Tray.io derives Program from Workfront Content ID and Workfront Channel ID alignment.</t>
  </si>
  <si>
    <t>Channel Type</t>
  </si>
  <si>
    <t>Identifies the driving channel for future attribution, operational, and funnel reporting after legacy IDs are decommissioned.</t>
  </si>
  <si>
    <t>Tray.io appends from Workfront Channel ID in the Workfront Data tables</t>
  </si>
  <si>
    <t>Channel Source</t>
  </si>
  <si>
    <t>Identifies platform/vendor source for future attribution, operational, and funnel reporting.</t>
  </si>
  <si>
    <t>Funnel Stage</t>
  </si>
  <si>
    <t>Supports funnel-based routing, lead scoring, and operational reporting aligned to Workfront Content ID and Channel ID.</t>
  </si>
  <si>
    <t>Tray.io derives Funnel Stage from Workfront Content ID and Workfront Channel ID alignment.</t>
  </si>
  <si>
    <t>Workfront Content ID</t>
  </si>
  <si>
    <t>Connects the upload to the Workfront Content taxonomy for durable operational and attribution alignment.</t>
  </si>
  <si>
    <t>Content ID used appended by Integrate</t>
  </si>
  <si>
    <t>Content Type</t>
  </si>
  <si>
    <t>Identifies the content classification for future attribution, operational, and funnel reporting aligned to Workfront Content ID.</t>
  </si>
  <si>
    <t>Tray.io derives Content Type from Workfront Content ID alignment.</t>
  </si>
  <si>
    <t>This field relates to Web Content Type, Webinar Type and Event Type from Workfront.</t>
  </si>
  <si>
    <t>8 - Activity Detail</t>
  </si>
  <si>
    <t>Form Submit Date</t>
  </si>
  <si>
    <t>Supports submission timing analysis and operational reporting.</t>
  </si>
  <si>
    <t>System-captured form submission date passed from Integrate.</t>
  </si>
  <si>
    <t>What is the date we received the lead from Integrate?</t>
  </si>
  <si>
    <t>Date/Time</t>
  </si>
  <si>
    <t>Integrate Source ID</t>
  </si>
  <si>
    <t>Connects the submission to Integrate source taxonomy for attribution and operational reporting.</t>
  </si>
  <si>
    <t>Mandatory source identifier captured from Integrate for attribution and source lineage tracking.</t>
  </si>
  <si>
    <t>What is the Integrate Unique Identifier?</t>
  </si>
  <si>
    <t>Contact Source Original</t>
  </si>
  <si>
    <t>Supports source lineage for attribution, operational reporting, and seller enablement.</t>
  </si>
  <si>
    <t>System-captured original source identifier (e.g., Integrate-Content Syndication).</t>
  </si>
  <si>
    <t>What is the original contact source for this submission?</t>
  </si>
  <si>
    <t>Additional Enquiry Details</t>
  </si>
  <si>
    <t>Provides qualitative enquiry context for seller enablement and operational review.</t>
  </si>
  <si>
    <t>Required free-text response captured from the customer by Integrate</t>
  </si>
  <si>
    <t>What additional details did the contact provide about their enquiry?</t>
  </si>
  <si>
    <t>UC02 — Content Syndication | Hand Raiser | Content Syndication | Form Submit</t>
  </si>
  <si>
    <t>UC03 — Content Syndication | Non-Hand Raiser | Content Syndication | Attended on Demand</t>
  </si>
  <si>
    <t>UC04 — Content Syndication | Non-Hand Raiser | Content Syndication | Form Submit</t>
  </si>
  <si>
    <t>UC05 — Manual Uploads | Hand Raiser | 1st Party Events | Follow-Up Requested</t>
  </si>
  <si>
    <t>Controls which fields are shown and how the activity maps to reporting/scoring.</t>
  </si>
  <si>
    <t>Marketing team input</t>
  </si>
  <si>
    <t>Selected by uploader after use case selection.</t>
  </si>
  <si>
    <t>What type of activity is this upload for?</t>
  </si>
  <si>
    <t>Confirm all Activity Types are captured</t>
  </si>
  <si>
    <t>Controls the upload path, available activity and lead category types.</t>
  </si>
  <si>
    <t>Selected by uploader at start of process.</t>
  </si>
  <si>
    <t>Which manual upload use case is this?</t>
  </si>
  <si>
    <t>Confirm Final list of use cases</t>
  </si>
  <si>
    <t>Determines whether the record bypasses nurture and routes to sales.</t>
  </si>
  <si>
    <t>Derived from activity type, consent, lead category, and routing rules.</t>
  </si>
  <si>
    <t>Confirm routing treatment for non-follow-up high-intent activities.</t>
  </si>
  <si>
    <t>Tray.io appends the Eloqua contact identifier after contact matching or creation.</t>
  </si>
  <si>
    <t>Provided in uploaded contact file when available and used to derive Job Level &amp; Department</t>
  </si>
  <si>
    <t>Marketing team input from standard list of values or derived in Contact Database</t>
  </si>
  <si>
    <t>Marketing Source when available; if not provided, the value is programmatically derived from the existing Job Title within the contact database</t>
  </si>
  <si>
    <t>What is the contact job level?</t>
  </si>
  <si>
    <t>List of values / derived</t>
  </si>
  <si>
    <t>What is the contact job department?</t>
  </si>
  <si>
    <t>Provided in uploaded contact file</t>
  </si>
  <si>
    <t>N/A - appended by Tray.io after upload if available</t>
  </si>
  <si>
    <t>Marketing team input/Enriched by Contact Database</t>
  </si>
  <si>
    <t>Provided in uploaded contact file when available.</t>
  </si>
  <si>
    <t>Marketing team input or existing consent derived from Contact Database</t>
  </si>
  <si>
    <t>How should we deal with customer wanting to Opt Out - we see errors of N being added in error</t>
  </si>
  <si>
    <t>Contact Provided Permission</t>
  </si>
  <si>
    <t>If Email or Phone Permission is supplied in the upload, update the contact record only when the marketing team has indicated that a digital/paper audit trail exists for the customer's opt-in/opt-out permission.</t>
  </si>
  <si>
    <t>Do you have a paper/digital audit trail showing that the customer gave opt-in permissions?</t>
  </si>
  <si>
    <t>Consent / Permission Status</t>
  </si>
  <si>
    <t>Supports compliant nurture, routing, and hand-raiser processing.</t>
  </si>
  <si>
    <t>Tool Derived</t>
  </si>
  <si>
    <t>Automatically populated relating to the Lead Category Selected - Y = Handraiser and N =Non-Hand Raisers</t>
  </si>
  <si>
    <t>Does the contact have permission for follow-up?</t>
  </si>
  <si>
    <t>Capture while downstream processes still require it; retire after UTM_MEDIUM, UTM_SOURCE, and Workfront Channel ID are fully adopted.</t>
  </si>
  <si>
    <t>Marketing team input or Tray.io derived</t>
  </si>
  <si>
    <t>Capture while downstream drive-to/destination reporting still requires it; retire after future-state channel/source fields are fully adopted. If DTID is given then use else default values as per DTID Values in Tab - Lists</t>
  </si>
  <si>
    <t>Attribution is using EID to determine First and Third party Events - so I think we can retire DTID for Event Uploads</t>
  </si>
  <si>
    <t>Think we should remove Offer ID from events</t>
  </si>
  <si>
    <t>What is the Workfront Channel ID?</t>
  </si>
  <si>
    <t>Will events data come from Workfront, or can all of this information come from the Global Events Table via the EID?</t>
  </si>
  <si>
    <t>What is the Workfront Content ID?</t>
  </si>
  <si>
    <t>Would the Event manual Upload use cases really capture a Workfront Content ID</t>
  </si>
  <si>
    <t>Vendor</t>
  </si>
  <si>
    <t>Supports future-state source attribution and vendor-based tracking alignment.</t>
  </si>
  <si>
    <t>Marketing team input from standard list of values or Tray.io derived</t>
  </si>
  <si>
    <t>If Vendor matches a predefined list of utm_source values, Tray.io automatically populates utm_source.</t>
  </si>
  <si>
    <t>Which vendor supplied this activity?</t>
  </si>
  <si>
    <t>7 - Event Tracking Parameters</t>
  </si>
  <si>
    <t>Event ID / EID</t>
  </si>
  <si>
    <t>Primary lookup key for attribution, operational reporting, and Global Events Table enrichment. MRF should capture the same fields as Workfront</t>
  </si>
  <si>
    <t>EID is validated against Global Events Table for validity</t>
  </si>
  <si>
    <t>Which Event ID is this upload for?</t>
  </si>
  <si>
    <t>Confirm uploader has this value before upload.</t>
  </si>
  <si>
    <t>Event Name</t>
  </si>
  <si>
    <t>Human-readable event reporting and validation without requiring uploaders to re-type event names.</t>
  </si>
  <si>
    <t>Tray.io / Global Events Table derived</t>
  </si>
  <si>
    <t>Tray.io appends from Global Events Table using Event ID / EID.</t>
  </si>
  <si>
    <t>Event Start Date</t>
  </si>
  <si>
    <t>Supports attribution windows, recency logic, upload validation, and operational reporting.</t>
  </si>
  <si>
    <t>Event End Date</t>
  </si>
  <si>
    <t>Supports validation that activity dates fall within or near the event window.</t>
  </si>
  <si>
    <t>Customer Comments</t>
  </si>
  <si>
    <t>Supports activity context, seller follow-up, and operational validation.</t>
  </si>
  <si>
    <t>Maximum of 3200 Characters Please add any information obtained from the customer that can be passed to the seller to enhance the converstation</t>
  </si>
  <si>
    <t>What context or comments should be passed to the seller?</t>
  </si>
  <si>
    <t>Transaction Date</t>
  </si>
  <si>
    <t>Common date field for attribution sequencing, operational SLA reporting, and lead scoring time decay.</t>
  </si>
  <si>
    <t>Provided in uploaded file; may represent registration date, attendance date, scan date, meeting date, view date, form submission date, or follow-up request date.</t>
  </si>
  <si>
    <t>When did this activity happen?</t>
  </si>
  <si>
    <t>Date</t>
  </si>
  <si>
    <t>UC06 — Manual Uploads | Hand Raiser | 3rd Party Events | Follow-Up Requested</t>
  </si>
  <si>
    <t>Provided in uploaded contact file.</t>
  </si>
  <si>
    <t>Privacy ID</t>
  </si>
  <si>
    <t>Supports privacy, compliance, auditability, and source-system traceability for non-1st Party Events activity.</t>
  </si>
  <si>
    <t>Capture for non-1st Party Events use cases when supplied by the source activity or vendor.</t>
  </si>
  <si>
    <t>What is the Privacy ID for this activity?</t>
  </si>
  <si>
    <t>UC07 — Manual Uploads | Hand Raiser | Paid Leads | Follow-Up Requested</t>
  </si>
  <si>
    <t>Which Drive To ID is associated with this activity?</t>
  </si>
  <si>
    <t>Need to validate the default DTID to use to ensure correct MSP Alignment</t>
  </si>
  <si>
    <t>Maintains legacy offer attribution and seller/content context during transition.</t>
  </si>
  <si>
    <t>Will events data come from Workfront, or can all of this information come from the Global Events Table?</t>
  </si>
  <si>
    <t>Would the manual Upload use cases really capture a Workfront Content ID</t>
  </si>
  <si>
    <t xml:space="preserve"> Maximum of 3200 Characters Please add any information obtained from the customer that can be passed to the seller to enhance the converstation</t>
  </si>
  <si>
    <t>Do we need to capture this for Non-Hand Raisers?</t>
  </si>
  <si>
    <t>UC08 — Manual Uploads | Hand Raiser | Webinars | Follow-Up Requested</t>
  </si>
  <si>
    <t>UC09 — Manual Uploads | Non-Hand Raiser | 1st Party Events | Attended Live In-Person</t>
  </si>
  <si>
    <t>Confirm final list of use cases</t>
  </si>
  <si>
    <t>Confirm uploader has this value before upload.
Need rules to ensure 1st Party Data has not already been captured via Cvent or Rainfocus</t>
  </si>
  <si>
    <t>Event Attended</t>
  </si>
  <si>
    <t>Supports activity context and operational validation.</t>
  </si>
  <si>
    <t>Tray.io</t>
  </si>
  <si>
    <t>If you are using this use case then it is assumed the customers attended the Live In Person Event</t>
  </si>
  <si>
    <t>Attendance Date</t>
  </si>
  <si>
    <t>Captures high-commitment physical attendance for attribution, operations, and scoring.</t>
  </si>
  <si>
    <t>Default attendance date to the Transaction Date</t>
  </si>
  <si>
    <t>Should we default the attendance date to the Transaction Date or the Event Start Date?</t>
  </si>
  <si>
    <t>Do we really need this for Non Hand Raisers</t>
  </si>
  <si>
    <t>Confirm whether UI should show one generic Activity Date label or an activity-specific date label.</t>
  </si>
  <si>
    <t>UC10 — Manual Uploads | Non-Hand Raiser | 1st Party Events | Attended Live Virtual</t>
  </si>
  <si>
    <t>It is assumed that if you are using this use case then you attended the Event</t>
  </si>
  <si>
    <t>Captures digital attendance for attribution, platform reporting, and scoring.</t>
  </si>
  <si>
    <t>Attendance Date should be derived by either the transaction Date or the Event Start Date</t>
  </si>
  <si>
    <t>Confirm if date can be derived</t>
  </si>
  <si>
    <t>Do we really need comments for Non-Hand Raisers?</t>
  </si>
  <si>
    <t>UC11 — Manual Uploads | Non-Hand Raiser | 1st Party Events | Attended Session</t>
  </si>
  <si>
    <t>Using this use case implies that they attended</t>
  </si>
  <si>
    <t>Session Name</t>
  </si>
  <si>
    <t>Supports content-interest reporting and seller context.</t>
  </si>
  <si>
    <t>Provided by uploader unless session catalog lookup exists.</t>
  </si>
  <si>
    <t>Which session did the contact attend?</t>
  </si>
  <si>
    <t>Confirm whether sessions can be selected from a controlled list or if we have an identifier to look it up</t>
  </si>
  <si>
    <t>Session Topic / Track</t>
  </si>
  <si>
    <t>Supports topic performance reporting and targeted follow-up.</t>
  </si>
  <si>
    <t>Marketing team input or tool derived</t>
  </si>
  <si>
    <t>Prefer Tray.io/session catalog derivation when Session Name has a controlled lookup.</t>
  </si>
  <si>
    <t>What topic or track was the session part of?</t>
  </si>
  <si>
    <t>Confirm if a session catalog exists.</t>
  </si>
  <si>
    <t>Session Attendance Date</t>
  </si>
  <si>
    <t>Supports attribution sequencing, operations, and scoring time decay.</t>
  </si>
  <si>
    <t>Default to the transaction date or the session start date</t>
  </si>
  <si>
    <t>UC12 — Manual Uploads | Non-Hand Raiser | 1st Party Events | Booth Scan</t>
  </si>
  <si>
    <t>If booth scan completed it is assumed that the customer attended the event</t>
  </si>
  <si>
    <t>Will adding an attended Booth Value double up the attendance values?</t>
  </si>
  <si>
    <t>Booth Name / Location</t>
  </si>
  <si>
    <t>Supports booth traffic and scanner utilization reporting.</t>
  </si>
  <si>
    <t>How will we know the Booth Name? is it of any use in the events data set?</t>
  </si>
  <si>
    <t>Booth Scan Date</t>
  </si>
  <si>
    <t>Supports floor traffic reporting, attribution sequencing, and scoring time decay.</t>
  </si>
  <si>
    <t>UC13 — Manual Uploads | Non-Hand Raiser | 1st Party Events | Registered</t>
  </si>
  <si>
    <t>Provided in Data Upload from Marketing Team</t>
  </si>
  <si>
    <t>Registration Date</t>
  </si>
  <si>
    <t>Tray</t>
  </si>
  <si>
    <t>Populated from Transaction Date</t>
  </si>
  <si>
    <t>OK to use Transaction Date</t>
  </si>
  <si>
    <t>Do we need Comments for Non Hand Raisers?</t>
  </si>
  <si>
    <t>UC14 — Manual Uploads | Non-Hand Raiser | 3rd Party Events | Attended CXO Event</t>
  </si>
  <si>
    <t>It is assumed that if your are using this use case then you have attended the Event</t>
  </si>
  <si>
    <t>CXO / Executive Indicator</t>
  </si>
  <si>
    <t>Supports executive-touch reporting and optional profile scoring.</t>
  </si>
  <si>
    <t>Derived from event type, job title, or business rules.</t>
  </si>
  <si>
    <t>N/A - derived from title or event classification</t>
  </si>
  <si>
    <t>System classification</t>
  </si>
  <si>
    <t>Confirm whether CXO is still included in models.</t>
  </si>
  <si>
    <t>CXO Event Attendance Date</t>
  </si>
  <si>
    <t>Supports executive-touch attribution and operational attendance tracking.</t>
  </si>
  <si>
    <t>Derived from the Transaction Date</t>
  </si>
  <si>
    <t>Should we use the Event Date or the Transaction Date</t>
  </si>
  <si>
    <t>UC15 — Manual Uploads | Non-Hand Raiser | 3rd Party Events | Attended Meeting</t>
  </si>
  <si>
    <t>By using this use case it is assumed that the customer attended the event</t>
  </si>
  <si>
    <t>Meeting Type</t>
  </si>
  <si>
    <t>Supports meeting-performance reporting and high-value interaction weighting.</t>
  </si>
  <si>
    <t>Tray.io appends meeting type from Global Events Table or related meeting lookup.</t>
  </si>
  <si>
    <t>Confirm meeting type is derivable at contact/meeting level.</t>
  </si>
  <si>
    <t>Meeting Owner</t>
  </si>
  <si>
    <t>Supports operational accountability and meeting ROI reporting.</t>
  </si>
  <si>
    <t>Tray.io appends meeting owner from Global Events Table or related meeting lookup.</t>
  </si>
  <si>
    <t>Confirm meeting owner is derivable at contact/meeting level.</t>
  </si>
  <si>
    <t>Meeting Date</t>
  </si>
  <si>
    <t>Supports pipeline velocity context, SLA monitoring, and scoring recency.</t>
  </si>
  <si>
    <t>Attendance date should either default to transaction date or event start date</t>
  </si>
  <si>
    <t>Confirm if we can use transaction date or event start date</t>
  </si>
  <si>
    <t>UC16 — Manual Uploads | Non-Hand Raiser | 3rd Party Events | Attended Session</t>
  </si>
  <si>
    <t>UC17 — Manual Uploads | Non-Hand Raiser | 3rd Party Events | Booth Scan</t>
  </si>
  <si>
    <t>UC18 — Manual Uploads | Non-Hand Raiser | 3rd Party Events | Contact Registered</t>
  </si>
  <si>
    <t>Supports registration lead-time analysis, attribution timeline, and scoring decay.</t>
  </si>
  <si>
    <t>Auto populated from either the Transaction Date or the Event Start Date</t>
  </si>
  <si>
    <t>Confirm if we should default date to transaction date or event start date</t>
  </si>
  <si>
    <t>UC19 — Manual Uploads | Non-Hand Raiser | Event Sponsorships | Attended Live In-Person</t>
  </si>
  <si>
    <t>UC20 — Manual Uploads | Non-Hand Raiser | Event Sponsorships | Attended Session</t>
  </si>
  <si>
    <t>Sponsored Session Name</t>
  </si>
  <si>
    <t>UC21 — Manual Uploads | Non-Hand Raiser | Event Sponsorships | Registered</t>
  </si>
  <si>
    <t>UC22 — Manual Uploads | Non-Hand Raiser | Webinars | Attended Live Virtual</t>
  </si>
  <si>
    <t>Capture while downstream offer/content attribution still requires it; retire after future-state identifiers cover the reporting need.</t>
  </si>
  <si>
    <t>Need to confirm rules around which vendors can be manually uploaded</t>
  </si>
  <si>
    <t>Supports current-template tracking and downstream operational, attribution, and funnel reporting during the transition period.</t>
  </si>
  <si>
    <t>If source is PathFactory or Cvent then reject the data upload for Attendees.  Webex uploads must align the EID to the Registration data</t>
  </si>
  <si>
    <t>Which use cases need and EID and which rely on Offer Information</t>
  </si>
  <si>
    <t>It is assumed as you are using this use case then you attended</t>
  </si>
  <si>
    <t>Live Attendance Date</t>
  </si>
  <si>
    <t>Supports live attendance reporting, attribution, and scoring.</t>
  </si>
  <si>
    <t>Marketing team input or platform derived</t>
  </si>
  <si>
    <t>Prefer deriving from webinar platform attendance export when available.</t>
  </si>
  <si>
    <t>When did the contact attend live?</t>
  </si>
  <si>
    <t>Webinar Date</t>
  </si>
  <si>
    <t>Supports attribution windows, operational reporting, and scoring recency.</t>
  </si>
  <si>
    <t>Tray.io appends webinar date as Transaction Date</t>
  </si>
  <si>
    <t>Confirm if OK to derive Webinar Date from Transaction Date</t>
  </si>
  <si>
    <t>UC23 — Manual Uploads | Non-Hand Raiser | Webinars | Attended On-Demand</t>
  </si>
  <si>
    <t>As you are using this use case it is assumed that they attended the event</t>
  </si>
  <si>
    <t>On-Demand View Date</t>
  </si>
  <si>
    <t>Supports long-tail content attribution and scoring recency.</t>
  </si>
  <si>
    <t>UC24 — Manual Uploads | Non-Hand Raiser | Webinars | Registered</t>
  </si>
  <si>
    <t>If source is PathFactory, Webex or Cvent then reject the data upload for registrations</t>
  </si>
  <si>
    <t>Captures digital registration intent for attribution and scoring decay.</t>
  </si>
  <si>
    <t>Provided in uploaded file or represented by generic Activity Date.</t>
  </si>
  <si>
    <t>When did the contact register?</t>
  </si>
  <si>
    <t>UC25 — Online Forms | Hand Raiser | Offers - Contact Us | Form Submit</t>
  </si>
  <si>
    <t>Set by Tray.io on receipt of form from Marketing Automation Tool.</t>
  </si>
  <si>
    <t>Separated the type of Form Submit for Attribution models to score separately</t>
  </si>
  <si>
    <t>Marketing Automation Tool</t>
  </si>
  <si>
    <t>Set by Marketing Automation Tool</t>
  </si>
  <si>
    <t>What type of form submit is this?</t>
  </si>
  <si>
    <t>Customer Input/Marketing Automation Tool</t>
  </si>
  <si>
    <t>Selected by Customer or defaulted by Marketing Automation Tool</t>
  </si>
  <si>
    <t>Customer input from standard list of values or derived in Contact Database</t>
  </si>
  <si>
    <t>Derived in Contact Database</t>
  </si>
  <si>
    <t>Provided in Form</t>
  </si>
  <si>
    <t>Customer input/Enriched by Contact Database</t>
  </si>
  <si>
    <t>Marketing Automation Tool/Tealium</t>
  </si>
  <si>
    <t>Captured by Tealium from customers driving URL and passed to Marketing Automation Tool</t>
  </si>
  <si>
    <t>Captured by Marketing Automation Tool from Offer Consumed</t>
  </si>
  <si>
    <t>Captured by Marketing Automation Tool from Offer Consumed aligned to the Workfront Project that created it</t>
  </si>
  <si>
    <t>N/A - Appended by Telium and Marketing Automation Tool</t>
  </si>
  <si>
    <t>C_ECID</t>
  </si>
  <si>
    <t>Supports cross-session identity stitching for attribution and operational reporting.</t>
  </si>
  <si>
    <t>Captured by Tealium as First Party Cookie and passed to Marketing Automation Tool</t>
  </si>
  <si>
    <t>C_FPID</t>
  </si>
  <si>
    <t>Supports first-party identity stitching for attribution and operational reporting.</t>
  </si>
  <si>
    <t>Call to Action URL</t>
  </si>
  <si>
    <t>Captures the CTA destination for attribution, seller enablement, and downstream follow-up context.</t>
  </si>
  <si>
    <t>Captured by Tealium from the Customers selection of the Call to Action to access the Gated Offer and passed to Marketing Automation Tool</t>
  </si>
  <si>
    <t>CP_GUTC</t>
  </si>
  <si>
    <t>Supports visitor tracking, identity stitching, and attribution analysis.</t>
  </si>
  <si>
    <t>Captured by Tealium tracking cookie and passed to Marketing Automation Tool.</t>
  </si>
  <si>
    <t>What is the Cisco tracking cookie value for this submission?</t>
  </si>
  <si>
    <t>Entry URL</t>
  </si>
  <si>
    <t>Captures first-entry URL for attribution journey analysis and operational reporting.</t>
  </si>
  <si>
    <t>Captured by Tealium from the Customers first entry to .com and passed to Marketing Automation Tool</t>
  </si>
  <si>
    <t>Gated Page URL</t>
  </si>
  <si>
    <t>Captures gated offer page context for operational reporting, seller enablement, and downstream follow-up.</t>
  </si>
  <si>
    <t>Captured by Tealium from gated offer page consumed by the customer and passed to Marketing Automation Tool</t>
  </si>
  <si>
    <t>Google Click ID</t>
  </si>
  <si>
    <t>Supports paid search click-level attribution and campaign performance reporting.</t>
  </si>
  <si>
    <t>Captured from Google Ads click tracking parameters and passed to Marketing Automation Tool.</t>
  </si>
  <si>
    <t>What is the Google click identifier (gclid) for this submission?</t>
  </si>
  <si>
    <t>Link Click ID</t>
  </si>
  <si>
    <t>Supports click-level attribution and operational reporting for paid media touchpoints.</t>
  </si>
  <si>
    <t>Captured by Tealium system-generated alphanumeric code appended to an ad's destination URL when a user clicks it and passed to Marketing Automation Tool</t>
  </si>
  <si>
    <t>Source Domain</t>
  </si>
  <si>
    <t>Captures referring domain for attribution journey analysis and operational reporting.</t>
  </si>
  <si>
    <t>Captured by Tealium from the Customers previous state to .com and passed to Marketing Automation Tool</t>
  </si>
  <si>
    <t>utm_campaign</t>
  </si>
  <si>
    <t>Identifies the campaign for future attribution, operational, and funnel reporting after legacy IDs are decommissioned.</t>
  </si>
  <si>
    <t>utm_content</t>
  </si>
  <si>
    <t>Identifies the content variant for future attribution, operational, and funnel reporting after legacy IDs are decommissioned.</t>
  </si>
  <si>
    <t>utm_creative</t>
  </si>
  <si>
    <t>Identifies the creative for future attribution, operational, and funnel reporting after legacy IDs are decommissioned.</t>
  </si>
  <si>
    <t>utm_medium</t>
  </si>
  <si>
    <t>utm_source</t>
  </si>
  <si>
    <t>utm_term</t>
  </si>
  <si>
    <t>Identifies the paid search term for future attribution, operational, and funnel reporting after legacy IDs are decommissioned.</t>
  </si>
  <si>
    <t>Primary lookup key for attribution, operational reporting, and Global Events Table enrichment.</t>
  </si>
  <si>
    <t>System-captured form submission date passed from Marketing Automation Tool or Tealium.</t>
  </si>
  <si>
    <t>What is the form submit date captured by the system?</t>
  </si>
  <si>
    <t>System-captured original source identifier (e.g., Eloqua-Form-submit-ContactSales6493).</t>
  </si>
  <si>
    <t>Enquiry Type</t>
  </si>
  <si>
    <t>Classifies the contact's intent for routing, lead scoring, seller enablement, and operational reporting.</t>
  </si>
  <si>
    <t>Required customer-selected enquiry category captured on the Contact Us form.</t>
  </si>
  <si>
    <t>What type of enquiry is the contact submitting? (looking for Guidance etc.)</t>
  </si>
  <si>
    <t>Picklist</t>
  </si>
  <si>
    <t>Required free-text response captured from the customer on the Contact Us form.</t>
  </si>
  <si>
    <t>Language</t>
  </si>
  <si>
    <t>Supports localized operational reporting, routing, and customer experience alignment.</t>
  </si>
  <si>
    <t>System-captured locale code (e.g., en_us, ja_jp) for the form submission.</t>
  </si>
  <si>
    <t>What is the form language/locale for this submission?</t>
  </si>
  <si>
    <t>Supports funnel-based routing, lead scoring, and operational reporting.</t>
  </si>
  <si>
    <t>System-assigned funnel stage (e.g., top, middle, bottom) for the offer submission.</t>
  </si>
  <si>
    <t>What funnel stage is associated with this submission?</t>
  </si>
  <si>
    <t>Marketing Automation Tool Form ID</t>
  </si>
  <si>
    <t>Connects the submission to the source form for operational reporting and validation.</t>
  </si>
  <si>
    <t>System-captured Marketing Automation Tool form identifier for the Contact Us form.</t>
  </si>
  <si>
    <t>What is the Eloqua form identifier for this submission?</t>
  </si>
  <si>
    <t>Marketing Automation Tool Email ID</t>
  </si>
  <si>
    <t>Connects the submission to the source email for operational reporting and validation.</t>
  </si>
  <si>
    <t>System-captured Eloqua email identifier associated with the form submission.</t>
  </si>
  <si>
    <t>What is the Eloqua email identifier for this submission?</t>
  </si>
  <si>
    <t>Marketing Automation Tool Landing Page ID</t>
  </si>
  <si>
    <t>Connects the submission to the originating landing page for attribution and operational reporting.</t>
  </si>
  <si>
    <t>System-captured Marketing Automation Tool landing page identifier associated with the submission.</t>
  </si>
  <si>
    <t>What is the Eloqua landing page identifier for this submission?</t>
  </si>
  <si>
    <t>UC26 — Online Forms | Hand Raiser | Offers - Demo | Form Submit</t>
  </si>
  <si>
    <t>System-captured original source identifier for the offer form submission.</t>
  </si>
  <si>
    <t>Required customer-selected enquiry category captured on the offer form.</t>
  </si>
  <si>
    <t>Optional free-text response captured from the customer on the offer form.</t>
  </si>
  <si>
    <t>System-captured Marketing Automation Tool form identifier for the offer form.</t>
  </si>
  <si>
    <t>UC27 — Online Forms | Hand Raiser | Offers - Offer | Form Submit</t>
  </si>
  <si>
    <t>Sales Conversation Interest</t>
  </si>
  <si>
    <t>Determines sales routing intent for lead scoring, seller enablement, and operational reporting.</t>
  </si>
  <si>
    <t>Required customer response indicating sales conversation interest (YES/NO) on the offer form.</t>
  </si>
  <si>
    <t>Does the contact want to speak with Cisco Sales about this offer?</t>
  </si>
  <si>
    <t>UC28 — Online Forms | Hand Raiser | Offers - Other | Form Submit</t>
  </si>
  <si>
    <t>UC29 — Online Forms | Hand Raiser | Offers - Others | Form Submit</t>
  </si>
  <si>
    <t>UC30 — Online Forms | Hand Raiser | Offers - Promotion | Form Submit</t>
  </si>
  <si>
    <t>UC31 — Online Forms | Hand Raiser | Offers - Trial | Form Submit</t>
  </si>
  <si>
    <t>UC32 — Online Forms | Hand Raiser | Offers - Trials | Form Submit</t>
  </si>
  <si>
    <t>Section</t>
  </si>
  <si>
    <t>Category</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</si>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</sst>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ont>
    <font>
      <b/>
      <sz val="11"/>
      <name val="Calibri"/>
    </font>
    <font>
      <b/>
      <sz val="11"/>
      <color rgb="FFFFFFFF"/>
      <name val="Calibri"/>
    </font>
    <font>
      <b/>
      <sz val="11"/>
      <name val="Calibri"/>
      <family val="2"/>
    </font>
    <font>
      <b/>
      <sz val="11"/>
      <color rgb="FFFFFFFF"/>
      <name val="Calibri"/>
      <family val="2"/>
    </font>
  </fonts>
  <fills count="7">
    <fill>
      <patternFill patternType="none"/>
    </fill>
    <fill>
      <patternFill patternType="gray125"/>
    </fill>
    <fill>
      <patternFill patternType="solid">
        <fgColor rgb="FF1F4E79"/>
        <bgColor rgb="FF1F4E79"/>
      </patternFill>
    </fill>
    <fill>
      <patternFill patternType="solid">
        <fgColor rgb="FF2F5496"/>
        <bgColor rgb="FF2F5496"/>
      </patternFill>
    </fill>
    <fill>
      <patternFill patternType="solid">
        <fgColor rgb="FFE7E6E6"/>
        <bgColor rgb="FFE7E6E6"/>
      </patternFill>
    </fill>
    <fill>
      <patternFill patternType="solid">
        <fgColor rgb="FFD6DCE4"/>
        <bgColor rgb="FFD6DCE4"/>
      </patternFill>
    </fill>
    <fill>
      <patternFill patternType="solid">
        <fgColor rgb="FFF2F2F2"/>
        <bgColor rgb="FFF2F2F2"/>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2" fillId="0" borderId="0" xfId="0" applyFont="1"/>
    <xf numFmtId="0" fontId="3" fillId="2" borderId="0" xfId="0" applyFont="1" applyFill="1" applyAlignment="1">
      <alignment vertical="top" wrapText="1"/>
    </xf>
    <xf numFmtId="0" fontId="2" fillId="4" borderId="0" xfId="0" applyFont="1" applyFill="1"/>
    <xf numFmtId="0" fontId="0" fillId="6" borderId="0" xfId="0" applyFill="1"/>
    <xf numFmtId="0" fontId="2" fillId="5" borderId="0" xfId="0" applyFont="1" applyFill="1"/>
    <xf numFmtId="0" fontId="0" fillId="0" borderId="0" xfId="0"/>
    <xf numFmtId="0" fontId="3" fillId="3" borderId="0" xfId="0" applyFont="1" applyFill="1" applyAlignment="1">
      <alignment vertical="center" wrapText="1"/>
    </xf>
    <xf numFmtId="0" fontId="0" fillId="0" borderId="0" xfId="0" applyAlignment="1">
      <alignment textRotation="46"/>
    </xf>
    <xf numFmtId="0" fontId="4" fillId="5" borderId="0" xfId="0" applyFont="1" applyFill="1"/>
    <xf numFmtId="0" fontId="5" fillId="2" borderId="0" xfId="0" applyFont="1" applyFill="1" applyAlignment="1">
      <alignment vertical="top" wrapText="1"/>
    </xf>
  </cellXfs>
  <cellStyles count="1">
    <cellStyle name="Normal" xfId="0" builtinId="0"/>
  </cellStyles>
  <dxfs count="264">
    <dxf>
      <font>
        <b/>
        <i val="0"/>
        <strike val="0"/>
        <color rgb="FF00B050"/>
      </font>
    </dxf>
    <dxf>
      <font>
        <color theme="0" tint="-0.14996795556505021"/>
      </font>
      <fill>
        <patternFill>
          <bgColor theme="0" tint="-4.9989318521683403E-2"/>
        </patternFill>
      </fill>
    </dxf>
    <dxf>
      <fill>
        <patternFill>
          <bgColor theme="6"/>
        </patternFill>
      </fill>
    </dxf>
    <dxf>
      <fill>
        <patternFill>
          <bgColor theme="4"/>
        </patternFill>
      </fill>
    </dxf>
    <dxf>
      <fill>
        <patternFill>
          <bgColor theme="6"/>
        </patternFill>
      </fill>
    </dxf>
    <dxf>
      <fill>
        <patternFill>
          <bgColor theme="7"/>
        </patternFill>
      </fill>
    </dxf>
    <dxf>
      <fill>
        <patternFill>
          <bgColor theme="5"/>
        </patternFill>
      </fill>
    </dxf>
    <dxf>
      <fill>
        <patternFill>
          <bgColor theme="4"/>
        </patternFill>
      </fill>
    </dxf>
    <dxf>
      <fill>
        <patternFill>
          <bgColor theme="6"/>
        </patternFill>
      </fill>
    </dxf>
    <dxf>
      <fill>
        <patternFill>
          <bgColor theme="7"/>
        </patternFill>
      </fill>
    </dxf>
    <dxf>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b/>
        <i val="0"/>
        <strike val="0"/>
        <color rgb="FF00B050"/>
      </font>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i val="0"/>
        <color theme="2" tint="0.79998168889431442"/>
      </font>
      <fill>
        <patternFill patternType="solid">
          <bgColor theme="0" tint="-0.24994659260841701"/>
        </patternFill>
      </fill>
    </dxf>
    <dxf>
      <font>
        <b/>
        <i val="0"/>
        <color rgb="FF00B050"/>
      </font>
      <fill>
        <patternFill patternType="none">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i val="0"/>
        <color theme="2" tint="0.79998168889431442"/>
      </font>
      <fill>
        <patternFill patternType="solid">
          <bgColor theme="0" tint="-0.24994659260841701"/>
        </patternFill>
      </fill>
    </dxf>
    <dxf>
      <font>
        <b/>
        <i val="0"/>
        <color rgb="FF00B050"/>
      </font>
      <fill>
        <patternFill patternType="none">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i val="0"/>
        <color theme="2" tint="0.79998168889431442"/>
      </font>
      <fill>
        <patternFill patternType="solid">
          <bgColor theme="0" tint="-0.24994659260841701"/>
        </patternFill>
      </fill>
    </dxf>
    <dxf>
      <font>
        <b/>
        <i val="0"/>
        <color rgb="FF00B050"/>
      </font>
      <fill>
        <patternFill patternType="none">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i val="0"/>
        <color theme="2" tint="0.79998168889431442"/>
      </font>
      <fill>
        <patternFill patternType="solid">
          <bgColor theme="0" tint="-0.24994659260841701"/>
        </patternFill>
      </fill>
    </dxf>
    <dxf>
      <font>
        <b/>
        <i val="0"/>
        <color rgb="FF00B050"/>
      </font>
      <fill>
        <patternFill patternType="none">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i val="0"/>
        <color theme="2" tint="0.79998168889431442"/>
      </font>
      <fill>
        <patternFill patternType="solid">
          <bgColor theme="0" tint="-0.24994659260841701"/>
        </patternFill>
      </fill>
    </dxf>
    <dxf>
      <font>
        <b/>
        <i val="0"/>
        <color rgb="FF00B050"/>
      </font>
      <fill>
        <patternFill patternType="none">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i val="0"/>
        <color theme="2" tint="0.79998168889431442"/>
      </font>
      <fill>
        <patternFill patternType="solid">
          <bgColor theme="0" tint="-0.24994659260841701"/>
        </patternFill>
      </fill>
    </dxf>
    <dxf>
      <font>
        <b/>
        <i val="0"/>
        <color rgb="FF00B050"/>
      </font>
      <fill>
        <patternFill patternType="none">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i val="0"/>
        <color rgb="FF00B050"/>
      </font>
      <fill>
        <patternFill patternType="none">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i val="0"/>
        <color rgb="FF00B050"/>
      </font>
      <fill>
        <patternFill patternType="none">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i val="0"/>
        <color rgb="FF00B050"/>
      </font>
      <fill>
        <patternFill patternType="none">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i val="0"/>
        <color rgb="FF00B050"/>
      </font>
      <fill>
        <patternFill patternType="none">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7"/>
        </patternFill>
      </fill>
    </dxf>
    <dxf>
      <font>
        <color theme="0"/>
      </font>
      <fill>
        <patternFill>
          <bgColor theme="6"/>
        </patternFill>
      </fill>
    </dxf>
    <dxf>
      <font>
        <color theme="0"/>
      </font>
      <fill>
        <patternFill>
          <bgColor theme="4"/>
        </patternFill>
      </fill>
    </dxf>
    <dxf>
      <font>
        <color theme="0"/>
      </font>
      <fill>
        <patternFill>
          <bgColor theme="8"/>
        </patternFill>
      </fill>
    </dxf>
    <dxf>
      <font>
        <color theme="0"/>
      </font>
      <fill>
        <patternFill>
          <bgColor theme="8"/>
        </patternFill>
      </fill>
    </dxf>
    <dxf>
      <font>
        <color theme="0"/>
      </font>
      <fill>
        <patternFill>
          <bgColor them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45"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sheetMetadata" Target="metadata.xml"/></Relationships>
</file>

<file path=xl/theme/theme1.xml><?xml version="1.0" encoding="utf-8"?>
<a:theme xmlns:a="http://schemas.openxmlformats.org/drawingml/2006/main" name="Office Theme">
  <a:themeElements>
    <a:clrScheme name="Cisco FY26">
      <a:dk1>
        <a:srgbClr val="07182D"/>
      </a:dk1>
      <a:lt1>
        <a:srgbClr val="FFFFFF"/>
      </a:lt1>
      <a:dk2>
        <a:srgbClr val="525E6C"/>
      </a:dk2>
      <a:lt2>
        <a:srgbClr val="B4B9C0"/>
      </a:lt2>
      <a:accent1>
        <a:srgbClr val="02C8FF"/>
      </a:accent1>
      <a:accent2>
        <a:srgbClr val="0A60FF"/>
      </a:accent2>
      <a:accent3>
        <a:srgbClr val="FF007F"/>
      </a:accent3>
      <a:accent4>
        <a:srgbClr val="FF9000"/>
      </a:accent4>
      <a:accent5>
        <a:srgbClr val="D6D6D6"/>
      </a:accent5>
      <a:accent6>
        <a:srgbClr val="6B6B6B"/>
      </a:accent6>
      <a:hlink>
        <a:srgbClr val="07182D"/>
      </a:hlink>
      <a:folHlink>
        <a:srgbClr val="C0C0C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
  <sheetViews>
    <sheetView workbookViewId="0">
      <selection activeCell="A5" sqref="A5"/>
    </sheetView>
  </sheetViews>
  <sheetFormatPr defaultRowHeight="14.25" x14ac:dyDescent="0.45"/>
  <cols>
    <col min="1" max="1" width="100" customWidth="1"/>
  </cols>
  <sheetData>
    <row r="1" spans="1:1" ht="18" x14ac:dyDescent="0.55000000000000004">
      <c r="A1" s="1" t="s">
        <v>0</v>
      </c>
    </row>
    <row r="3" spans="1:1" x14ac:dyDescent="0.45">
      <c r="A3" s="2" t="s">
        <v>1</v>
      </c>
    </row>
    <row r="4" spans="1:1" x14ac:dyDescent="0.45">
      <c r="A4" t="s">
        <v>2</v>
      </c>
    </row>
    <row r="5" spans="1:1" x14ac:dyDescent="0.45">
      <c r="A5" t="s">
        <v>3</v>
      </c>
    </row>
    <row r="7" spans="1:1" x14ac:dyDescent="0.45">
      <c r="A7" s="2" t="s">
        <v>4</v>
      </c>
    </row>
    <row r="8" spans="1:1" x14ac:dyDescent="0.45">
      <c r="A8" t="s">
        <v>5</v>
      </c>
    </row>
    <row r="9" spans="1:1" x14ac:dyDescent="0.45">
      <c r="A9" t="s">
        <v>6</v>
      </c>
    </row>
    <row r="10" spans="1:1" x14ac:dyDescent="0.45">
      <c r="A10" t="s">
        <v>7</v>
      </c>
    </row>
    <row r="12" spans="1:1" x14ac:dyDescent="0.45">
      <c r="A12" s="2" t="s">
        <v>8</v>
      </c>
    </row>
    <row r="13" spans="1:1" x14ac:dyDescent="0.45">
      <c r="A13" t="s">
        <v>9</v>
      </c>
    </row>
    <row r="14" spans="1:1" x14ac:dyDescent="0.45">
      <c r="A14" t="s">
        <v>10</v>
      </c>
    </row>
    <row r="15" spans="1:1" x14ac:dyDescent="0.45">
      <c r="A15" t="s">
        <v>11</v>
      </c>
    </row>
    <row r="16" spans="1:1" x14ac:dyDescent="0.45">
      <c r="A16" t="s">
        <v>12</v>
      </c>
    </row>
    <row r="18" spans="1:1" x14ac:dyDescent="0.45">
      <c r="A18" t="s">
        <v>13</v>
      </c>
    </row>
    <row r="19" spans="1:1" x14ac:dyDescent="0.45">
      <c r="A19" t="s">
        <v>14</v>
      </c>
    </row>
    <row r="20" spans="1:1" x14ac:dyDescent="0.45">
      <c r="A20" t="s">
        <v>15</v>
      </c>
    </row>
  </sheetData>
  <pageMargins left="0.75" right="0.75" top="1" bottom="1" header="0.5" footer="0.5"/>
  <headerFooter>
    <oddFooter>&amp;R_x000D_&amp;1#&amp;"Aptos"&amp;8&amp;K000000 Cisco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2DF81-B0B4-4211-B333-7BF582C9DA13}">
  <dimension ref="A2:AG158"/>
  <sheetViews>
    <sheetView workbookViewId="0">
      <selection activeCell="K2" sqref="K2"/>
    </sheetView>
  </sheetViews>
  <sheetFormatPr defaultRowHeight="14.25" x14ac:dyDescent="0.45"/>
  <cols>
    <col min="1" max="1" width="70" bestFit="1" customWidth="1"/>
    <col min="2" max="2" width="4.9296875" bestFit="1" customWidth="1"/>
    <col min="3" max="33" width="3.19921875" bestFit="1" customWidth="1"/>
  </cols>
  <sheetData>
    <row r="2" spans="1:33" ht="119.25" x14ac:dyDescent="0.45">
      <c r="B2" s="9" t="str">
        <f ca="1">'Use Case Index'!$B2</f>
        <v>UC01 Content Syndication Attend</v>
      </c>
      <c r="C2" s="9" t="str">
        <f ca="1">'Use Case Index'!$B3</f>
        <v>UC02 Content Syndication Form S</v>
      </c>
      <c r="D2" s="9" t="str">
        <f ca="1">'Use Case Index'!$B3</f>
        <v>UC02 Content Syndication Form S</v>
      </c>
      <c r="E2" s="9" t="str">
        <f ca="1">'Use Case Index'!$B4</f>
        <v>UC03 Content Syndication Attend</v>
      </c>
      <c r="F2" s="9" t="str">
        <f ca="1">'Use Case Index'!$B5</f>
        <v>UC04 Content Syndication Form S</v>
      </c>
      <c r="G2" s="9" t="str">
        <f ca="1">'Use Case Index'!$B6</f>
        <v>UC05 1st Party Events Follow-Up</v>
      </c>
      <c r="H2" s="9" t="str">
        <f ca="1">'Use Case Index'!$B7</f>
        <v>UC06 3rd Party Events Follow-Up</v>
      </c>
      <c r="I2" s="9" t="str">
        <f ca="1">'Use Case Index'!$B8</f>
        <v>UC07 Paid Leads Follow-Up Reque</v>
      </c>
      <c r="J2" s="9" t="str">
        <f ca="1">'Use Case Index'!$B9</f>
        <v>UC08 Webinars Follow-Up Request</v>
      </c>
      <c r="K2" s="9" t="str">
        <f ca="1">'Use Case Index'!$B10</f>
        <v xml:space="preserve">UC09 1st Party Events Attended </v>
      </c>
      <c r="L2" s="9" t="str">
        <f ca="1">'Use Case Index'!$B11</f>
        <v xml:space="preserve">UC10 1st Party Events Attended </v>
      </c>
      <c r="M2" s="9" t="str">
        <f ca="1">'Use Case Index'!$B12</f>
        <v xml:space="preserve">UC11 1st Party Events Attended </v>
      </c>
      <c r="N2" s="9" t="str">
        <f ca="1">'Use Case Index'!$B13</f>
        <v>UC12 1st Party Events Booth Sca</v>
      </c>
      <c r="O2" s="9" t="str">
        <f ca="1">'Use Case Index'!$B14</f>
        <v>UC13 1st Party Events Registere</v>
      </c>
      <c r="P2" s="9" t="str">
        <f ca="1">'Use Case Index'!$B15</f>
        <v xml:space="preserve">UC14 3rd Party Events Attended </v>
      </c>
      <c r="Q2" s="9" t="str">
        <f ca="1">'Use Case Index'!$B16</f>
        <v xml:space="preserve">UC15 3rd Party Events Attended </v>
      </c>
      <c r="R2" s="9" t="str">
        <f ca="1">'Use Case Index'!$B17</f>
        <v xml:space="preserve">UC16 3rd Party Events Attended </v>
      </c>
      <c r="S2" s="9" t="str">
        <f ca="1">'Use Case Index'!$B18</f>
        <v>UC17 3rd Party Events Booth Sca</v>
      </c>
      <c r="T2" s="9" t="str">
        <f ca="1">'Use Case Index'!$B19</f>
        <v>UC18 3rd Party Events Contact R</v>
      </c>
      <c r="U2" s="9" t="str">
        <f ca="1">'Use Case Index'!$B20</f>
        <v>UC19 Event Sponsorships Attende</v>
      </c>
      <c r="V2" s="9" t="str">
        <f ca="1">'Use Case Index'!$B21</f>
        <v>UC20 Event Sponsorships Attende</v>
      </c>
      <c r="W2" s="9" t="str">
        <f ca="1">'Use Case Index'!$B22</f>
        <v>UC21 Event Sponsorships Registe</v>
      </c>
      <c r="X2" s="9" t="str">
        <f ca="1">'Use Case Index'!$B23</f>
        <v>UC22 Webinars Attended Live Vir</v>
      </c>
      <c r="Y2" s="9" t="str">
        <f ca="1">'Use Case Index'!$B24</f>
        <v>UC23 Webinars Attended On-Deman</v>
      </c>
      <c r="Z2" s="9" t="str">
        <f ca="1">'Use Case Index'!$B25</f>
        <v>UC24 Webinars Registered</v>
      </c>
      <c r="AA2" s="9" t="str">
        <f ca="1">'Use Case Index'!$B6</f>
        <v>UC05 1st Party Events Follow-Up</v>
      </c>
      <c r="AB2" s="9" t="str">
        <f ca="1">'Use Case Index'!$B27</f>
        <v>UC26 Offers - Demo Form Submit</v>
      </c>
      <c r="AC2" s="9" t="str">
        <f ca="1">'Use Case Index'!$B28</f>
        <v>UC27 Offers - Offer Form Submit</v>
      </c>
      <c r="AD2" s="9" t="str">
        <f ca="1">'Use Case Index'!$B29</f>
        <v>UC28 Offers - Other Form Submit</v>
      </c>
      <c r="AE2" s="9" t="str">
        <f ca="1">'Use Case Index'!$B30</f>
        <v>UC29 Offers - Others Form Submi</v>
      </c>
      <c r="AF2" s="9" t="str">
        <f ca="1">'Use Case Index'!$B31</f>
        <v>UC30 Offers - Promotion Form Su</v>
      </c>
      <c r="AG2" s="9" t="str">
        <f ca="1">'Use Case Index'!$B32</f>
        <v>UC31 Offers - Trial Form Submit</v>
      </c>
    </row>
    <row r="3" spans="1:33" x14ac:dyDescent="0.45">
      <c r="A3" t="str" cm="1">
        <f t="array" ref="A3:A91">_xlfn.LET(
    _xlpm.RawElements, _xlfn.UNIQUE(_xlfn._xlws.FILTER(
        _xlfn.VSTACK(
            'UC01 Content Syndication Attend'!$A$7:$A$100, 'UC02 Content Syndication Form S'!$A$7:$A$100,
            'UC03 Content Syndication Attend'!$A$7:$A$100, 'UC04 Content Syndication Form S'!$A$7:$A$100,
            'UC05 1st Party Events Follow-Up'!$A$7:$A$100, 'UC06 3rd Party Events Follow-Up'!$A$7:$A$100
        ),
        (_xlfn.VSTACK(
            'UC01 Content Syndication Attend'!$A$7:$A$100, 'UC02 Content Syndication Form S'!$A$7:$A$100,
            'UC03 Content Syndication Attend'!$A$7:$A$100, 'UC04 Content Syndication Form S'!$A$7:$A$100,
            'UC05 1st Party Events Follow-Up'!$A$7:$A$100, 'UC06 3rd Party Events Follow-Up'!$A$7:$A$100
        )&lt;&gt;"")
    )),
    _xlpm.DataElementsOnly, _xlfn._xlws.FILTER(_xlpm.RawElements, ISERROR(VALUE(LEFT(_xlpm.RawElements, 1)))),
    _xlpm.ElementSections, _xlfn.XLOOKUP(_xlpm.DataElementsOnly, 'Ref - Master Schema'!$A:$A, 'Ref - Master Schema'!$B:$B, "Unassigned"),
    _xlpm.SortedElements, _xlfn.SORTBY(_xlpm.DataElementsOnly, LEFT(_xlpm.ElementSections, 1), 1, _xlpm.DataElementsOnly, 1),
    _xlpm.SectionsOnly, _xlfn.UNIQUE(_xlfn._xlws.FILTER('Ref - Master Schema'!$B:$B, 'Ref - Master Schema'!$B:$B&lt;&gt;"")),
    _xlfn.SORTBY(_xlfn.VSTACK(_xlpm.SectionsOnly, _xlpm.DataElementsOnly), LEFT(IFERROR(_xlfn.XLOOKUP(_xlfn.VSTACK(_xlpm.SectionsOnly, _xlpm.DataElementsOnly), 'Ref - Master Schema'!$A:$A, 'Ref - Master Schema'!$B:$B), _xlfn.VSTACK(_xlpm.SectionsOnly, _xlpm.DataElementsOnly)), 1), 1)
)</f>
        <v>1 - System Classification</v>
      </c>
      <c r="B3" t="str" cm="1">
        <f t="array" aca="1" ref="B3" ca="1">IF(
    ISNUMBER(VALUE(LEFT($A3, 1))),
    "",
    IFERROR(IF(_xlfn.XLOOKUP($A3, INDIRECT("'" &amp; B$2 &amp; "'!$A:$A"), INDIRECT("'" &amp; B$2 &amp; "'!$B:$B"), "")&lt;&gt;"", "✓", "✗"), "✗")
)</f>
        <v/>
      </c>
      <c r="C3" t="str" cm="1">
        <f t="array" aca="1" ref="C3" ca="1">IF(
    ISNUMBER(VALUE(LEFT($A3, 1))),
    "",
    IFERROR(IF(_xlfn.XLOOKUP($A3, INDIRECT("'" &amp; C$2 &amp; "'!$A:$A"), INDIRECT("'" &amp; C$2 &amp; "'!$B:$B"), "")&lt;&gt;"", "✓", "✗"), "✗")
)</f>
        <v/>
      </c>
      <c r="D3" t="str" cm="1">
        <f t="array" aca="1" ref="D3" ca="1">IF(
    ISNUMBER(VALUE(LEFT($A3, 1))),
    "",
    IFERROR(IF(_xlfn.XLOOKUP($A3, INDIRECT("'" &amp; D$2 &amp; "'!$A:$A"), INDIRECT("'" &amp; D$2 &amp; "'!$B:$B"), "")&lt;&gt;"", "✓", "✗"), "✗")
)</f>
        <v/>
      </c>
      <c r="E3" t="str" cm="1">
        <f t="array" aca="1" ref="E3" ca="1">IF(
    ISNUMBER(VALUE(LEFT($A3, 1))),
    "",
    IFERROR(IF(_xlfn.XLOOKUP($A3, INDIRECT("'" &amp; E$2 &amp; "'!$A:$A"), INDIRECT("'" &amp; E$2 &amp; "'!$B:$B"), "")&lt;&gt;"", "✓", "✗"), "✗")
)</f>
        <v/>
      </c>
      <c r="F3" t="str" cm="1">
        <f t="array" aca="1" ref="F3" ca="1">IF(
    ISNUMBER(VALUE(LEFT($A3, 1))),
    "",
    IFERROR(IF(_xlfn.XLOOKUP($A3, INDIRECT("'" &amp; F$2 &amp; "'!$A:$A"), INDIRECT("'" &amp; F$2 &amp; "'!$B:$B"), "")&lt;&gt;"", "✓", "✗"), "✗")
)</f>
        <v/>
      </c>
      <c r="G3" t="str" cm="1">
        <f t="array" aca="1" ref="G3" ca="1">IF(
    ISNUMBER(VALUE(LEFT($A3, 1))),
    "",
    IFERROR(IF(_xlfn.XLOOKUP($A3, INDIRECT("'" &amp; G$2 &amp; "'!$A:$A"), INDIRECT("'" &amp; G$2 &amp; "'!$B:$B"), "")&lt;&gt;"", "✓", "✗"), "✗")
)</f>
        <v/>
      </c>
      <c r="H3" t="str" cm="1">
        <f t="array" aca="1" ref="H3" ca="1">IF(
    ISNUMBER(VALUE(LEFT($A3, 1))),
    "",
    IFERROR(IF(_xlfn.XLOOKUP($A3, INDIRECT("'" &amp; H$2 &amp; "'!$A:$A"), INDIRECT("'" &amp; H$2 &amp; "'!$B:$B"), "")&lt;&gt;"", "✓", "✗"), "✗")
)</f>
        <v/>
      </c>
      <c r="I3" t="str" cm="1">
        <f t="array" aca="1" ref="I3" ca="1">IF(
    ISNUMBER(VALUE(LEFT($A3, 1))),
    "",
    IFERROR(IF(_xlfn.XLOOKUP($A3, INDIRECT("'" &amp; I$2 &amp; "'!$A:$A"), INDIRECT("'" &amp; I$2 &amp; "'!$B:$B"), "")&lt;&gt;"", "✓", "✗"), "✗")
)</f>
        <v/>
      </c>
      <c r="J3" t="str" cm="1">
        <f t="array" aca="1" ref="J3" ca="1">IF(
    ISNUMBER(VALUE(LEFT($A3, 1))),
    "",
    IFERROR(IF(_xlfn.XLOOKUP($A3, INDIRECT("'" &amp; J$2 &amp; "'!$A:$A"), INDIRECT("'" &amp; J$2 &amp; "'!$B:$B"), "")&lt;&gt;"", "✓", "✗"), "✗")
)</f>
        <v/>
      </c>
      <c r="K3" t="str" cm="1">
        <f t="array" aca="1" ref="K3" ca="1">IF(
    ISNUMBER(VALUE(LEFT($A3, 1))),
    "",
    IFERROR(IF(_xlfn.XLOOKUP($A3, INDIRECT("'" &amp; K$2 &amp; "'!$A:$A"), INDIRECT("'" &amp; K$2 &amp; "'!$B:$B"), "")&lt;&gt;"", "✓", "✗"), "✗")
)</f>
        <v/>
      </c>
      <c r="L3" t="str" cm="1">
        <f t="array" aca="1" ref="L3" ca="1">IF(
    ISNUMBER(VALUE(LEFT($A3, 1))),
    "",
    IFERROR(IF(_xlfn.XLOOKUP($A3, INDIRECT("'" &amp; L$2 &amp; "'!$A:$A"), INDIRECT("'" &amp; L$2 &amp; "'!$B:$B"), "")&lt;&gt;"", "✓", "✗"), "✗")
)</f>
        <v/>
      </c>
      <c r="M3" t="str" cm="1">
        <f t="array" aca="1" ref="M3" ca="1">IF(
    ISNUMBER(VALUE(LEFT($A3, 1))),
    "",
    IFERROR(IF(_xlfn.XLOOKUP($A3, INDIRECT("'" &amp; M$2 &amp; "'!$A:$A"), INDIRECT("'" &amp; M$2 &amp; "'!$B:$B"), "")&lt;&gt;"", "✓", "✗"), "✗")
)</f>
        <v/>
      </c>
      <c r="N3" t="str" cm="1">
        <f t="array" aca="1" ref="N3" ca="1">IF(
    ISNUMBER(VALUE(LEFT($A3, 1))),
    "",
    IFERROR(IF(_xlfn.XLOOKUP($A3, INDIRECT("'" &amp; N$2 &amp; "'!$A:$A"), INDIRECT("'" &amp; N$2 &amp; "'!$B:$B"), "")&lt;&gt;"", "✓", "✗"), "✗")
)</f>
        <v/>
      </c>
      <c r="O3" t="str" cm="1">
        <f t="array" aca="1" ref="O3" ca="1">IF(
    ISNUMBER(VALUE(LEFT($A3, 1))),
    "",
    IFERROR(IF(_xlfn.XLOOKUP($A3, INDIRECT("'" &amp; O$2 &amp; "'!$A:$A"), INDIRECT("'" &amp; O$2 &amp; "'!$B:$B"), "")&lt;&gt;"", "✓", "✗"), "✗")
)</f>
        <v/>
      </c>
      <c r="P3" t="str" cm="1">
        <f t="array" aca="1" ref="P3" ca="1">IF(
    ISNUMBER(VALUE(LEFT($A3, 1))),
    "",
    IFERROR(IF(_xlfn.XLOOKUP($A3, INDIRECT("'" &amp; P$2 &amp; "'!$A:$A"), INDIRECT("'" &amp; P$2 &amp; "'!$B:$B"), "")&lt;&gt;"", "✓", "✗"), "✗")
)</f>
        <v/>
      </c>
      <c r="Q3" t="str" cm="1">
        <f t="array" aca="1" ref="Q3" ca="1">IF(
    ISNUMBER(VALUE(LEFT($A3, 1))),
    "",
    IFERROR(IF(_xlfn.XLOOKUP($A3, INDIRECT("'" &amp; Q$2 &amp; "'!$A:$A"), INDIRECT("'" &amp; Q$2 &amp; "'!$B:$B"), "")&lt;&gt;"", "✓", "✗"), "✗")
)</f>
        <v/>
      </c>
      <c r="R3" t="str" cm="1">
        <f t="array" aca="1" ref="R3" ca="1">IF(
    ISNUMBER(VALUE(LEFT($A3, 1))),
    "",
    IFERROR(IF(_xlfn.XLOOKUP($A3, INDIRECT("'" &amp; R$2 &amp; "'!$A:$A"), INDIRECT("'" &amp; R$2 &amp; "'!$B:$B"), "")&lt;&gt;"", "✓", "✗"), "✗")
)</f>
        <v/>
      </c>
      <c r="S3" t="str" cm="1">
        <f t="array" aca="1" ref="S3" ca="1">IF(
    ISNUMBER(VALUE(LEFT($A3, 1))),
    "",
    IFERROR(IF(_xlfn.XLOOKUP($A3, INDIRECT("'" &amp; S$2 &amp; "'!$A:$A"), INDIRECT("'" &amp; S$2 &amp; "'!$B:$B"), "")&lt;&gt;"", "✓", "✗"), "✗")
)</f>
        <v/>
      </c>
      <c r="T3" t="str" cm="1">
        <f t="array" aca="1" ref="T3" ca="1">IF(
    ISNUMBER(VALUE(LEFT($A3, 1))),
    "",
    IFERROR(IF(_xlfn.XLOOKUP($A3, INDIRECT("'" &amp; T$2 &amp; "'!$A:$A"), INDIRECT("'" &amp; T$2 &amp; "'!$B:$B"), "")&lt;&gt;"", "✓", "✗"), "✗")
)</f>
        <v/>
      </c>
      <c r="U3" t="str" cm="1">
        <f t="array" aca="1" ref="U3" ca="1">IF(
    ISNUMBER(VALUE(LEFT($A3, 1))),
    "",
    IFERROR(IF(_xlfn.XLOOKUP($A3, INDIRECT("'" &amp; U$2 &amp; "'!$A:$A"), INDIRECT("'" &amp; U$2 &amp; "'!$B:$B"), "")&lt;&gt;"", "✓", "✗"), "✗")
)</f>
        <v/>
      </c>
      <c r="V3" t="str" cm="1">
        <f t="array" aca="1" ref="V3" ca="1">IF(
    ISNUMBER(VALUE(LEFT($A3, 1))),
    "",
    IFERROR(IF(_xlfn.XLOOKUP($A3, INDIRECT("'" &amp; V$2 &amp; "'!$A:$A"), INDIRECT("'" &amp; V$2 &amp; "'!$B:$B"), "")&lt;&gt;"", "✓", "✗"), "✗")
)</f>
        <v/>
      </c>
      <c r="W3" t="str" cm="1">
        <f t="array" aca="1" ref="W3" ca="1">IF(
    ISNUMBER(VALUE(LEFT($A3, 1))),
    "",
    IFERROR(IF(_xlfn.XLOOKUP($A3, INDIRECT("'" &amp; W$2 &amp; "'!$A:$A"), INDIRECT("'" &amp; W$2 &amp; "'!$B:$B"), "")&lt;&gt;"", "✓", "✗"), "✗")
)</f>
        <v/>
      </c>
      <c r="X3" t="str" cm="1">
        <f t="array" aca="1" ref="X3" ca="1">IF(
    ISNUMBER(VALUE(LEFT($A3, 1))),
    "",
    IFERROR(IF(_xlfn.XLOOKUP($A3, INDIRECT("'" &amp; X$2 &amp; "'!$A:$A"), INDIRECT("'" &amp; X$2 &amp; "'!$B:$B"), "")&lt;&gt;"", "✓", "✗"), "✗")
)</f>
        <v/>
      </c>
      <c r="Y3" t="str" cm="1">
        <f t="array" aca="1" ref="Y3" ca="1">IF(
    ISNUMBER(VALUE(LEFT($A3, 1))),
    "",
    IFERROR(IF(_xlfn.XLOOKUP($A3, INDIRECT("'" &amp; Y$2 &amp; "'!$A:$A"), INDIRECT("'" &amp; Y$2 &amp; "'!$B:$B"), "")&lt;&gt;"", "✓", "✗"), "✗")
)</f>
        <v/>
      </c>
      <c r="Z3" t="str" cm="1">
        <f t="array" aca="1" ref="Z3" ca="1">IF(
    ISNUMBER(VALUE(LEFT($A3, 1))),
    "",
    IFERROR(IF(_xlfn.XLOOKUP($A3, INDIRECT("'" &amp; Z$2 &amp; "'!$A:$A"), INDIRECT("'" &amp; Z$2 &amp; "'!$B:$B"), "")&lt;&gt;"", "✓", "✗"), "✗")
)</f>
        <v/>
      </c>
      <c r="AA3" t="str" cm="1">
        <f t="array" aca="1" ref="AA3" ca="1">IF(
    ISNUMBER(VALUE(LEFT($A3, 1))),
    "",
    IFERROR(IF(_xlfn.XLOOKUP($A3, INDIRECT("'" &amp; AA$2 &amp; "'!$A:$A"), INDIRECT("'" &amp; AA$2 &amp; "'!$B:$B"), "")&lt;&gt;"", "✓", "✗"), "✗")
)</f>
        <v/>
      </c>
      <c r="AB3" t="str" cm="1">
        <f t="array" aca="1" ref="AB3" ca="1">IF(
    ISNUMBER(VALUE(LEFT($A3, 1))),
    "",
    IFERROR(IF(_xlfn.XLOOKUP($A3, INDIRECT("'" &amp; AB$2 &amp; "'!$A:$A"), INDIRECT("'" &amp; AB$2 &amp; "'!$B:$B"), "")&lt;&gt;"", "✓", "✗"), "✗")
)</f>
        <v/>
      </c>
      <c r="AC3" t="str" cm="1">
        <f t="array" aca="1" ref="AC3" ca="1">IF(
    ISNUMBER(VALUE(LEFT($A3, 1))),
    "",
    IFERROR(IF(_xlfn.XLOOKUP($A3, INDIRECT("'" &amp; AC$2 &amp; "'!$A:$A"), INDIRECT("'" &amp; AC$2 &amp; "'!$B:$B"), "")&lt;&gt;"", "✓", "✗"), "✗")
)</f>
        <v/>
      </c>
      <c r="AD3" t="str" cm="1">
        <f t="array" aca="1" ref="AD3" ca="1">IF(
    ISNUMBER(VALUE(LEFT($A3, 1))),
    "",
    IFERROR(IF(_xlfn.XLOOKUP($A3, INDIRECT("'" &amp; AD$2 &amp; "'!$A:$A"), INDIRECT("'" &amp; AD$2 &amp; "'!$B:$B"), "")&lt;&gt;"", "✓", "✗"), "✗")
)</f>
        <v/>
      </c>
      <c r="AE3" t="str" cm="1">
        <f t="array" aca="1" ref="AE3" ca="1">IF(
    ISNUMBER(VALUE(LEFT($A3, 1))),
    "",
    IFERROR(IF(_xlfn.XLOOKUP($A3, INDIRECT("'" &amp; AE$2 &amp; "'!$A:$A"), INDIRECT("'" &amp; AE$2 &amp; "'!$B:$B"), "")&lt;&gt;"", "✓", "✗"), "✗")
)</f>
        <v/>
      </c>
      <c r="AF3" t="str" cm="1">
        <f t="array" aca="1" ref="AF3" ca="1">IF(
    ISNUMBER(VALUE(LEFT($A3, 1))),
    "",
    IFERROR(IF(_xlfn.XLOOKUP($A3, INDIRECT("'" &amp; AF$2 &amp; "'!$A:$A"), INDIRECT("'" &amp; AF$2 &amp; "'!$B:$B"), "")&lt;&gt;"", "✓", "✗"), "✗")
)</f>
        <v/>
      </c>
      <c r="AG3" t="str" cm="1">
        <f t="array" aca="1" ref="AG3" ca="1">IF(
    ISNUMBER(VALUE(LEFT($A3, 1))),
    "",
    IFERROR(IF(_xlfn.XLOOKUP($A3, INDIRECT("'" &amp; AG$2 &amp; "'!$A:$A"), INDIRECT("'" &amp; AG$2 &amp; "'!$B:$B"), "")&lt;&gt;"", "✓", "✗"), "✗")
)</f>
        <v/>
      </c>
    </row>
    <row r="4" spans="1:33" x14ac:dyDescent="0.45">
      <c r="A4" t="str">
        <v>Activity Type</v>
      </c>
      <c r="B4" t="str" cm="1">
        <f t="array" aca="1" ref="B4" ca="1">IF(
    ISNUMBER(VALUE(LEFT($A4, 1))),
    "",
    IFERROR(IF(_xlfn.XLOOKUP($A4, INDIRECT("'" &amp; B$2 &amp; "'!$A:$A"), INDIRECT("'" &amp; B$2 &amp; "'!$B:$B"), "")&lt;&gt;"", "✓", "✗"), "✗")
)</f>
        <v>✓</v>
      </c>
      <c r="C4" t="str" cm="1">
        <f t="array" aca="1" ref="C4" ca="1">IF(
    ISNUMBER(VALUE(LEFT($A4, 1))),
    "",
    IFERROR(IF(_xlfn.XLOOKUP($A4, INDIRECT("'" &amp; C$2 &amp; "'!$A:$A"), INDIRECT("'" &amp; C$2 &amp; "'!$B:$B"), "")&lt;&gt;"", "✓", "✗"), "✗")
)</f>
        <v>✓</v>
      </c>
      <c r="D4" t="str" cm="1">
        <f t="array" aca="1" ref="D4" ca="1">IF(
    ISNUMBER(VALUE(LEFT($A4, 1))),
    "",
    IFERROR(IF(_xlfn.XLOOKUP($A4, INDIRECT("'" &amp; D$2 &amp; "'!$A:$A"), INDIRECT("'" &amp; D$2 &amp; "'!$B:$B"), "")&lt;&gt;"", "✓", "✗"), "✗")
)</f>
        <v>✓</v>
      </c>
      <c r="E4" t="str" cm="1">
        <f t="array" aca="1" ref="E4" ca="1">IF(
    ISNUMBER(VALUE(LEFT($A4, 1))),
    "",
    IFERROR(IF(_xlfn.XLOOKUP($A4, INDIRECT("'" &amp; E$2 &amp; "'!$A:$A"), INDIRECT("'" &amp; E$2 &amp; "'!$B:$B"), "")&lt;&gt;"", "✓", "✗"), "✗")
)</f>
        <v>✓</v>
      </c>
      <c r="F4" t="str" cm="1">
        <f t="array" aca="1" ref="F4" ca="1">IF(
    ISNUMBER(VALUE(LEFT($A4, 1))),
    "",
    IFERROR(IF(_xlfn.XLOOKUP($A4, INDIRECT("'" &amp; F$2 &amp; "'!$A:$A"), INDIRECT("'" &amp; F$2 &amp; "'!$B:$B"), "")&lt;&gt;"", "✓", "✗"), "✗")
)</f>
        <v>✓</v>
      </c>
      <c r="G4" t="str" cm="1">
        <f t="array" aca="1" ref="G4" ca="1">IF(
    ISNUMBER(VALUE(LEFT($A4, 1))),
    "",
    IFERROR(IF(_xlfn.XLOOKUP($A4, INDIRECT("'" &amp; G$2 &amp; "'!$A:$A"), INDIRECT("'" &amp; G$2 &amp; "'!$B:$B"), "")&lt;&gt;"", "✓", "✗"), "✗")
)</f>
        <v>✓</v>
      </c>
      <c r="H4" t="str" cm="1">
        <f t="array" aca="1" ref="H4" ca="1">IF(
    ISNUMBER(VALUE(LEFT($A4, 1))),
    "",
    IFERROR(IF(_xlfn.XLOOKUP($A4, INDIRECT("'" &amp; H$2 &amp; "'!$A:$A"), INDIRECT("'" &amp; H$2 &amp; "'!$B:$B"), "")&lt;&gt;"", "✓", "✗"), "✗")
)</f>
        <v>✓</v>
      </c>
      <c r="I4" t="str" cm="1">
        <f t="array" aca="1" ref="I4" ca="1">IF(
    ISNUMBER(VALUE(LEFT($A4, 1))),
    "",
    IFERROR(IF(_xlfn.XLOOKUP($A4, INDIRECT("'" &amp; I$2 &amp; "'!$A:$A"), INDIRECT("'" &amp; I$2 &amp; "'!$B:$B"), "")&lt;&gt;"", "✓", "✗"), "✗")
)</f>
        <v>✓</v>
      </c>
      <c r="J4" t="str" cm="1">
        <f t="array" aca="1" ref="J4" ca="1">IF(
    ISNUMBER(VALUE(LEFT($A4, 1))),
    "",
    IFERROR(IF(_xlfn.XLOOKUP($A4, INDIRECT("'" &amp; J$2 &amp; "'!$A:$A"), INDIRECT("'" &amp; J$2 &amp; "'!$B:$B"), "")&lt;&gt;"", "✓", "✗"), "✗")
)</f>
        <v>✓</v>
      </c>
      <c r="K4" t="str" cm="1">
        <f t="array" aca="1" ref="K4" ca="1">IF(
    ISNUMBER(VALUE(LEFT($A4, 1))),
    "",
    IFERROR(IF(_xlfn.XLOOKUP($A4, INDIRECT("'" &amp; K$2 &amp; "'!$A:$A"), INDIRECT("'" &amp; K$2 &amp; "'!$B:$B"), "")&lt;&gt;"", "✓", "✗"), "✗")
)</f>
        <v>✓</v>
      </c>
      <c r="L4" t="str" cm="1">
        <f t="array" aca="1" ref="L4" ca="1">IF(
    ISNUMBER(VALUE(LEFT($A4, 1))),
    "",
    IFERROR(IF(_xlfn.XLOOKUP($A4, INDIRECT("'" &amp; L$2 &amp; "'!$A:$A"), INDIRECT("'" &amp; L$2 &amp; "'!$B:$B"), "")&lt;&gt;"", "✓", "✗"), "✗")
)</f>
        <v>✓</v>
      </c>
      <c r="M4" t="str" cm="1">
        <f t="array" aca="1" ref="M4" ca="1">IF(
    ISNUMBER(VALUE(LEFT($A4, 1))),
    "",
    IFERROR(IF(_xlfn.XLOOKUP($A4, INDIRECT("'" &amp; M$2 &amp; "'!$A:$A"), INDIRECT("'" &amp; M$2 &amp; "'!$B:$B"), "")&lt;&gt;"", "✓", "✗"), "✗")
)</f>
        <v>✓</v>
      </c>
      <c r="N4" t="str" cm="1">
        <f t="array" aca="1" ref="N4" ca="1">IF(
    ISNUMBER(VALUE(LEFT($A4, 1))),
    "",
    IFERROR(IF(_xlfn.XLOOKUP($A4, INDIRECT("'" &amp; N$2 &amp; "'!$A:$A"), INDIRECT("'" &amp; N$2 &amp; "'!$B:$B"), "")&lt;&gt;"", "✓", "✗"), "✗")
)</f>
        <v>✓</v>
      </c>
      <c r="O4" t="str" cm="1">
        <f t="array" aca="1" ref="O4" ca="1">IF(
    ISNUMBER(VALUE(LEFT($A4, 1))),
    "",
    IFERROR(IF(_xlfn.XLOOKUP($A4, INDIRECT("'" &amp; O$2 &amp; "'!$A:$A"), INDIRECT("'" &amp; O$2 &amp; "'!$B:$B"), "")&lt;&gt;"", "✓", "✗"), "✗")
)</f>
        <v>✓</v>
      </c>
      <c r="P4" t="str" cm="1">
        <f t="array" aca="1" ref="P4" ca="1">IF(
    ISNUMBER(VALUE(LEFT($A4, 1))),
    "",
    IFERROR(IF(_xlfn.XLOOKUP($A4, INDIRECT("'" &amp; P$2 &amp; "'!$A:$A"), INDIRECT("'" &amp; P$2 &amp; "'!$B:$B"), "")&lt;&gt;"", "✓", "✗"), "✗")
)</f>
        <v>✓</v>
      </c>
      <c r="Q4" t="str" cm="1">
        <f t="array" aca="1" ref="Q4" ca="1">IF(
    ISNUMBER(VALUE(LEFT($A4, 1))),
    "",
    IFERROR(IF(_xlfn.XLOOKUP($A4, INDIRECT("'" &amp; Q$2 &amp; "'!$A:$A"), INDIRECT("'" &amp; Q$2 &amp; "'!$B:$B"), "")&lt;&gt;"", "✓", "✗"), "✗")
)</f>
        <v>✓</v>
      </c>
      <c r="R4" t="str" cm="1">
        <f t="array" aca="1" ref="R4" ca="1">IF(
    ISNUMBER(VALUE(LEFT($A4, 1))),
    "",
    IFERROR(IF(_xlfn.XLOOKUP($A4, INDIRECT("'" &amp; R$2 &amp; "'!$A:$A"), INDIRECT("'" &amp; R$2 &amp; "'!$B:$B"), "")&lt;&gt;"", "✓", "✗"), "✗")
)</f>
        <v>✓</v>
      </c>
      <c r="S4" t="str" cm="1">
        <f t="array" aca="1" ref="S4" ca="1">IF(
    ISNUMBER(VALUE(LEFT($A4, 1))),
    "",
    IFERROR(IF(_xlfn.XLOOKUP($A4, INDIRECT("'" &amp; S$2 &amp; "'!$A:$A"), INDIRECT("'" &amp; S$2 &amp; "'!$B:$B"), "")&lt;&gt;"", "✓", "✗"), "✗")
)</f>
        <v>✓</v>
      </c>
      <c r="T4" t="str" cm="1">
        <f t="array" aca="1" ref="T4" ca="1">IF(
    ISNUMBER(VALUE(LEFT($A4, 1))),
    "",
    IFERROR(IF(_xlfn.XLOOKUP($A4, INDIRECT("'" &amp; T$2 &amp; "'!$A:$A"), INDIRECT("'" &amp; T$2 &amp; "'!$B:$B"), "")&lt;&gt;"", "✓", "✗"), "✗")
)</f>
        <v>✓</v>
      </c>
      <c r="U4" t="str" cm="1">
        <f t="array" aca="1" ref="U4" ca="1">IF(
    ISNUMBER(VALUE(LEFT($A4, 1))),
    "",
    IFERROR(IF(_xlfn.XLOOKUP($A4, INDIRECT("'" &amp; U$2 &amp; "'!$A:$A"), INDIRECT("'" &amp; U$2 &amp; "'!$B:$B"), "")&lt;&gt;"", "✓", "✗"), "✗")
)</f>
        <v>✓</v>
      </c>
      <c r="V4" t="str" cm="1">
        <f t="array" aca="1" ref="V4" ca="1">IF(
    ISNUMBER(VALUE(LEFT($A4, 1))),
    "",
    IFERROR(IF(_xlfn.XLOOKUP($A4, INDIRECT("'" &amp; V$2 &amp; "'!$A:$A"), INDIRECT("'" &amp; V$2 &amp; "'!$B:$B"), "")&lt;&gt;"", "✓", "✗"), "✗")
)</f>
        <v>✓</v>
      </c>
      <c r="W4" t="str" cm="1">
        <f t="array" aca="1" ref="W4" ca="1">IF(
    ISNUMBER(VALUE(LEFT($A4, 1))),
    "",
    IFERROR(IF(_xlfn.XLOOKUP($A4, INDIRECT("'" &amp; W$2 &amp; "'!$A:$A"), INDIRECT("'" &amp; W$2 &amp; "'!$B:$B"), "")&lt;&gt;"", "✓", "✗"), "✗")
)</f>
        <v>✓</v>
      </c>
      <c r="X4" t="str" cm="1">
        <f t="array" aca="1" ref="X4" ca="1">IF(
    ISNUMBER(VALUE(LEFT($A4, 1))),
    "",
    IFERROR(IF(_xlfn.XLOOKUP($A4, INDIRECT("'" &amp; X$2 &amp; "'!$A:$A"), INDIRECT("'" &amp; X$2 &amp; "'!$B:$B"), "")&lt;&gt;"", "✓", "✗"), "✗")
)</f>
        <v>✓</v>
      </c>
      <c r="Y4" t="str" cm="1">
        <f t="array" aca="1" ref="Y4" ca="1">IF(
    ISNUMBER(VALUE(LEFT($A4, 1))),
    "",
    IFERROR(IF(_xlfn.XLOOKUP($A4, INDIRECT("'" &amp; Y$2 &amp; "'!$A:$A"), INDIRECT("'" &amp; Y$2 &amp; "'!$B:$B"), "")&lt;&gt;"", "✓", "✗"), "✗")
)</f>
        <v>✓</v>
      </c>
      <c r="Z4" t="str" cm="1">
        <f t="array" aca="1" ref="Z4" ca="1">IF(
    ISNUMBER(VALUE(LEFT($A4, 1))),
    "",
    IFERROR(IF(_xlfn.XLOOKUP($A4, INDIRECT("'" &amp; Z$2 &amp; "'!$A:$A"), INDIRECT("'" &amp; Z$2 &amp; "'!$B:$B"), "")&lt;&gt;"", "✓", "✗"), "✗")
)</f>
        <v>✓</v>
      </c>
      <c r="AA4" t="str" cm="1">
        <f t="array" aca="1" ref="AA4" ca="1">IF(
    ISNUMBER(VALUE(LEFT($A4, 1))),
    "",
    IFERROR(IF(_xlfn.XLOOKUP($A4, INDIRECT("'" &amp; AA$2 &amp; "'!$A:$A"), INDIRECT("'" &amp; AA$2 &amp; "'!$B:$B"), "")&lt;&gt;"", "✓", "✗"), "✗")
)</f>
        <v>✓</v>
      </c>
      <c r="AB4" t="str" cm="1">
        <f t="array" aca="1" ref="AB4" ca="1">IF(
    ISNUMBER(VALUE(LEFT($A4, 1))),
    "",
    IFERROR(IF(_xlfn.XLOOKUP($A4, INDIRECT("'" &amp; AB$2 &amp; "'!$A:$A"), INDIRECT("'" &amp; AB$2 &amp; "'!$B:$B"), "")&lt;&gt;"", "✓", "✗"), "✗")
)</f>
        <v>✓</v>
      </c>
      <c r="AC4" t="str" cm="1">
        <f t="array" aca="1" ref="AC4" ca="1">IF(
    ISNUMBER(VALUE(LEFT($A4, 1))),
    "",
    IFERROR(IF(_xlfn.XLOOKUP($A4, INDIRECT("'" &amp; AC$2 &amp; "'!$A:$A"), INDIRECT("'" &amp; AC$2 &amp; "'!$B:$B"), "")&lt;&gt;"", "✓", "✗"), "✗")
)</f>
        <v>✓</v>
      </c>
      <c r="AD4" t="str" cm="1">
        <f t="array" aca="1" ref="AD4" ca="1">IF(
    ISNUMBER(VALUE(LEFT($A4, 1))),
    "",
    IFERROR(IF(_xlfn.XLOOKUP($A4, INDIRECT("'" &amp; AD$2 &amp; "'!$A:$A"), INDIRECT("'" &amp; AD$2 &amp; "'!$B:$B"), "")&lt;&gt;"", "✓", "✗"), "✗")
)</f>
        <v>✓</v>
      </c>
      <c r="AE4" t="str" cm="1">
        <f t="array" aca="1" ref="AE4" ca="1">IF(
    ISNUMBER(VALUE(LEFT($A4, 1))),
    "",
    IFERROR(IF(_xlfn.XLOOKUP($A4, INDIRECT("'" &amp; AE$2 &amp; "'!$A:$A"), INDIRECT("'" &amp; AE$2 &amp; "'!$B:$B"), "")&lt;&gt;"", "✓", "✗"), "✗")
)</f>
        <v>✓</v>
      </c>
      <c r="AF4" t="str" cm="1">
        <f t="array" aca="1" ref="AF4" ca="1">IF(
    ISNUMBER(VALUE(LEFT($A4, 1))),
    "",
    IFERROR(IF(_xlfn.XLOOKUP($A4, INDIRECT("'" &amp; AF$2 &amp; "'!$A:$A"), INDIRECT("'" &amp; AF$2 &amp; "'!$B:$B"), "")&lt;&gt;"", "✓", "✗"), "✗")
)</f>
        <v>✓</v>
      </c>
      <c r="AG4" t="str" cm="1">
        <f t="array" aca="1" ref="AG4" ca="1">IF(
    ISNUMBER(VALUE(LEFT($A4, 1))),
    "",
    IFERROR(IF(_xlfn.XLOOKUP($A4, INDIRECT("'" &amp; AG$2 &amp; "'!$A:$A"), INDIRECT("'" &amp; AG$2 &amp; "'!$B:$B"), "")&lt;&gt;"", "✓", "✗"), "✗")
)</f>
        <v>✓</v>
      </c>
    </row>
    <row r="5" spans="1:33" x14ac:dyDescent="0.45">
      <c r="A5" t="str">
        <v>Use Case</v>
      </c>
      <c r="B5" t="str" cm="1">
        <f t="array" aca="1" ref="B5" ca="1">IF(
    ISNUMBER(VALUE(LEFT($A5, 1))),
    "",
    IFERROR(IF(_xlfn.XLOOKUP($A5, INDIRECT("'" &amp; B$2 &amp; "'!$A:$A"), INDIRECT("'" &amp; B$2 &amp; "'!$B:$B"), "")&lt;&gt;"", "✓", "✗"), "✗")
)</f>
        <v>✓</v>
      </c>
      <c r="C5" t="str" cm="1">
        <f t="array" aca="1" ref="C5" ca="1">IF(
    ISNUMBER(VALUE(LEFT($A5, 1))),
    "",
    IFERROR(IF(_xlfn.XLOOKUP($A5, INDIRECT("'" &amp; C$2 &amp; "'!$A:$A"), INDIRECT("'" &amp; C$2 &amp; "'!$B:$B"), "")&lt;&gt;"", "✓", "✗"), "✗")
)</f>
        <v>✓</v>
      </c>
      <c r="D5" t="str" cm="1">
        <f t="array" aca="1" ref="D5" ca="1">IF(
    ISNUMBER(VALUE(LEFT($A5, 1))),
    "",
    IFERROR(IF(_xlfn.XLOOKUP($A5, INDIRECT("'" &amp; D$2 &amp; "'!$A:$A"), INDIRECT("'" &amp; D$2 &amp; "'!$B:$B"), "")&lt;&gt;"", "✓", "✗"), "✗")
)</f>
        <v>✓</v>
      </c>
      <c r="E5" t="str" cm="1">
        <f t="array" aca="1" ref="E5" ca="1">IF(
    ISNUMBER(VALUE(LEFT($A5, 1))),
    "",
    IFERROR(IF(_xlfn.XLOOKUP($A5, INDIRECT("'" &amp; E$2 &amp; "'!$A:$A"), INDIRECT("'" &amp; E$2 &amp; "'!$B:$B"), "")&lt;&gt;"", "✓", "✗"), "✗")
)</f>
        <v>✓</v>
      </c>
      <c r="F5" t="str" cm="1">
        <f t="array" aca="1" ref="F5" ca="1">IF(
    ISNUMBER(VALUE(LEFT($A5, 1))),
    "",
    IFERROR(IF(_xlfn.XLOOKUP($A5, INDIRECT("'" &amp; F$2 &amp; "'!$A:$A"), INDIRECT("'" &amp; F$2 &amp; "'!$B:$B"), "")&lt;&gt;"", "✓", "✗"), "✗")
)</f>
        <v>✓</v>
      </c>
      <c r="G5" t="str" cm="1">
        <f t="array" aca="1" ref="G5" ca="1">IF(
    ISNUMBER(VALUE(LEFT($A5, 1))),
    "",
    IFERROR(IF(_xlfn.XLOOKUP($A5, INDIRECT("'" &amp; G$2 &amp; "'!$A:$A"), INDIRECT("'" &amp; G$2 &amp; "'!$B:$B"), "")&lt;&gt;"", "✓", "✗"), "✗")
)</f>
        <v>✓</v>
      </c>
      <c r="H5" t="str" cm="1">
        <f t="array" aca="1" ref="H5" ca="1">IF(
    ISNUMBER(VALUE(LEFT($A5, 1))),
    "",
    IFERROR(IF(_xlfn.XLOOKUP($A5, INDIRECT("'" &amp; H$2 &amp; "'!$A:$A"), INDIRECT("'" &amp; H$2 &amp; "'!$B:$B"), "")&lt;&gt;"", "✓", "✗"), "✗")
)</f>
        <v>✓</v>
      </c>
      <c r="I5" t="str" cm="1">
        <f t="array" aca="1" ref="I5" ca="1">IF(
    ISNUMBER(VALUE(LEFT($A5, 1))),
    "",
    IFERROR(IF(_xlfn.XLOOKUP($A5, INDIRECT("'" &amp; I$2 &amp; "'!$A:$A"), INDIRECT("'" &amp; I$2 &amp; "'!$B:$B"), "")&lt;&gt;"", "✓", "✗"), "✗")
)</f>
        <v>✓</v>
      </c>
      <c r="J5" t="str" cm="1">
        <f t="array" aca="1" ref="J5" ca="1">IF(
    ISNUMBER(VALUE(LEFT($A5, 1))),
    "",
    IFERROR(IF(_xlfn.XLOOKUP($A5, INDIRECT("'" &amp; J$2 &amp; "'!$A:$A"), INDIRECT("'" &amp; J$2 &amp; "'!$B:$B"), "")&lt;&gt;"", "✓", "✗"), "✗")
)</f>
        <v>✓</v>
      </c>
      <c r="K5" t="str" cm="1">
        <f t="array" aca="1" ref="K5" ca="1">IF(
    ISNUMBER(VALUE(LEFT($A5, 1))),
    "",
    IFERROR(IF(_xlfn.XLOOKUP($A5, INDIRECT("'" &amp; K$2 &amp; "'!$A:$A"), INDIRECT("'" &amp; K$2 &amp; "'!$B:$B"), "")&lt;&gt;"", "✓", "✗"), "✗")
)</f>
        <v>✓</v>
      </c>
      <c r="L5" t="str" cm="1">
        <f t="array" aca="1" ref="L5" ca="1">IF(
    ISNUMBER(VALUE(LEFT($A5, 1))),
    "",
    IFERROR(IF(_xlfn.XLOOKUP($A5, INDIRECT("'" &amp; L$2 &amp; "'!$A:$A"), INDIRECT("'" &amp; L$2 &amp; "'!$B:$B"), "")&lt;&gt;"", "✓", "✗"), "✗")
)</f>
        <v>✓</v>
      </c>
      <c r="M5" t="str" cm="1">
        <f t="array" aca="1" ref="M5" ca="1">IF(
    ISNUMBER(VALUE(LEFT($A5, 1))),
    "",
    IFERROR(IF(_xlfn.XLOOKUP($A5, INDIRECT("'" &amp; M$2 &amp; "'!$A:$A"), INDIRECT("'" &amp; M$2 &amp; "'!$B:$B"), "")&lt;&gt;"", "✓", "✗"), "✗")
)</f>
        <v>✓</v>
      </c>
      <c r="N5" t="str" cm="1">
        <f t="array" aca="1" ref="N5" ca="1">IF(
    ISNUMBER(VALUE(LEFT($A5, 1))),
    "",
    IFERROR(IF(_xlfn.XLOOKUP($A5, INDIRECT("'" &amp; N$2 &amp; "'!$A:$A"), INDIRECT("'" &amp; N$2 &amp; "'!$B:$B"), "")&lt;&gt;"", "✓", "✗"), "✗")
)</f>
        <v>✓</v>
      </c>
      <c r="O5" t="str" cm="1">
        <f t="array" aca="1" ref="O5" ca="1">IF(
    ISNUMBER(VALUE(LEFT($A5, 1))),
    "",
    IFERROR(IF(_xlfn.XLOOKUP($A5, INDIRECT("'" &amp; O$2 &amp; "'!$A:$A"), INDIRECT("'" &amp; O$2 &amp; "'!$B:$B"), "")&lt;&gt;"", "✓", "✗"), "✗")
)</f>
        <v>✓</v>
      </c>
      <c r="P5" t="str" cm="1">
        <f t="array" aca="1" ref="P5" ca="1">IF(
    ISNUMBER(VALUE(LEFT($A5, 1))),
    "",
    IFERROR(IF(_xlfn.XLOOKUP($A5, INDIRECT("'" &amp; P$2 &amp; "'!$A:$A"), INDIRECT("'" &amp; P$2 &amp; "'!$B:$B"), "")&lt;&gt;"", "✓", "✗"), "✗")
)</f>
        <v>✓</v>
      </c>
      <c r="Q5" t="str" cm="1">
        <f t="array" aca="1" ref="Q5" ca="1">IF(
    ISNUMBER(VALUE(LEFT($A5, 1))),
    "",
    IFERROR(IF(_xlfn.XLOOKUP($A5, INDIRECT("'" &amp; Q$2 &amp; "'!$A:$A"), INDIRECT("'" &amp; Q$2 &amp; "'!$B:$B"), "")&lt;&gt;"", "✓", "✗"), "✗")
)</f>
        <v>✓</v>
      </c>
      <c r="R5" t="str" cm="1">
        <f t="array" aca="1" ref="R5" ca="1">IF(
    ISNUMBER(VALUE(LEFT($A5, 1))),
    "",
    IFERROR(IF(_xlfn.XLOOKUP($A5, INDIRECT("'" &amp; R$2 &amp; "'!$A:$A"), INDIRECT("'" &amp; R$2 &amp; "'!$B:$B"), "")&lt;&gt;"", "✓", "✗"), "✗")
)</f>
        <v>✓</v>
      </c>
      <c r="S5" t="str" cm="1">
        <f t="array" aca="1" ref="S5" ca="1">IF(
    ISNUMBER(VALUE(LEFT($A5, 1))),
    "",
    IFERROR(IF(_xlfn.XLOOKUP($A5, INDIRECT("'" &amp; S$2 &amp; "'!$A:$A"), INDIRECT("'" &amp; S$2 &amp; "'!$B:$B"), "")&lt;&gt;"", "✓", "✗"), "✗")
)</f>
        <v>✓</v>
      </c>
      <c r="T5" t="str" cm="1">
        <f t="array" aca="1" ref="T5" ca="1">IF(
    ISNUMBER(VALUE(LEFT($A5, 1))),
    "",
    IFERROR(IF(_xlfn.XLOOKUP($A5, INDIRECT("'" &amp; T$2 &amp; "'!$A:$A"), INDIRECT("'" &amp; T$2 &amp; "'!$B:$B"), "")&lt;&gt;"", "✓", "✗"), "✗")
)</f>
        <v>✓</v>
      </c>
      <c r="U5" t="str" cm="1">
        <f t="array" aca="1" ref="U5" ca="1">IF(
    ISNUMBER(VALUE(LEFT($A5, 1))),
    "",
    IFERROR(IF(_xlfn.XLOOKUP($A5, INDIRECT("'" &amp; U$2 &amp; "'!$A:$A"), INDIRECT("'" &amp; U$2 &amp; "'!$B:$B"), "")&lt;&gt;"", "✓", "✗"), "✗")
)</f>
        <v>✓</v>
      </c>
      <c r="V5" t="str" cm="1">
        <f t="array" aca="1" ref="V5" ca="1">IF(
    ISNUMBER(VALUE(LEFT($A5, 1))),
    "",
    IFERROR(IF(_xlfn.XLOOKUP($A5, INDIRECT("'" &amp; V$2 &amp; "'!$A:$A"), INDIRECT("'" &amp; V$2 &amp; "'!$B:$B"), "")&lt;&gt;"", "✓", "✗"), "✗")
)</f>
        <v>✓</v>
      </c>
      <c r="W5" t="str" cm="1">
        <f t="array" aca="1" ref="W5" ca="1">IF(
    ISNUMBER(VALUE(LEFT($A5, 1))),
    "",
    IFERROR(IF(_xlfn.XLOOKUP($A5, INDIRECT("'" &amp; W$2 &amp; "'!$A:$A"), INDIRECT("'" &amp; W$2 &amp; "'!$B:$B"), "")&lt;&gt;"", "✓", "✗"), "✗")
)</f>
        <v>✓</v>
      </c>
      <c r="X5" t="str" cm="1">
        <f t="array" aca="1" ref="X5" ca="1">IF(
    ISNUMBER(VALUE(LEFT($A5, 1))),
    "",
    IFERROR(IF(_xlfn.XLOOKUP($A5, INDIRECT("'" &amp; X$2 &amp; "'!$A:$A"), INDIRECT("'" &amp; X$2 &amp; "'!$B:$B"), "")&lt;&gt;"", "✓", "✗"), "✗")
)</f>
        <v>✓</v>
      </c>
      <c r="Y5" t="str" cm="1">
        <f t="array" aca="1" ref="Y5" ca="1">IF(
    ISNUMBER(VALUE(LEFT($A5, 1))),
    "",
    IFERROR(IF(_xlfn.XLOOKUP($A5, INDIRECT("'" &amp; Y$2 &amp; "'!$A:$A"), INDIRECT("'" &amp; Y$2 &amp; "'!$B:$B"), "")&lt;&gt;"", "✓", "✗"), "✗")
)</f>
        <v>✓</v>
      </c>
      <c r="Z5" t="str" cm="1">
        <f t="array" aca="1" ref="Z5" ca="1">IF(
    ISNUMBER(VALUE(LEFT($A5, 1))),
    "",
    IFERROR(IF(_xlfn.XLOOKUP($A5, INDIRECT("'" &amp; Z$2 &amp; "'!$A:$A"), INDIRECT("'" &amp; Z$2 &amp; "'!$B:$B"), "")&lt;&gt;"", "✓", "✗"), "✗")
)</f>
        <v>✓</v>
      </c>
      <c r="AA5" t="str" cm="1">
        <f t="array" aca="1" ref="AA5" ca="1">IF(
    ISNUMBER(VALUE(LEFT($A5, 1))),
    "",
    IFERROR(IF(_xlfn.XLOOKUP($A5, INDIRECT("'" &amp; AA$2 &amp; "'!$A:$A"), INDIRECT("'" &amp; AA$2 &amp; "'!$B:$B"), "")&lt;&gt;"", "✓", "✗"), "✗")
)</f>
        <v>✓</v>
      </c>
      <c r="AB5" t="str" cm="1">
        <f t="array" aca="1" ref="AB5" ca="1">IF(
    ISNUMBER(VALUE(LEFT($A5, 1))),
    "",
    IFERROR(IF(_xlfn.XLOOKUP($A5, INDIRECT("'" &amp; AB$2 &amp; "'!$A:$A"), INDIRECT("'" &amp; AB$2 &amp; "'!$B:$B"), "")&lt;&gt;"", "✓", "✗"), "✗")
)</f>
        <v>✓</v>
      </c>
      <c r="AC5" t="str" cm="1">
        <f t="array" aca="1" ref="AC5" ca="1">IF(
    ISNUMBER(VALUE(LEFT($A5, 1))),
    "",
    IFERROR(IF(_xlfn.XLOOKUP($A5, INDIRECT("'" &amp; AC$2 &amp; "'!$A:$A"), INDIRECT("'" &amp; AC$2 &amp; "'!$B:$B"), "")&lt;&gt;"", "✓", "✗"), "✗")
)</f>
        <v>✓</v>
      </c>
      <c r="AD5" t="str" cm="1">
        <f t="array" aca="1" ref="AD5" ca="1">IF(
    ISNUMBER(VALUE(LEFT($A5, 1))),
    "",
    IFERROR(IF(_xlfn.XLOOKUP($A5, INDIRECT("'" &amp; AD$2 &amp; "'!$A:$A"), INDIRECT("'" &amp; AD$2 &amp; "'!$B:$B"), "")&lt;&gt;"", "✓", "✗"), "✗")
)</f>
        <v>✓</v>
      </c>
      <c r="AE5" t="str" cm="1">
        <f t="array" aca="1" ref="AE5" ca="1">IF(
    ISNUMBER(VALUE(LEFT($A5, 1))),
    "",
    IFERROR(IF(_xlfn.XLOOKUP($A5, INDIRECT("'" &amp; AE$2 &amp; "'!$A:$A"), INDIRECT("'" &amp; AE$2 &amp; "'!$B:$B"), "")&lt;&gt;"", "✓", "✗"), "✗")
)</f>
        <v>✓</v>
      </c>
      <c r="AF5" t="str" cm="1">
        <f t="array" aca="1" ref="AF5" ca="1">IF(
    ISNUMBER(VALUE(LEFT($A5, 1))),
    "",
    IFERROR(IF(_xlfn.XLOOKUP($A5, INDIRECT("'" &amp; AF$2 &amp; "'!$A:$A"), INDIRECT("'" &amp; AF$2 &amp; "'!$B:$B"), "")&lt;&gt;"", "✓", "✗"), "✗")
)</f>
        <v>✓</v>
      </c>
      <c r="AG5" t="str" cm="1">
        <f t="array" aca="1" ref="AG5" ca="1">IF(
    ISNUMBER(VALUE(LEFT($A5, 1))),
    "",
    IFERROR(IF(_xlfn.XLOOKUP($A5, INDIRECT("'" &amp; AG$2 &amp; "'!$A:$A"), INDIRECT("'" &amp; AG$2 &amp; "'!$B:$B"), "")&lt;&gt;"", "✓", "✗"), "✗")
)</f>
        <v>✓</v>
      </c>
    </row>
    <row r="6" spans="1:33" x14ac:dyDescent="0.45">
      <c r="A6" t="str">
        <v>Lead Category</v>
      </c>
      <c r="B6" t="str" cm="1">
        <f t="array" aca="1" ref="B6" ca="1">IF(
    ISNUMBER(VALUE(LEFT($A6, 1))),
    "",
    IFERROR(IF(_xlfn.XLOOKUP($A6, INDIRECT("'" &amp; B$2 &amp; "'!$A:$A"), INDIRECT("'" &amp; B$2 &amp; "'!$B:$B"), "")&lt;&gt;"", "✓", "✗"), "✗")
)</f>
        <v>✓</v>
      </c>
      <c r="C6" t="str" cm="1">
        <f t="array" aca="1" ref="C6" ca="1">IF(
    ISNUMBER(VALUE(LEFT($A6, 1))),
    "",
    IFERROR(IF(_xlfn.XLOOKUP($A6, INDIRECT("'" &amp; C$2 &amp; "'!$A:$A"), INDIRECT("'" &amp; C$2 &amp; "'!$B:$B"), "")&lt;&gt;"", "✓", "✗"), "✗")
)</f>
        <v>✓</v>
      </c>
      <c r="D6" t="str" cm="1">
        <f t="array" aca="1" ref="D6" ca="1">IF(
    ISNUMBER(VALUE(LEFT($A6, 1))),
    "",
    IFERROR(IF(_xlfn.XLOOKUP($A6, INDIRECT("'" &amp; D$2 &amp; "'!$A:$A"), INDIRECT("'" &amp; D$2 &amp; "'!$B:$B"), "")&lt;&gt;"", "✓", "✗"), "✗")
)</f>
        <v>✓</v>
      </c>
      <c r="E6" t="str" cm="1">
        <f t="array" aca="1" ref="E6" ca="1">IF(
    ISNUMBER(VALUE(LEFT($A6, 1))),
    "",
    IFERROR(IF(_xlfn.XLOOKUP($A6, INDIRECT("'" &amp; E$2 &amp; "'!$A:$A"), INDIRECT("'" &amp; E$2 &amp; "'!$B:$B"), "")&lt;&gt;"", "✓", "✗"), "✗")
)</f>
        <v>✓</v>
      </c>
      <c r="F6" t="str" cm="1">
        <f t="array" aca="1" ref="F6" ca="1">IF(
    ISNUMBER(VALUE(LEFT($A6, 1))),
    "",
    IFERROR(IF(_xlfn.XLOOKUP($A6, INDIRECT("'" &amp; F$2 &amp; "'!$A:$A"), INDIRECT("'" &amp; F$2 &amp; "'!$B:$B"), "")&lt;&gt;"", "✓", "✗"), "✗")
)</f>
        <v>✓</v>
      </c>
      <c r="G6" t="str" cm="1">
        <f t="array" aca="1" ref="G6" ca="1">IF(
    ISNUMBER(VALUE(LEFT($A6, 1))),
    "",
    IFERROR(IF(_xlfn.XLOOKUP($A6, INDIRECT("'" &amp; G$2 &amp; "'!$A:$A"), INDIRECT("'" &amp; G$2 &amp; "'!$B:$B"), "")&lt;&gt;"", "✓", "✗"), "✗")
)</f>
        <v>✓</v>
      </c>
      <c r="H6" t="str" cm="1">
        <f t="array" aca="1" ref="H6" ca="1">IF(
    ISNUMBER(VALUE(LEFT($A6, 1))),
    "",
    IFERROR(IF(_xlfn.XLOOKUP($A6, INDIRECT("'" &amp; H$2 &amp; "'!$A:$A"), INDIRECT("'" &amp; H$2 &amp; "'!$B:$B"), "")&lt;&gt;"", "✓", "✗"), "✗")
)</f>
        <v>✓</v>
      </c>
      <c r="I6" t="str" cm="1">
        <f t="array" aca="1" ref="I6" ca="1">IF(
    ISNUMBER(VALUE(LEFT($A6, 1))),
    "",
    IFERROR(IF(_xlfn.XLOOKUP($A6, INDIRECT("'" &amp; I$2 &amp; "'!$A:$A"), INDIRECT("'" &amp; I$2 &amp; "'!$B:$B"), "")&lt;&gt;"", "✓", "✗"), "✗")
)</f>
        <v>✓</v>
      </c>
      <c r="J6" t="str" cm="1">
        <f t="array" aca="1" ref="J6" ca="1">IF(
    ISNUMBER(VALUE(LEFT($A6, 1))),
    "",
    IFERROR(IF(_xlfn.XLOOKUP($A6, INDIRECT("'" &amp; J$2 &amp; "'!$A:$A"), INDIRECT("'" &amp; J$2 &amp; "'!$B:$B"), "")&lt;&gt;"", "✓", "✗"), "✗")
)</f>
        <v>✓</v>
      </c>
      <c r="K6" t="str" cm="1">
        <f t="array" aca="1" ref="K6" ca="1">IF(
    ISNUMBER(VALUE(LEFT($A6, 1))),
    "",
    IFERROR(IF(_xlfn.XLOOKUP($A6, INDIRECT("'" &amp; K$2 &amp; "'!$A:$A"), INDIRECT("'" &amp; K$2 &amp; "'!$B:$B"), "")&lt;&gt;"", "✓", "✗"), "✗")
)</f>
        <v>✓</v>
      </c>
      <c r="L6" t="str" cm="1">
        <f t="array" aca="1" ref="L6" ca="1">IF(
    ISNUMBER(VALUE(LEFT($A6, 1))),
    "",
    IFERROR(IF(_xlfn.XLOOKUP($A6, INDIRECT("'" &amp; L$2 &amp; "'!$A:$A"), INDIRECT("'" &amp; L$2 &amp; "'!$B:$B"), "")&lt;&gt;"", "✓", "✗"), "✗")
)</f>
        <v>✓</v>
      </c>
      <c r="M6" t="str" cm="1">
        <f t="array" aca="1" ref="M6" ca="1">IF(
    ISNUMBER(VALUE(LEFT($A6, 1))),
    "",
    IFERROR(IF(_xlfn.XLOOKUP($A6, INDIRECT("'" &amp; M$2 &amp; "'!$A:$A"), INDIRECT("'" &amp; M$2 &amp; "'!$B:$B"), "")&lt;&gt;"", "✓", "✗"), "✗")
)</f>
        <v>✓</v>
      </c>
      <c r="N6" t="str" cm="1">
        <f t="array" aca="1" ref="N6" ca="1">IF(
    ISNUMBER(VALUE(LEFT($A6, 1))),
    "",
    IFERROR(IF(_xlfn.XLOOKUP($A6, INDIRECT("'" &amp; N$2 &amp; "'!$A:$A"), INDIRECT("'" &amp; N$2 &amp; "'!$B:$B"), "")&lt;&gt;"", "✓", "✗"), "✗")
)</f>
        <v>✓</v>
      </c>
      <c r="O6" t="str" cm="1">
        <f t="array" aca="1" ref="O6" ca="1">IF(
    ISNUMBER(VALUE(LEFT($A6, 1))),
    "",
    IFERROR(IF(_xlfn.XLOOKUP($A6, INDIRECT("'" &amp; O$2 &amp; "'!$A:$A"), INDIRECT("'" &amp; O$2 &amp; "'!$B:$B"), "")&lt;&gt;"", "✓", "✗"), "✗")
)</f>
        <v>✓</v>
      </c>
      <c r="P6" t="str" cm="1">
        <f t="array" aca="1" ref="P6" ca="1">IF(
    ISNUMBER(VALUE(LEFT($A6, 1))),
    "",
    IFERROR(IF(_xlfn.XLOOKUP($A6, INDIRECT("'" &amp; P$2 &amp; "'!$A:$A"), INDIRECT("'" &amp; P$2 &amp; "'!$B:$B"), "")&lt;&gt;"", "✓", "✗"), "✗")
)</f>
        <v>✓</v>
      </c>
      <c r="Q6" t="str" cm="1">
        <f t="array" aca="1" ref="Q6" ca="1">IF(
    ISNUMBER(VALUE(LEFT($A6, 1))),
    "",
    IFERROR(IF(_xlfn.XLOOKUP($A6, INDIRECT("'" &amp; Q$2 &amp; "'!$A:$A"), INDIRECT("'" &amp; Q$2 &amp; "'!$B:$B"), "")&lt;&gt;"", "✓", "✗"), "✗")
)</f>
        <v>✓</v>
      </c>
      <c r="R6" t="str" cm="1">
        <f t="array" aca="1" ref="R6" ca="1">IF(
    ISNUMBER(VALUE(LEFT($A6, 1))),
    "",
    IFERROR(IF(_xlfn.XLOOKUP($A6, INDIRECT("'" &amp; R$2 &amp; "'!$A:$A"), INDIRECT("'" &amp; R$2 &amp; "'!$B:$B"), "")&lt;&gt;"", "✓", "✗"), "✗")
)</f>
        <v>✓</v>
      </c>
      <c r="S6" t="str" cm="1">
        <f t="array" aca="1" ref="S6" ca="1">IF(
    ISNUMBER(VALUE(LEFT($A6, 1))),
    "",
    IFERROR(IF(_xlfn.XLOOKUP($A6, INDIRECT("'" &amp; S$2 &amp; "'!$A:$A"), INDIRECT("'" &amp; S$2 &amp; "'!$B:$B"), "")&lt;&gt;"", "✓", "✗"), "✗")
)</f>
        <v>✓</v>
      </c>
      <c r="T6" t="str" cm="1">
        <f t="array" aca="1" ref="T6" ca="1">IF(
    ISNUMBER(VALUE(LEFT($A6, 1))),
    "",
    IFERROR(IF(_xlfn.XLOOKUP($A6, INDIRECT("'" &amp; T$2 &amp; "'!$A:$A"), INDIRECT("'" &amp; T$2 &amp; "'!$B:$B"), "")&lt;&gt;"", "✓", "✗"), "✗")
)</f>
        <v>✓</v>
      </c>
      <c r="U6" t="str" cm="1">
        <f t="array" aca="1" ref="U6" ca="1">IF(
    ISNUMBER(VALUE(LEFT($A6, 1))),
    "",
    IFERROR(IF(_xlfn.XLOOKUP($A6, INDIRECT("'" &amp; U$2 &amp; "'!$A:$A"), INDIRECT("'" &amp; U$2 &amp; "'!$B:$B"), "")&lt;&gt;"", "✓", "✗"), "✗")
)</f>
        <v>✓</v>
      </c>
      <c r="V6" t="str" cm="1">
        <f t="array" aca="1" ref="V6" ca="1">IF(
    ISNUMBER(VALUE(LEFT($A6, 1))),
    "",
    IFERROR(IF(_xlfn.XLOOKUP($A6, INDIRECT("'" &amp; V$2 &amp; "'!$A:$A"), INDIRECT("'" &amp; V$2 &amp; "'!$B:$B"), "")&lt;&gt;"", "✓", "✗"), "✗")
)</f>
        <v>✓</v>
      </c>
      <c r="W6" t="str" cm="1">
        <f t="array" aca="1" ref="W6" ca="1">IF(
    ISNUMBER(VALUE(LEFT($A6, 1))),
    "",
    IFERROR(IF(_xlfn.XLOOKUP($A6, INDIRECT("'" &amp; W$2 &amp; "'!$A:$A"), INDIRECT("'" &amp; W$2 &amp; "'!$B:$B"), "")&lt;&gt;"", "✓", "✗"), "✗")
)</f>
        <v>✓</v>
      </c>
      <c r="X6" t="str" cm="1">
        <f t="array" aca="1" ref="X6" ca="1">IF(
    ISNUMBER(VALUE(LEFT($A6, 1))),
    "",
    IFERROR(IF(_xlfn.XLOOKUP($A6, INDIRECT("'" &amp; X$2 &amp; "'!$A:$A"), INDIRECT("'" &amp; X$2 &amp; "'!$B:$B"), "")&lt;&gt;"", "✓", "✗"), "✗")
)</f>
        <v>✓</v>
      </c>
      <c r="Y6" t="str" cm="1">
        <f t="array" aca="1" ref="Y6" ca="1">IF(
    ISNUMBER(VALUE(LEFT($A6, 1))),
    "",
    IFERROR(IF(_xlfn.XLOOKUP($A6, INDIRECT("'" &amp; Y$2 &amp; "'!$A:$A"), INDIRECT("'" &amp; Y$2 &amp; "'!$B:$B"), "")&lt;&gt;"", "✓", "✗"), "✗")
)</f>
        <v>✓</v>
      </c>
      <c r="Z6" t="str" cm="1">
        <f t="array" aca="1" ref="Z6" ca="1">IF(
    ISNUMBER(VALUE(LEFT($A6, 1))),
    "",
    IFERROR(IF(_xlfn.XLOOKUP($A6, INDIRECT("'" &amp; Z$2 &amp; "'!$A:$A"), INDIRECT("'" &amp; Z$2 &amp; "'!$B:$B"), "")&lt;&gt;"", "✓", "✗"), "✗")
)</f>
        <v>✓</v>
      </c>
      <c r="AA6" t="str" cm="1">
        <f t="array" aca="1" ref="AA6" ca="1">IF(
    ISNUMBER(VALUE(LEFT($A6, 1))),
    "",
    IFERROR(IF(_xlfn.XLOOKUP($A6, INDIRECT("'" &amp; AA$2 &amp; "'!$A:$A"), INDIRECT("'" &amp; AA$2 &amp; "'!$B:$B"), "")&lt;&gt;"", "✓", "✗"), "✗")
)</f>
        <v>✓</v>
      </c>
      <c r="AB6" t="str" cm="1">
        <f t="array" aca="1" ref="AB6" ca="1">IF(
    ISNUMBER(VALUE(LEFT($A6, 1))),
    "",
    IFERROR(IF(_xlfn.XLOOKUP($A6, INDIRECT("'" &amp; AB$2 &amp; "'!$A:$A"), INDIRECT("'" &amp; AB$2 &amp; "'!$B:$B"), "")&lt;&gt;"", "✓", "✗"), "✗")
)</f>
        <v>✓</v>
      </c>
      <c r="AC6" t="str" cm="1">
        <f t="array" aca="1" ref="AC6" ca="1">IF(
    ISNUMBER(VALUE(LEFT($A6, 1))),
    "",
    IFERROR(IF(_xlfn.XLOOKUP($A6, INDIRECT("'" &amp; AC$2 &amp; "'!$A:$A"), INDIRECT("'" &amp; AC$2 &amp; "'!$B:$B"), "")&lt;&gt;"", "✓", "✗"), "✗")
)</f>
        <v>✓</v>
      </c>
      <c r="AD6" t="str" cm="1">
        <f t="array" aca="1" ref="AD6" ca="1">IF(
    ISNUMBER(VALUE(LEFT($A6, 1))),
    "",
    IFERROR(IF(_xlfn.XLOOKUP($A6, INDIRECT("'" &amp; AD$2 &amp; "'!$A:$A"), INDIRECT("'" &amp; AD$2 &amp; "'!$B:$B"), "")&lt;&gt;"", "✓", "✗"), "✗")
)</f>
        <v>✓</v>
      </c>
      <c r="AE6" t="str" cm="1">
        <f t="array" aca="1" ref="AE6" ca="1">IF(
    ISNUMBER(VALUE(LEFT($A6, 1))),
    "",
    IFERROR(IF(_xlfn.XLOOKUP($A6, INDIRECT("'" &amp; AE$2 &amp; "'!$A:$A"), INDIRECT("'" &amp; AE$2 &amp; "'!$B:$B"), "")&lt;&gt;"", "✓", "✗"), "✗")
)</f>
        <v>✓</v>
      </c>
      <c r="AF6" t="str" cm="1">
        <f t="array" aca="1" ref="AF6" ca="1">IF(
    ISNUMBER(VALUE(LEFT($A6, 1))),
    "",
    IFERROR(IF(_xlfn.XLOOKUP($A6, INDIRECT("'" &amp; AF$2 &amp; "'!$A:$A"), INDIRECT("'" &amp; AF$2 &amp; "'!$B:$B"), "")&lt;&gt;"", "✓", "✗"), "✗")
)</f>
        <v>✓</v>
      </c>
      <c r="AG6" t="str" cm="1">
        <f t="array" aca="1" ref="AG6" ca="1">IF(
    ISNUMBER(VALUE(LEFT($A6, 1))),
    "",
    IFERROR(IF(_xlfn.XLOOKUP($A6, INDIRECT("'" &amp; AG$2 &amp; "'!$A:$A"), INDIRECT("'" &amp; AG$2 &amp; "'!$B:$B"), "")&lt;&gt;"", "✓", "✗"), "✗")
)</f>
        <v>✓</v>
      </c>
    </row>
    <row r="7" spans="1:33" x14ac:dyDescent="0.45">
      <c r="A7" t="str">
        <v>Sales Routing Trigger</v>
      </c>
      <c r="B7" t="str" cm="1">
        <f t="array" aca="1" ref="B7" ca="1">IF(
    ISNUMBER(VALUE(LEFT($A7, 1))),
    "",
    IFERROR(IF(_xlfn.XLOOKUP($A7, INDIRECT("'" &amp; B$2 &amp; "'!$A:$A"), INDIRECT("'" &amp; B$2 &amp; "'!$B:$B"), "")&lt;&gt;"", "✓", "✗"), "✗")
)</f>
        <v>✓</v>
      </c>
      <c r="C7" t="str" cm="1">
        <f t="array" aca="1" ref="C7" ca="1">IF(
    ISNUMBER(VALUE(LEFT($A7, 1))),
    "",
    IFERROR(IF(_xlfn.XLOOKUP($A7, INDIRECT("'" &amp; C$2 &amp; "'!$A:$A"), INDIRECT("'" &amp; C$2 &amp; "'!$B:$B"), "")&lt;&gt;"", "✓", "✗"), "✗")
)</f>
        <v>✓</v>
      </c>
      <c r="D7" t="str" cm="1">
        <f t="array" aca="1" ref="D7" ca="1">IF(
    ISNUMBER(VALUE(LEFT($A7, 1))),
    "",
    IFERROR(IF(_xlfn.XLOOKUP($A7, INDIRECT("'" &amp; D$2 &amp; "'!$A:$A"), INDIRECT("'" &amp; D$2 &amp; "'!$B:$B"), "")&lt;&gt;"", "✓", "✗"), "✗")
)</f>
        <v>✓</v>
      </c>
      <c r="E7" t="str" cm="1">
        <f t="array" aca="1" ref="E7" ca="1">IF(
    ISNUMBER(VALUE(LEFT($A7, 1))),
    "",
    IFERROR(IF(_xlfn.XLOOKUP($A7, INDIRECT("'" &amp; E$2 &amp; "'!$A:$A"), INDIRECT("'" &amp; E$2 &amp; "'!$B:$B"), "")&lt;&gt;"", "✓", "✗"), "✗")
)</f>
        <v>✓</v>
      </c>
      <c r="F7" t="str" cm="1">
        <f t="array" aca="1" ref="F7" ca="1">IF(
    ISNUMBER(VALUE(LEFT($A7, 1))),
    "",
    IFERROR(IF(_xlfn.XLOOKUP($A7, INDIRECT("'" &amp; F$2 &amp; "'!$A:$A"), INDIRECT("'" &amp; F$2 &amp; "'!$B:$B"), "")&lt;&gt;"", "✓", "✗"), "✗")
)</f>
        <v>✓</v>
      </c>
      <c r="G7" t="str" cm="1">
        <f t="array" aca="1" ref="G7" ca="1">IF(
    ISNUMBER(VALUE(LEFT($A7, 1))),
    "",
    IFERROR(IF(_xlfn.XLOOKUP($A7, INDIRECT("'" &amp; G$2 &amp; "'!$A:$A"), INDIRECT("'" &amp; G$2 &amp; "'!$B:$B"), "")&lt;&gt;"", "✓", "✗"), "✗")
)</f>
        <v>✓</v>
      </c>
      <c r="H7" t="str" cm="1">
        <f t="array" aca="1" ref="H7" ca="1">IF(
    ISNUMBER(VALUE(LEFT($A7, 1))),
    "",
    IFERROR(IF(_xlfn.XLOOKUP($A7, INDIRECT("'" &amp; H$2 &amp; "'!$A:$A"), INDIRECT("'" &amp; H$2 &amp; "'!$B:$B"), "")&lt;&gt;"", "✓", "✗"), "✗")
)</f>
        <v>✓</v>
      </c>
      <c r="I7" t="str" cm="1">
        <f t="array" aca="1" ref="I7" ca="1">IF(
    ISNUMBER(VALUE(LEFT($A7, 1))),
    "",
    IFERROR(IF(_xlfn.XLOOKUP($A7, INDIRECT("'" &amp; I$2 &amp; "'!$A:$A"), INDIRECT("'" &amp; I$2 &amp; "'!$B:$B"), "")&lt;&gt;"", "✓", "✗"), "✗")
)</f>
        <v>✓</v>
      </c>
      <c r="J7" t="str" cm="1">
        <f t="array" aca="1" ref="J7" ca="1">IF(
    ISNUMBER(VALUE(LEFT($A7, 1))),
    "",
    IFERROR(IF(_xlfn.XLOOKUP($A7, INDIRECT("'" &amp; J$2 &amp; "'!$A:$A"), INDIRECT("'" &amp; J$2 &amp; "'!$B:$B"), "")&lt;&gt;"", "✓", "✗"), "✗")
)</f>
        <v>✓</v>
      </c>
      <c r="K7" t="str" cm="1">
        <f t="array" aca="1" ref="K7" ca="1">IF(
    ISNUMBER(VALUE(LEFT($A7, 1))),
    "",
    IFERROR(IF(_xlfn.XLOOKUP($A7, INDIRECT("'" &amp; K$2 &amp; "'!$A:$A"), INDIRECT("'" &amp; K$2 &amp; "'!$B:$B"), "")&lt;&gt;"", "✓", "✗"), "✗")
)</f>
        <v>✗</v>
      </c>
      <c r="L7" t="str" cm="1">
        <f t="array" aca="1" ref="L7" ca="1">IF(
    ISNUMBER(VALUE(LEFT($A7, 1))),
    "",
    IFERROR(IF(_xlfn.XLOOKUP($A7, INDIRECT("'" &amp; L$2 &amp; "'!$A:$A"), INDIRECT("'" &amp; L$2 &amp; "'!$B:$B"), "")&lt;&gt;"", "✓", "✗"), "✗")
)</f>
        <v>✗</v>
      </c>
      <c r="M7" t="str" cm="1">
        <f t="array" aca="1" ref="M7" ca="1">IF(
    ISNUMBER(VALUE(LEFT($A7, 1))),
    "",
    IFERROR(IF(_xlfn.XLOOKUP($A7, INDIRECT("'" &amp; M$2 &amp; "'!$A:$A"), INDIRECT("'" &amp; M$2 &amp; "'!$B:$B"), "")&lt;&gt;"", "✓", "✗"), "✗")
)</f>
        <v>✗</v>
      </c>
      <c r="N7" t="str" cm="1">
        <f t="array" aca="1" ref="N7" ca="1">IF(
    ISNUMBER(VALUE(LEFT($A7, 1))),
    "",
    IFERROR(IF(_xlfn.XLOOKUP($A7, INDIRECT("'" &amp; N$2 &amp; "'!$A:$A"), INDIRECT("'" &amp; N$2 &amp; "'!$B:$B"), "")&lt;&gt;"", "✓", "✗"), "✗")
)</f>
        <v>✗</v>
      </c>
      <c r="O7" t="str" cm="1">
        <f t="array" aca="1" ref="O7" ca="1">IF(
    ISNUMBER(VALUE(LEFT($A7, 1))),
    "",
    IFERROR(IF(_xlfn.XLOOKUP($A7, INDIRECT("'" &amp; O$2 &amp; "'!$A:$A"), INDIRECT("'" &amp; O$2 &amp; "'!$B:$B"), "")&lt;&gt;"", "✓", "✗"), "✗")
)</f>
        <v>✗</v>
      </c>
      <c r="P7" t="str" cm="1">
        <f t="array" aca="1" ref="P7" ca="1">IF(
    ISNUMBER(VALUE(LEFT($A7, 1))),
    "",
    IFERROR(IF(_xlfn.XLOOKUP($A7, INDIRECT("'" &amp; P$2 &amp; "'!$A:$A"), INDIRECT("'" &amp; P$2 &amp; "'!$B:$B"), "")&lt;&gt;"", "✓", "✗"), "✗")
)</f>
        <v>✗</v>
      </c>
      <c r="Q7" t="str" cm="1">
        <f t="array" aca="1" ref="Q7" ca="1">IF(
    ISNUMBER(VALUE(LEFT($A7, 1))),
    "",
    IFERROR(IF(_xlfn.XLOOKUP($A7, INDIRECT("'" &amp; Q$2 &amp; "'!$A:$A"), INDIRECT("'" &amp; Q$2 &amp; "'!$B:$B"), "")&lt;&gt;"", "✓", "✗"), "✗")
)</f>
        <v>✗</v>
      </c>
      <c r="R7" t="str" cm="1">
        <f t="array" aca="1" ref="R7" ca="1">IF(
    ISNUMBER(VALUE(LEFT($A7, 1))),
    "",
    IFERROR(IF(_xlfn.XLOOKUP($A7, INDIRECT("'" &amp; R$2 &amp; "'!$A:$A"), INDIRECT("'" &amp; R$2 &amp; "'!$B:$B"), "")&lt;&gt;"", "✓", "✗"), "✗")
)</f>
        <v>✗</v>
      </c>
      <c r="S7" t="str" cm="1">
        <f t="array" aca="1" ref="S7" ca="1">IF(
    ISNUMBER(VALUE(LEFT($A7, 1))),
    "",
    IFERROR(IF(_xlfn.XLOOKUP($A7, INDIRECT("'" &amp; S$2 &amp; "'!$A:$A"), INDIRECT("'" &amp; S$2 &amp; "'!$B:$B"), "")&lt;&gt;"", "✓", "✗"), "✗")
)</f>
        <v>✗</v>
      </c>
      <c r="T7" t="str" cm="1">
        <f t="array" aca="1" ref="T7" ca="1">IF(
    ISNUMBER(VALUE(LEFT($A7, 1))),
    "",
    IFERROR(IF(_xlfn.XLOOKUP($A7, INDIRECT("'" &amp; T$2 &amp; "'!$A:$A"), INDIRECT("'" &amp; T$2 &amp; "'!$B:$B"), "")&lt;&gt;"", "✓", "✗"), "✗")
)</f>
        <v>✗</v>
      </c>
      <c r="U7" t="str" cm="1">
        <f t="array" aca="1" ref="U7" ca="1">IF(
    ISNUMBER(VALUE(LEFT($A7, 1))),
    "",
    IFERROR(IF(_xlfn.XLOOKUP($A7, INDIRECT("'" &amp; U$2 &amp; "'!$A:$A"), INDIRECT("'" &amp; U$2 &amp; "'!$B:$B"), "")&lt;&gt;"", "✓", "✗"), "✗")
)</f>
        <v>✗</v>
      </c>
      <c r="V7" t="str" cm="1">
        <f t="array" aca="1" ref="V7" ca="1">IF(
    ISNUMBER(VALUE(LEFT($A7, 1))),
    "",
    IFERROR(IF(_xlfn.XLOOKUP($A7, INDIRECT("'" &amp; V$2 &amp; "'!$A:$A"), INDIRECT("'" &amp; V$2 &amp; "'!$B:$B"), "")&lt;&gt;"", "✓", "✗"), "✗")
)</f>
        <v>✗</v>
      </c>
      <c r="W7" t="str" cm="1">
        <f t="array" aca="1" ref="W7" ca="1">IF(
    ISNUMBER(VALUE(LEFT($A7, 1))),
    "",
    IFERROR(IF(_xlfn.XLOOKUP($A7, INDIRECT("'" &amp; W$2 &amp; "'!$A:$A"), INDIRECT("'" &amp; W$2 &amp; "'!$B:$B"), "")&lt;&gt;"", "✓", "✗"), "✗")
)</f>
        <v>✗</v>
      </c>
      <c r="X7" t="str" cm="1">
        <f t="array" aca="1" ref="X7" ca="1">IF(
    ISNUMBER(VALUE(LEFT($A7, 1))),
    "",
    IFERROR(IF(_xlfn.XLOOKUP($A7, INDIRECT("'" &amp; X$2 &amp; "'!$A:$A"), INDIRECT("'" &amp; X$2 &amp; "'!$B:$B"), "")&lt;&gt;"", "✓", "✗"), "✗")
)</f>
        <v>✗</v>
      </c>
      <c r="Y7" t="str" cm="1">
        <f t="array" aca="1" ref="Y7" ca="1">IF(
    ISNUMBER(VALUE(LEFT($A7, 1))),
    "",
    IFERROR(IF(_xlfn.XLOOKUP($A7, INDIRECT("'" &amp; Y$2 &amp; "'!$A:$A"), INDIRECT("'" &amp; Y$2 &amp; "'!$B:$B"), "")&lt;&gt;"", "✓", "✗"), "✗")
)</f>
        <v>✗</v>
      </c>
      <c r="Z7" t="str" cm="1">
        <f t="array" aca="1" ref="Z7" ca="1">IF(
    ISNUMBER(VALUE(LEFT($A7, 1))),
    "",
    IFERROR(IF(_xlfn.XLOOKUP($A7, INDIRECT("'" &amp; Z$2 &amp; "'!$A:$A"), INDIRECT("'" &amp; Z$2 &amp; "'!$B:$B"), "")&lt;&gt;"", "✓", "✗"), "✗")
)</f>
        <v>✗</v>
      </c>
      <c r="AA7" t="str" cm="1">
        <f t="array" aca="1" ref="AA7" ca="1">IF(
    ISNUMBER(VALUE(LEFT($A7, 1))),
    "",
    IFERROR(IF(_xlfn.XLOOKUP($A7, INDIRECT("'" &amp; AA$2 &amp; "'!$A:$A"), INDIRECT("'" &amp; AA$2 &amp; "'!$B:$B"), "")&lt;&gt;"", "✓", "✗"), "✗")
)</f>
        <v>✓</v>
      </c>
      <c r="AB7" t="str" cm="1">
        <f t="array" aca="1" ref="AB7" ca="1">IF(
    ISNUMBER(VALUE(LEFT($A7, 1))),
    "",
    IFERROR(IF(_xlfn.XLOOKUP($A7, INDIRECT("'" &amp; AB$2 &amp; "'!$A:$A"), INDIRECT("'" &amp; AB$2 &amp; "'!$B:$B"), "")&lt;&gt;"", "✓", "✗"), "✗")
)</f>
        <v>✓</v>
      </c>
      <c r="AC7" t="str" cm="1">
        <f t="array" aca="1" ref="AC7" ca="1">IF(
    ISNUMBER(VALUE(LEFT($A7, 1))),
    "",
    IFERROR(IF(_xlfn.XLOOKUP($A7, INDIRECT("'" &amp; AC$2 &amp; "'!$A:$A"), INDIRECT("'" &amp; AC$2 &amp; "'!$B:$B"), "")&lt;&gt;"", "✓", "✗"), "✗")
)</f>
        <v>✗</v>
      </c>
      <c r="AD7" t="str" cm="1">
        <f t="array" aca="1" ref="AD7" ca="1">IF(
    ISNUMBER(VALUE(LEFT($A7, 1))),
    "",
    IFERROR(IF(_xlfn.XLOOKUP($A7, INDIRECT("'" &amp; AD$2 &amp; "'!$A:$A"), INDIRECT("'" &amp; AD$2 &amp; "'!$B:$B"), "")&lt;&gt;"", "✓", "✗"), "✗")
)</f>
        <v>✗</v>
      </c>
      <c r="AE7" t="str" cm="1">
        <f t="array" aca="1" ref="AE7" ca="1">IF(
    ISNUMBER(VALUE(LEFT($A7, 1))),
    "",
    IFERROR(IF(_xlfn.XLOOKUP($A7, INDIRECT("'" &amp; AE$2 &amp; "'!$A:$A"), INDIRECT("'" &amp; AE$2 &amp; "'!$B:$B"), "")&lt;&gt;"", "✓", "✗"), "✗")
)</f>
        <v>✓</v>
      </c>
      <c r="AF7" t="str" cm="1">
        <f t="array" aca="1" ref="AF7" ca="1">IF(
    ISNUMBER(VALUE(LEFT($A7, 1))),
    "",
    IFERROR(IF(_xlfn.XLOOKUP($A7, INDIRECT("'" &amp; AF$2 &amp; "'!$A:$A"), INDIRECT("'" &amp; AF$2 &amp; "'!$B:$B"), "")&lt;&gt;"", "✓", "✗"), "✗")
)</f>
        <v>✓</v>
      </c>
      <c r="AG7" t="str" cm="1">
        <f t="array" aca="1" ref="AG7" ca="1">IF(
    ISNUMBER(VALUE(LEFT($A7, 1))),
    "",
    IFERROR(IF(_xlfn.XLOOKUP($A7, INDIRECT("'" &amp; AG$2 &amp; "'!$A:$A"), INDIRECT("'" &amp; AG$2 &amp; "'!$B:$B"), "")&lt;&gt;"", "✓", "✗"), "✗")
)</f>
        <v>✓</v>
      </c>
    </row>
    <row r="8" spans="1:33" x14ac:dyDescent="0.45">
      <c r="A8" t="str">
        <v>2 - Contact Identity</v>
      </c>
      <c r="B8" t="str" cm="1">
        <f t="array" aca="1" ref="B8" ca="1">IF(
    ISNUMBER(VALUE(LEFT($A8, 1))),
    "",
    IFERROR(IF(_xlfn.XLOOKUP($A8, INDIRECT("'" &amp; B$2 &amp; "'!$A:$A"), INDIRECT("'" &amp; B$2 &amp; "'!$B:$B"), "")&lt;&gt;"", "✓", "✗"), "✗")
)</f>
        <v/>
      </c>
      <c r="C8" t="str" cm="1">
        <f t="array" aca="1" ref="C8" ca="1">IF(
    ISNUMBER(VALUE(LEFT($A8, 1))),
    "",
    IFERROR(IF(_xlfn.XLOOKUP($A8, INDIRECT("'" &amp; C$2 &amp; "'!$A:$A"), INDIRECT("'" &amp; C$2 &amp; "'!$B:$B"), "")&lt;&gt;"", "✓", "✗"), "✗")
)</f>
        <v/>
      </c>
      <c r="D8" t="str" cm="1">
        <f t="array" aca="1" ref="D8" ca="1">IF(
    ISNUMBER(VALUE(LEFT($A8, 1))),
    "",
    IFERROR(IF(_xlfn.XLOOKUP($A8, INDIRECT("'" &amp; D$2 &amp; "'!$A:$A"), INDIRECT("'" &amp; D$2 &amp; "'!$B:$B"), "")&lt;&gt;"", "✓", "✗"), "✗")
)</f>
        <v/>
      </c>
      <c r="E8" t="str" cm="1">
        <f t="array" aca="1" ref="E8" ca="1">IF(
    ISNUMBER(VALUE(LEFT($A8, 1))),
    "",
    IFERROR(IF(_xlfn.XLOOKUP($A8, INDIRECT("'" &amp; E$2 &amp; "'!$A:$A"), INDIRECT("'" &amp; E$2 &amp; "'!$B:$B"), "")&lt;&gt;"", "✓", "✗"), "✗")
)</f>
        <v/>
      </c>
      <c r="F8" t="str" cm="1">
        <f t="array" aca="1" ref="F8" ca="1">IF(
    ISNUMBER(VALUE(LEFT($A8, 1))),
    "",
    IFERROR(IF(_xlfn.XLOOKUP($A8, INDIRECT("'" &amp; F$2 &amp; "'!$A:$A"), INDIRECT("'" &amp; F$2 &amp; "'!$B:$B"), "")&lt;&gt;"", "✓", "✗"), "✗")
)</f>
        <v/>
      </c>
      <c r="G8" t="str" cm="1">
        <f t="array" aca="1" ref="G8" ca="1">IF(
    ISNUMBER(VALUE(LEFT($A8, 1))),
    "",
    IFERROR(IF(_xlfn.XLOOKUP($A8, INDIRECT("'" &amp; G$2 &amp; "'!$A:$A"), INDIRECT("'" &amp; G$2 &amp; "'!$B:$B"), "")&lt;&gt;"", "✓", "✗"), "✗")
)</f>
        <v/>
      </c>
      <c r="H8" t="str" cm="1">
        <f t="array" aca="1" ref="H8" ca="1">IF(
    ISNUMBER(VALUE(LEFT($A8, 1))),
    "",
    IFERROR(IF(_xlfn.XLOOKUP($A8, INDIRECT("'" &amp; H$2 &amp; "'!$A:$A"), INDIRECT("'" &amp; H$2 &amp; "'!$B:$B"), "")&lt;&gt;"", "✓", "✗"), "✗")
)</f>
        <v/>
      </c>
      <c r="I8" t="str" cm="1">
        <f t="array" aca="1" ref="I8" ca="1">IF(
    ISNUMBER(VALUE(LEFT($A8, 1))),
    "",
    IFERROR(IF(_xlfn.XLOOKUP($A8, INDIRECT("'" &amp; I$2 &amp; "'!$A:$A"), INDIRECT("'" &amp; I$2 &amp; "'!$B:$B"), "")&lt;&gt;"", "✓", "✗"), "✗")
)</f>
        <v/>
      </c>
      <c r="J8" t="str" cm="1">
        <f t="array" aca="1" ref="J8" ca="1">IF(
    ISNUMBER(VALUE(LEFT($A8, 1))),
    "",
    IFERROR(IF(_xlfn.XLOOKUP($A8, INDIRECT("'" &amp; J$2 &amp; "'!$A:$A"), INDIRECT("'" &amp; J$2 &amp; "'!$B:$B"), "")&lt;&gt;"", "✓", "✗"), "✗")
)</f>
        <v/>
      </c>
      <c r="K8" t="str" cm="1">
        <f t="array" aca="1" ref="K8" ca="1">IF(
    ISNUMBER(VALUE(LEFT($A8, 1))),
    "",
    IFERROR(IF(_xlfn.XLOOKUP($A8, INDIRECT("'" &amp; K$2 &amp; "'!$A:$A"), INDIRECT("'" &amp; K$2 &amp; "'!$B:$B"), "")&lt;&gt;"", "✓", "✗"), "✗")
)</f>
        <v/>
      </c>
      <c r="L8" t="str" cm="1">
        <f t="array" aca="1" ref="L8" ca="1">IF(
    ISNUMBER(VALUE(LEFT($A8, 1))),
    "",
    IFERROR(IF(_xlfn.XLOOKUP($A8, INDIRECT("'" &amp; L$2 &amp; "'!$A:$A"), INDIRECT("'" &amp; L$2 &amp; "'!$B:$B"), "")&lt;&gt;"", "✓", "✗"), "✗")
)</f>
        <v/>
      </c>
      <c r="M8" t="str" cm="1">
        <f t="array" aca="1" ref="M8" ca="1">IF(
    ISNUMBER(VALUE(LEFT($A8, 1))),
    "",
    IFERROR(IF(_xlfn.XLOOKUP($A8, INDIRECT("'" &amp; M$2 &amp; "'!$A:$A"), INDIRECT("'" &amp; M$2 &amp; "'!$B:$B"), "")&lt;&gt;"", "✓", "✗"), "✗")
)</f>
        <v/>
      </c>
      <c r="N8" t="str" cm="1">
        <f t="array" aca="1" ref="N8" ca="1">IF(
    ISNUMBER(VALUE(LEFT($A8, 1))),
    "",
    IFERROR(IF(_xlfn.XLOOKUP($A8, INDIRECT("'" &amp; N$2 &amp; "'!$A:$A"), INDIRECT("'" &amp; N$2 &amp; "'!$B:$B"), "")&lt;&gt;"", "✓", "✗"), "✗")
)</f>
        <v/>
      </c>
      <c r="O8" t="str" cm="1">
        <f t="array" aca="1" ref="O8" ca="1">IF(
    ISNUMBER(VALUE(LEFT($A8, 1))),
    "",
    IFERROR(IF(_xlfn.XLOOKUP($A8, INDIRECT("'" &amp; O$2 &amp; "'!$A:$A"), INDIRECT("'" &amp; O$2 &amp; "'!$B:$B"), "")&lt;&gt;"", "✓", "✗"), "✗")
)</f>
        <v/>
      </c>
      <c r="P8" t="str" cm="1">
        <f t="array" aca="1" ref="P8" ca="1">IF(
    ISNUMBER(VALUE(LEFT($A8, 1))),
    "",
    IFERROR(IF(_xlfn.XLOOKUP($A8, INDIRECT("'" &amp; P$2 &amp; "'!$A:$A"), INDIRECT("'" &amp; P$2 &amp; "'!$B:$B"), "")&lt;&gt;"", "✓", "✗"), "✗")
)</f>
        <v/>
      </c>
      <c r="Q8" t="str" cm="1">
        <f t="array" aca="1" ref="Q8" ca="1">IF(
    ISNUMBER(VALUE(LEFT($A8, 1))),
    "",
    IFERROR(IF(_xlfn.XLOOKUP($A8, INDIRECT("'" &amp; Q$2 &amp; "'!$A:$A"), INDIRECT("'" &amp; Q$2 &amp; "'!$B:$B"), "")&lt;&gt;"", "✓", "✗"), "✗")
)</f>
        <v/>
      </c>
      <c r="R8" t="str" cm="1">
        <f t="array" aca="1" ref="R8" ca="1">IF(
    ISNUMBER(VALUE(LEFT($A8, 1))),
    "",
    IFERROR(IF(_xlfn.XLOOKUP($A8, INDIRECT("'" &amp; R$2 &amp; "'!$A:$A"), INDIRECT("'" &amp; R$2 &amp; "'!$B:$B"), "")&lt;&gt;"", "✓", "✗"), "✗")
)</f>
        <v/>
      </c>
      <c r="S8" t="str" cm="1">
        <f t="array" aca="1" ref="S8" ca="1">IF(
    ISNUMBER(VALUE(LEFT($A8, 1))),
    "",
    IFERROR(IF(_xlfn.XLOOKUP($A8, INDIRECT("'" &amp; S$2 &amp; "'!$A:$A"), INDIRECT("'" &amp; S$2 &amp; "'!$B:$B"), "")&lt;&gt;"", "✓", "✗"), "✗")
)</f>
        <v/>
      </c>
      <c r="T8" t="str" cm="1">
        <f t="array" aca="1" ref="T8" ca="1">IF(
    ISNUMBER(VALUE(LEFT($A8, 1))),
    "",
    IFERROR(IF(_xlfn.XLOOKUP($A8, INDIRECT("'" &amp; T$2 &amp; "'!$A:$A"), INDIRECT("'" &amp; T$2 &amp; "'!$B:$B"), "")&lt;&gt;"", "✓", "✗"), "✗")
)</f>
        <v/>
      </c>
      <c r="U8" t="str" cm="1">
        <f t="array" aca="1" ref="U8" ca="1">IF(
    ISNUMBER(VALUE(LEFT($A8, 1))),
    "",
    IFERROR(IF(_xlfn.XLOOKUP($A8, INDIRECT("'" &amp; U$2 &amp; "'!$A:$A"), INDIRECT("'" &amp; U$2 &amp; "'!$B:$B"), "")&lt;&gt;"", "✓", "✗"), "✗")
)</f>
        <v/>
      </c>
      <c r="V8" t="str" cm="1">
        <f t="array" aca="1" ref="V8" ca="1">IF(
    ISNUMBER(VALUE(LEFT($A8, 1))),
    "",
    IFERROR(IF(_xlfn.XLOOKUP($A8, INDIRECT("'" &amp; V$2 &amp; "'!$A:$A"), INDIRECT("'" &amp; V$2 &amp; "'!$B:$B"), "")&lt;&gt;"", "✓", "✗"), "✗")
)</f>
        <v/>
      </c>
      <c r="W8" t="str" cm="1">
        <f t="array" aca="1" ref="W8" ca="1">IF(
    ISNUMBER(VALUE(LEFT($A8, 1))),
    "",
    IFERROR(IF(_xlfn.XLOOKUP($A8, INDIRECT("'" &amp; W$2 &amp; "'!$A:$A"), INDIRECT("'" &amp; W$2 &amp; "'!$B:$B"), "")&lt;&gt;"", "✓", "✗"), "✗")
)</f>
        <v/>
      </c>
      <c r="X8" t="str" cm="1">
        <f t="array" aca="1" ref="X8" ca="1">IF(
    ISNUMBER(VALUE(LEFT($A8, 1))),
    "",
    IFERROR(IF(_xlfn.XLOOKUP($A8, INDIRECT("'" &amp; X$2 &amp; "'!$A:$A"), INDIRECT("'" &amp; X$2 &amp; "'!$B:$B"), "")&lt;&gt;"", "✓", "✗"), "✗")
)</f>
        <v/>
      </c>
      <c r="Y8" t="str" cm="1">
        <f t="array" aca="1" ref="Y8" ca="1">IF(
    ISNUMBER(VALUE(LEFT($A8, 1))),
    "",
    IFERROR(IF(_xlfn.XLOOKUP($A8, INDIRECT("'" &amp; Y$2 &amp; "'!$A:$A"), INDIRECT("'" &amp; Y$2 &amp; "'!$B:$B"), "")&lt;&gt;"", "✓", "✗"), "✗")
)</f>
        <v/>
      </c>
      <c r="Z8" t="str" cm="1">
        <f t="array" aca="1" ref="Z8" ca="1">IF(
    ISNUMBER(VALUE(LEFT($A8, 1))),
    "",
    IFERROR(IF(_xlfn.XLOOKUP($A8, INDIRECT("'" &amp; Z$2 &amp; "'!$A:$A"), INDIRECT("'" &amp; Z$2 &amp; "'!$B:$B"), "")&lt;&gt;"", "✓", "✗"), "✗")
)</f>
        <v/>
      </c>
      <c r="AA8" t="str" cm="1">
        <f t="array" aca="1" ref="AA8" ca="1">IF(
    ISNUMBER(VALUE(LEFT($A8, 1))),
    "",
    IFERROR(IF(_xlfn.XLOOKUP($A8, INDIRECT("'" &amp; AA$2 &amp; "'!$A:$A"), INDIRECT("'" &amp; AA$2 &amp; "'!$B:$B"), "")&lt;&gt;"", "✓", "✗"), "✗")
)</f>
        <v/>
      </c>
      <c r="AB8" t="str" cm="1">
        <f t="array" aca="1" ref="AB8" ca="1">IF(
    ISNUMBER(VALUE(LEFT($A8, 1))),
    "",
    IFERROR(IF(_xlfn.XLOOKUP($A8, INDIRECT("'" &amp; AB$2 &amp; "'!$A:$A"), INDIRECT("'" &amp; AB$2 &amp; "'!$B:$B"), "")&lt;&gt;"", "✓", "✗"), "✗")
)</f>
        <v/>
      </c>
      <c r="AC8" t="str" cm="1">
        <f t="array" aca="1" ref="AC8" ca="1">IF(
    ISNUMBER(VALUE(LEFT($A8, 1))),
    "",
    IFERROR(IF(_xlfn.XLOOKUP($A8, INDIRECT("'" &amp; AC$2 &amp; "'!$A:$A"), INDIRECT("'" &amp; AC$2 &amp; "'!$B:$B"), "")&lt;&gt;"", "✓", "✗"), "✗")
)</f>
        <v/>
      </c>
      <c r="AD8" t="str" cm="1">
        <f t="array" aca="1" ref="AD8" ca="1">IF(
    ISNUMBER(VALUE(LEFT($A8, 1))),
    "",
    IFERROR(IF(_xlfn.XLOOKUP($A8, INDIRECT("'" &amp; AD$2 &amp; "'!$A:$A"), INDIRECT("'" &amp; AD$2 &amp; "'!$B:$B"), "")&lt;&gt;"", "✓", "✗"), "✗")
)</f>
        <v/>
      </c>
      <c r="AE8" t="str" cm="1">
        <f t="array" aca="1" ref="AE8" ca="1">IF(
    ISNUMBER(VALUE(LEFT($A8, 1))),
    "",
    IFERROR(IF(_xlfn.XLOOKUP($A8, INDIRECT("'" &amp; AE$2 &amp; "'!$A:$A"), INDIRECT("'" &amp; AE$2 &amp; "'!$B:$B"), "")&lt;&gt;"", "✓", "✗"), "✗")
)</f>
        <v/>
      </c>
      <c r="AF8" t="str" cm="1">
        <f t="array" aca="1" ref="AF8" ca="1">IF(
    ISNUMBER(VALUE(LEFT($A8, 1))),
    "",
    IFERROR(IF(_xlfn.XLOOKUP($A8, INDIRECT("'" &amp; AF$2 &amp; "'!$A:$A"), INDIRECT("'" &amp; AF$2 &amp; "'!$B:$B"), "")&lt;&gt;"", "✓", "✗"), "✗")
)</f>
        <v/>
      </c>
      <c r="AG8" t="str" cm="1">
        <f t="array" aca="1" ref="AG8" ca="1">IF(
    ISNUMBER(VALUE(LEFT($A8, 1))),
    "",
    IFERROR(IF(_xlfn.XLOOKUP($A8, INDIRECT("'" &amp; AG$2 &amp; "'!$A:$A"), INDIRECT("'" &amp; AG$2 &amp; "'!$B:$B"), "")&lt;&gt;"", "✓", "✗"), "✗")
)</f>
        <v/>
      </c>
    </row>
    <row r="9" spans="1:33" x14ac:dyDescent="0.45">
      <c r="A9" t="str">
        <v>Person Party ID</v>
      </c>
      <c r="B9" t="str" cm="1">
        <f t="array" aca="1" ref="B9" ca="1">IF(
    ISNUMBER(VALUE(LEFT($A9, 1))),
    "",
    IFERROR(IF(_xlfn.XLOOKUP($A9, INDIRECT("'" &amp; B$2 &amp; "'!$A:$A"), INDIRECT("'" &amp; B$2 &amp; "'!$B:$B"), "")&lt;&gt;"", "✓", "✗"), "✗")
)</f>
        <v>✓</v>
      </c>
      <c r="C9" t="str" cm="1">
        <f t="array" aca="1" ref="C9" ca="1">IF(
    ISNUMBER(VALUE(LEFT($A9, 1))),
    "",
    IFERROR(IF(_xlfn.XLOOKUP($A9, INDIRECT("'" &amp; C$2 &amp; "'!$A:$A"), INDIRECT("'" &amp; C$2 &amp; "'!$B:$B"), "")&lt;&gt;"", "✓", "✗"), "✗")
)</f>
        <v>✓</v>
      </c>
      <c r="D9" t="str" cm="1">
        <f t="array" aca="1" ref="D9" ca="1">IF(
    ISNUMBER(VALUE(LEFT($A9, 1))),
    "",
    IFERROR(IF(_xlfn.XLOOKUP($A9, INDIRECT("'" &amp; D$2 &amp; "'!$A:$A"), INDIRECT("'" &amp; D$2 &amp; "'!$B:$B"), "")&lt;&gt;"", "✓", "✗"), "✗")
)</f>
        <v>✓</v>
      </c>
      <c r="E9" t="str" cm="1">
        <f t="array" aca="1" ref="E9" ca="1">IF(
    ISNUMBER(VALUE(LEFT($A9, 1))),
    "",
    IFERROR(IF(_xlfn.XLOOKUP($A9, INDIRECT("'" &amp; E$2 &amp; "'!$A:$A"), INDIRECT("'" &amp; E$2 &amp; "'!$B:$B"), "")&lt;&gt;"", "✓", "✗"), "✗")
)</f>
        <v>✓</v>
      </c>
      <c r="F9" t="str" cm="1">
        <f t="array" aca="1" ref="F9" ca="1">IF(
    ISNUMBER(VALUE(LEFT($A9, 1))),
    "",
    IFERROR(IF(_xlfn.XLOOKUP($A9, INDIRECT("'" &amp; F$2 &amp; "'!$A:$A"), INDIRECT("'" &amp; F$2 &amp; "'!$B:$B"), "")&lt;&gt;"", "✓", "✗"), "✗")
)</f>
        <v>✓</v>
      </c>
      <c r="G9" t="str" cm="1">
        <f t="array" aca="1" ref="G9" ca="1">IF(
    ISNUMBER(VALUE(LEFT($A9, 1))),
    "",
    IFERROR(IF(_xlfn.XLOOKUP($A9, INDIRECT("'" &amp; G$2 &amp; "'!$A:$A"), INDIRECT("'" &amp; G$2 &amp; "'!$B:$B"), "")&lt;&gt;"", "✓", "✗"), "✗")
)</f>
        <v>✓</v>
      </c>
      <c r="H9" t="str" cm="1">
        <f t="array" aca="1" ref="H9" ca="1">IF(
    ISNUMBER(VALUE(LEFT($A9, 1))),
    "",
    IFERROR(IF(_xlfn.XLOOKUP($A9, INDIRECT("'" &amp; H$2 &amp; "'!$A:$A"), INDIRECT("'" &amp; H$2 &amp; "'!$B:$B"), "")&lt;&gt;"", "✓", "✗"), "✗")
)</f>
        <v>✓</v>
      </c>
      <c r="I9" t="str" cm="1">
        <f t="array" aca="1" ref="I9" ca="1">IF(
    ISNUMBER(VALUE(LEFT($A9, 1))),
    "",
    IFERROR(IF(_xlfn.XLOOKUP($A9, INDIRECT("'" &amp; I$2 &amp; "'!$A:$A"), INDIRECT("'" &amp; I$2 &amp; "'!$B:$B"), "")&lt;&gt;"", "✓", "✗"), "✗")
)</f>
        <v>✓</v>
      </c>
      <c r="J9" t="str" cm="1">
        <f t="array" aca="1" ref="J9" ca="1">IF(
    ISNUMBER(VALUE(LEFT($A9, 1))),
    "",
    IFERROR(IF(_xlfn.XLOOKUP($A9, INDIRECT("'" &amp; J$2 &amp; "'!$A:$A"), INDIRECT("'" &amp; J$2 &amp; "'!$B:$B"), "")&lt;&gt;"", "✓", "✗"), "✗")
)</f>
        <v>✓</v>
      </c>
      <c r="K9" t="str" cm="1">
        <f t="array" aca="1" ref="K9" ca="1">IF(
    ISNUMBER(VALUE(LEFT($A9, 1))),
    "",
    IFERROR(IF(_xlfn.XLOOKUP($A9, INDIRECT("'" &amp; K$2 &amp; "'!$A:$A"), INDIRECT("'" &amp; K$2 &amp; "'!$B:$B"), "")&lt;&gt;"", "✓", "✗"), "✗")
)</f>
        <v>✓</v>
      </c>
      <c r="L9" t="str" cm="1">
        <f t="array" aca="1" ref="L9" ca="1">IF(
    ISNUMBER(VALUE(LEFT($A9, 1))),
    "",
    IFERROR(IF(_xlfn.XLOOKUP($A9, INDIRECT("'" &amp; L$2 &amp; "'!$A:$A"), INDIRECT("'" &amp; L$2 &amp; "'!$B:$B"), "")&lt;&gt;"", "✓", "✗"), "✗")
)</f>
        <v>✓</v>
      </c>
      <c r="M9" t="str" cm="1">
        <f t="array" aca="1" ref="M9" ca="1">IF(
    ISNUMBER(VALUE(LEFT($A9, 1))),
    "",
    IFERROR(IF(_xlfn.XLOOKUP($A9, INDIRECT("'" &amp; M$2 &amp; "'!$A:$A"), INDIRECT("'" &amp; M$2 &amp; "'!$B:$B"), "")&lt;&gt;"", "✓", "✗"), "✗")
)</f>
        <v>✓</v>
      </c>
      <c r="N9" t="str" cm="1">
        <f t="array" aca="1" ref="N9" ca="1">IF(
    ISNUMBER(VALUE(LEFT($A9, 1))),
    "",
    IFERROR(IF(_xlfn.XLOOKUP($A9, INDIRECT("'" &amp; N$2 &amp; "'!$A:$A"), INDIRECT("'" &amp; N$2 &amp; "'!$B:$B"), "")&lt;&gt;"", "✓", "✗"), "✗")
)</f>
        <v>✓</v>
      </c>
      <c r="O9" t="str" cm="1">
        <f t="array" aca="1" ref="O9" ca="1">IF(
    ISNUMBER(VALUE(LEFT($A9, 1))),
    "",
    IFERROR(IF(_xlfn.XLOOKUP($A9, INDIRECT("'" &amp; O$2 &amp; "'!$A:$A"), INDIRECT("'" &amp; O$2 &amp; "'!$B:$B"), "")&lt;&gt;"", "✓", "✗"), "✗")
)</f>
        <v>✓</v>
      </c>
      <c r="P9" t="str" cm="1">
        <f t="array" aca="1" ref="P9" ca="1">IF(
    ISNUMBER(VALUE(LEFT($A9, 1))),
    "",
    IFERROR(IF(_xlfn.XLOOKUP($A9, INDIRECT("'" &amp; P$2 &amp; "'!$A:$A"), INDIRECT("'" &amp; P$2 &amp; "'!$B:$B"), "")&lt;&gt;"", "✓", "✗"), "✗")
)</f>
        <v>✓</v>
      </c>
      <c r="Q9" t="str" cm="1">
        <f t="array" aca="1" ref="Q9" ca="1">IF(
    ISNUMBER(VALUE(LEFT($A9, 1))),
    "",
    IFERROR(IF(_xlfn.XLOOKUP($A9, INDIRECT("'" &amp; Q$2 &amp; "'!$A:$A"), INDIRECT("'" &amp; Q$2 &amp; "'!$B:$B"), "")&lt;&gt;"", "✓", "✗"), "✗")
)</f>
        <v>✓</v>
      </c>
      <c r="R9" t="str" cm="1">
        <f t="array" aca="1" ref="R9" ca="1">IF(
    ISNUMBER(VALUE(LEFT($A9, 1))),
    "",
    IFERROR(IF(_xlfn.XLOOKUP($A9, INDIRECT("'" &amp; R$2 &amp; "'!$A:$A"), INDIRECT("'" &amp; R$2 &amp; "'!$B:$B"), "")&lt;&gt;"", "✓", "✗"), "✗")
)</f>
        <v>✓</v>
      </c>
      <c r="S9" t="str" cm="1">
        <f t="array" aca="1" ref="S9" ca="1">IF(
    ISNUMBER(VALUE(LEFT($A9, 1))),
    "",
    IFERROR(IF(_xlfn.XLOOKUP($A9, INDIRECT("'" &amp; S$2 &amp; "'!$A:$A"), INDIRECT("'" &amp; S$2 &amp; "'!$B:$B"), "")&lt;&gt;"", "✓", "✗"), "✗")
)</f>
        <v>✓</v>
      </c>
      <c r="T9" t="str" cm="1">
        <f t="array" aca="1" ref="T9" ca="1">IF(
    ISNUMBER(VALUE(LEFT($A9, 1))),
    "",
    IFERROR(IF(_xlfn.XLOOKUP($A9, INDIRECT("'" &amp; T$2 &amp; "'!$A:$A"), INDIRECT("'" &amp; T$2 &amp; "'!$B:$B"), "")&lt;&gt;"", "✓", "✗"), "✗")
)</f>
        <v>✓</v>
      </c>
      <c r="U9" t="str" cm="1">
        <f t="array" aca="1" ref="U9" ca="1">IF(
    ISNUMBER(VALUE(LEFT($A9, 1))),
    "",
    IFERROR(IF(_xlfn.XLOOKUP($A9, INDIRECT("'" &amp; U$2 &amp; "'!$A:$A"), INDIRECT("'" &amp; U$2 &amp; "'!$B:$B"), "")&lt;&gt;"", "✓", "✗"), "✗")
)</f>
        <v>✓</v>
      </c>
      <c r="V9" t="str" cm="1">
        <f t="array" aca="1" ref="V9" ca="1">IF(
    ISNUMBER(VALUE(LEFT($A9, 1))),
    "",
    IFERROR(IF(_xlfn.XLOOKUP($A9, INDIRECT("'" &amp; V$2 &amp; "'!$A:$A"), INDIRECT("'" &amp; V$2 &amp; "'!$B:$B"), "")&lt;&gt;"", "✓", "✗"), "✗")
)</f>
        <v>✓</v>
      </c>
      <c r="W9" t="str" cm="1">
        <f t="array" aca="1" ref="W9" ca="1">IF(
    ISNUMBER(VALUE(LEFT($A9, 1))),
    "",
    IFERROR(IF(_xlfn.XLOOKUP($A9, INDIRECT("'" &amp; W$2 &amp; "'!$A:$A"), INDIRECT("'" &amp; W$2 &amp; "'!$B:$B"), "")&lt;&gt;"", "✓", "✗"), "✗")
)</f>
        <v>✓</v>
      </c>
      <c r="X9" t="str" cm="1">
        <f t="array" aca="1" ref="X9" ca="1">IF(
    ISNUMBER(VALUE(LEFT($A9, 1))),
    "",
    IFERROR(IF(_xlfn.XLOOKUP($A9, INDIRECT("'" &amp; X$2 &amp; "'!$A:$A"), INDIRECT("'" &amp; X$2 &amp; "'!$B:$B"), "")&lt;&gt;"", "✓", "✗"), "✗")
)</f>
        <v>✓</v>
      </c>
      <c r="Y9" t="str" cm="1">
        <f t="array" aca="1" ref="Y9" ca="1">IF(
    ISNUMBER(VALUE(LEFT($A9, 1))),
    "",
    IFERROR(IF(_xlfn.XLOOKUP($A9, INDIRECT("'" &amp; Y$2 &amp; "'!$A:$A"), INDIRECT("'" &amp; Y$2 &amp; "'!$B:$B"), "")&lt;&gt;"", "✓", "✗"), "✗")
)</f>
        <v>✓</v>
      </c>
      <c r="Z9" t="str" cm="1">
        <f t="array" aca="1" ref="Z9" ca="1">IF(
    ISNUMBER(VALUE(LEFT($A9, 1))),
    "",
    IFERROR(IF(_xlfn.XLOOKUP($A9, INDIRECT("'" &amp; Z$2 &amp; "'!$A:$A"), INDIRECT("'" &amp; Z$2 &amp; "'!$B:$B"), "")&lt;&gt;"", "✓", "✗"), "✗")
)</f>
        <v>✓</v>
      </c>
      <c r="AA9" t="str" cm="1">
        <f t="array" aca="1" ref="AA9" ca="1">IF(
    ISNUMBER(VALUE(LEFT($A9, 1))),
    "",
    IFERROR(IF(_xlfn.XLOOKUP($A9, INDIRECT("'" &amp; AA$2 &amp; "'!$A:$A"), INDIRECT("'" &amp; AA$2 &amp; "'!$B:$B"), "")&lt;&gt;"", "✓", "✗"), "✗")
)</f>
        <v>✓</v>
      </c>
      <c r="AB9" t="str" cm="1">
        <f t="array" aca="1" ref="AB9" ca="1">IF(
    ISNUMBER(VALUE(LEFT($A9, 1))),
    "",
    IFERROR(IF(_xlfn.XLOOKUP($A9, INDIRECT("'" &amp; AB$2 &amp; "'!$A:$A"), INDIRECT("'" &amp; AB$2 &amp; "'!$B:$B"), "")&lt;&gt;"", "✓", "✗"), "✗")
)</f>
        <v>✓</v>
      </c>
      <c r="AC9" t="str" cm="1">
        <f t="array" aca="1" ref="AC9" ca="1">IF(
    ISNUMBER(VALUE(LEFT($A9, 1))),
    "",
    IFERROR(IF(_xlfn.XLOOKUP($A9, INDIRECT("'" &amp; AC$2 &amp; "'!$A:$A"), INDIRECT("'" &amp; AC$2 &amp; "'!$B:$B"), "")&lt;&gt;"", "✓", "✗"), "✗")
)</f>
        <v>✗</v>
      </c>
      <c r="AD9" t="str" cm="1">
        <f t="array" aca="1" ref="AD9" ca="1">IF(
    ISNUMBER(VALUE(LEFT($A9, 1))),
    "",
    IFERROR(IF(_xlfn.XLOOKUP($A9, INDIRECT("'" &amp; AD$2 &amp; "'!$A:$A"), INDIRECT("'" &amp; AD$2 &amp; "'!$B:$B"), "")&lt;&gt;"", "✓", "✗"), "✗")
)</f>
        <v>✗</v>
      </c>
      <c r="AE9" t="str" cm="1">
        <f t="array" aca="1" ref="AE9" ca="1">IF(
    ISNUMBER(VALUE(LEFT($A9, 1))),
    "",
    IFERROR(IF(_xlfn.XLOOKUP($A9, INDIRECT("'" &amp; AE$2 &amp; "'!$A:$A"), INDIRECT("'" &amp; AE$2 &amp; "'!$B:$B"), "")&lt;&gt;"", "✓", "✗"), "✗")
)</f>
        <v>✓</v>
      </c>
      <c r="AF9" t="str" cm="1">
        <f t="array" aca="1" ref="AF9" ca="1">IF(
    ISNUMBER(VALUE(LEFT($A9, 1))),
    "",
    IFERROR(IF(_xlfn.XLOOKUP($A9, INDIRECT("'" &amp; AF$2 &amp; "'!$A:$A"), INDIRECT("'" &amp; AF$2 &amp; "'!$B:$B"), "")&lt;&gt;"", "✓", "✗"), "✗")
)</f>
        <v>✓</v>
      </c>
      <c r="AG9" t="str" cm="1">
        <f t="array" aca="1" ref="AG9" ca="1">IF(
    ISNUMBER(VALUE(LEFT($A9, 1))),
    "",
    IFERROR(IF(_xlfn.XLOOKUP($A9, INDIRECT("'" &amp; AG$2 &amp; "'!$A:$A"), INDIRECT("'" &amp; AG$2 &amp; "'!$B:$B"), "")&lt;&gt;"", "✓", "✗"), "✗")
)</f>
        <v>✓</v>
      </c>
    </row>
    <row r="10" spans="1:33" x14ac:dyDescent="0.45">
      <c r="A10" t="str">
        <v>UUID</v>
      </c>
      <c r="B10" t="str" cm="1">
        <f t="array" aca="1" ref="B10" ca="1">IF(
    ISNUMBER(VALUE(LEFT($A10, 1))),
    "",
    IFERROR(IF(_xlfn.XLOOKUP($A10, INDIRECT("'" &amp; B$2 &amp; "'!$A:$A"), INDIRECT("'" &amp; B$2 &amp; "'!$B:$B"), "")&lt;&gt;"", "✓", "✗"), "✗")
)</f>
        <v>✓</v>
      </c>
      <c r="C10" t="str" cm="1">
        <f t="array" aca="1" ref="C10" ca="1">IF(
    ISNUMBER(VALUE(LEFT($A10, 1))),
    "",
    IFERROR(IF(_xlfn.XLOOKUP($A10, INDIRECT("'" &amp; C$2 &amp; "'!$A:$A"), INDIRECT("'" &amp; C$2 &amp; "'!$B:$B"), "")&lt;&gt;"", "✓", "✗"), "✗")
)</f>
        <v>✓</v>
      </c>
      <c r="D10" t="str" cm="1">
        <f t="array" aca="1" ref="D10" ca="1">IF(
    ISNUMBER(VALUE(LEFT($A10, 1))),
    "",
    IFERROR(IF(_xlfn.XLOOKUP($A10, INDIRECT("'" &amp; D$2 &amp; "'!$A:$A"), INDIRECT("'" &amp; D$2 &amp; "'!$B:$B"), "")&lt;&gt;"", "✓", "✗"), "✗")
)</f>
        <v>✓</v>
      </c>
      <c r="E10" t="str" cm="1">
        <f t="array" aca="1" ref="E10" ca="1">IF(
    ISNUMBER(VALUE(LEFT($A10, 1))),
    "",
    IFERROR(IF(_xlfn.XLOOKUP($A10, INDIRECT("'" &amp; E$2 &amp; "'!$A:$A"), INDIRECT("'" &amp; E$2 &amp; "'!$B:$B"), "")&lt;&gt;"", "✓", "✗"), "✗")
)</f>
        <v>✓</v>
      </c>
      <c r="F10" t="str" cm="1">
        <f t="array" aca="1" ref="F10" ca="1">IF(
    ISNUMBER(VALUE(LEFT($A10, 1))),
    "",
    IFERROR(IF(_xlfn.XLOOKUP($A10, INDIRECT("'" &amp; F$2 &amp; "'!$A:$A"), INDIRECT("'" &amp; F$2 &amp; "'!$B:$B"), "")&lt;&gt;"", "✓", "✗"), "✗")
)</f>
        <v>✓</v>
      </c>
      <c r="G10" t="str" cm="1">
        <f t="array" aca="1" ref="G10" ca="1">IF(
    ISNUMBER(VALUE(LEFT($A10, 1))),
    "",
    IFERROR(IF(_xlfn.XLOOKUP($A10, INDIRECT("'" &amp; G$2 &amp; "'!$A:$A"), INDIRECT("'" &amp; G$2 &amp; "'!$B:$B"), "")&lt;&gt;"", "✓", "✗"), "✗")
)</f>
        <v>✓</v>
      </c>
      <c r="H10" t="str" cm="1">
        <f t="array" aca="1" ref="H10" ca="1">IF(
    ISNUMBER(VALUE(LEFT($A10, 1))),
    "",
    IFERROR(IF(_xlfn.XLOOKUP($A10, INDIRECT("'" &amp; H$2 &amp; "'!$A:$A"), INDIRECT("'" &amp; H$2 &amp; "'!$B:$B"), "")&lt;&gt;"", "✓", "✗"), "✗")
)</f>
        <v>✓</v>
      </c>
      <c r="I10" t="str" cm="1">
        <f t="array" aca="1" ref="I10" ca="1">IF(
    ISNUMBER(VALUE(LEFT($A10, 1))),
    "",
    IFERROR(IF(_xlfn.XLOOKUP($A10, INDIRECT("'" &amp; I$2 &amp; "'!$A:$A"), INDIRECT("'" &amp; I$2 &amp; "'!$B:$B"), "")&lt;&gt;"", "✓", "✗"), "✗")
)</f>
        <v>✓</v>
      </c>
      <c r="J10" t="str" cm="1">
        <f t="array" aca="1" ref="J10" ca="1">IF(
    ISNUMBER(VALUE(LEFT($A10, 1))),
    "",
    IFERROR(IF(_xlfn.XLOOKUP($A10, INDIRECT("'" &amp; J$2 &amp; "'!$A:$A"), INDIRECT("'" &amp; J$2 &amp; "'!$B:$B"), "")&lt;&gt;"", "✓", "✗"), "✗")
)</f>
        <v>✓</v>
      </c>
      <c r="K10" t="str" cm="1">
        <f t="array" aca="1" ref="K10" ca="1">IF(
    ISNUMBER(VALUE(LEFT($A10, 1))),
    "",
    IFERROR(IF(_xlfn.XLOOKUP($A10, INDIRECT("'" &amp; K$2 &amp; "'!$A:$A"), INDIRECT("'" &amp; K$2 &amp; "'!$B:$B"), "")&lt;&gt;"", "✓", "✗"), "✗")
)</f>
        <v>✓</v>
      </c>
      <c r="L10" t="str" cm="1">
        <f t="array" aca="1" ref="L10" ca="1">IF(
    ISNUMBER(VALUE(LEFT($A10, 1))),
    "",
    IFERROR(IF(_xlfn.XLOOKUP($A10, INDIRECT("'" &amp; L$2 &amp; "'!$A:$A"), INDIRECT("'" &amp; L$2 &amp; "'!$B:$B"), "")&lt;&gt;"", "✓", "✗"), "✗")
)</f>
        <v>✓</v>
      </c>
      <c r="M10" t="str" cm="1">
        <f t="array" aca="1" ref="M10" ca="1">IF(
    ISNUMBER(VALUE(LEFT($A10, 1))),
    "",
    IFERROR(IF(_xlfn.XLOOKUP($A10, INDIRECT("'" &amp; M$2 &amp; "'!$A:$A"), INDIRECT("'" &amp; M$2 &amp; "'!$B:$B"), "")&lt;&gt;"", "✓", "✗"), "✗")
)</f>
        <v>✓</v>
      </c>
      <c r="N10" t="str" cm="1">
        <f t="array" aca="1" ref="N10" ca="1">IF(
    ISNUMBER(VALUE(LEFT($A10, 1))),
    "",
    IFERROR(IF(_xlfn.XLOOKUP($A10, INDIRECT("'" &amp; N$2 &amp; "'!$A:$A"), INDIRECT("'" &amp; N$2 &amp; "'!$B:$B"), "")&lt;&gt;"", "✓", "✗"), "✗")
)</f>
        <v>✓</v>
      </c>
      <c r="O10" t="str" cm="1">
        <f t="array" aca="1" ref="O10" ca="1">IF(
    ISNUMBER(VALUE(LEFT($A10, 1))),
    "",
    IFERROR(IF(_xlfn.XLOOKUP($A10, INDIRECT("'" &amp; O$2 &amp; "'!$A:$A"), INDIRECT("'" &amp; O$2 &amp; "'!$B:$B"), "")&lt;&gt;"", "✓", "✗"), "✗")
)</f>
        <v>✓</v>
      </c>
      <c r="P10" t="str" cm="1">
        <f t="array" aca="1" ref="P10" ca="1">IF(
    ISNUMBER(VALUE(LEFT($A10, 1))),
    "",
    IFERROR(IF(_xlfn.XLOOKUP($A10, INDIRECT("'" &amp; P$2 &amp; "'!$A:$A"), INDIRECT("'" &amp; P$2 &amp; "'!$B:$B"), "")&lt;&gt;"", "✓", "✗"), "✗")
)</f>
        <v>✓</v>
      </c>
      <c r="Q10" t="str" cm="1">
        <f t="array" aca="1" ref="Q10" ca="1">IF(
    ISNUMBER(VALUE(LEFT($A10, 1))),
    "",
    IFERROR(IF(_xlfn.XLOOKUP($A10, INDIRECT("'" &amp; Q$2 &amp; "'!$A:$A"), INDIRECT("'" &amp; Q$2 &amp; "'!$B:$B"), "")&lt;&gt;"", "✓", "✗"), "✗")
)</f>
        <v>✓</v>
      </c>
      <c r="R10" t="str" cm="1">
        <f t="array" aca="1" ref="R10" ca="1">IF(
    ISNUMBER(VALUE(LEFT($A10, 1))),
    "",
    IFERROR(IF(_xlfn.XLOOKUP($A10, INDIRECT("'" &amp; R$2 &amp; "'!$A:$A"), INDIRECT("'" &amp; R$2 &amp; "'!$B:$B"), "")&lt;&gt;"", "✓", "✗"), "✗")
)</f>
        <v>✓</v>
      </c>
      <c r="S10" t="str" cm="1">
        <f t="array" aca="1" ref="S10" ca="1">IF(
    ISNUMBER(VALUE(LEFT($A10, 1))),
    "",
    IFERROR(IF(_xlfn.XLOOKUP($A10, INDIRECT("'" &amp; S$2 &amp; "'!$A:$A"), INDIRECT("'" &amp; S$2 &amp; "'!$B:$B"), "")&lt;&gt;"", "✓", "✗"), "✗")
)</f>
        <v>✓</v>
      </c>
      <c r="T10" t="str" cm="1">
        <f t="array" aca="1" ref="T10" ca="1">IF(
    ISNUMBER(VALUE(LEFT($A10, 1))),
    "",
    IFERROR(IF(_xlfn.XLOOKUP($A10, INDIRECT("'" &amp; T$2 &amp; "'!$A:$A"), INDIRECT("'" &amp; T$2 &amp; "'!$B:$B"), "")&lt;&gt;"", "✓", "✗"), "✗")
)</f>
        <v>✓</v>
      </c>
      <c r="U10" t="str" cm="1">
        <f t="array" aca="1" ref="U10" ca="1">IF(
    ISNUMBER(VALUE(LEFT($A10, 1))),
    "",
    IFERROR(IF(_xlfn.XLOOKUP($A10, INDIRECT("'" &amp; U$2 &amp; "'!$A:$A"), INDIRECT("'" &amp; U$2 &amp; "'!$B:$B"), "")&lt;&gt;"", "✓", "✗"), "✗")
)</f>
        <v>✓</v>
      </c>
      <c r="V10" t="str" cm="1">
        <f t="array" aca="1" ref="V10" ca="1">IF(
    ISNUMBER(VALUE(LEFT($A10, 1))),
    "",
    IFERROR(IF(_xlfn.XLOOKUP($A10, INDIRECT("'" &amp; V$2 &amp; "'!$A:$A"), INDIRECT("'" &amp; V$2 &amp; "'!$B:$B"), "")&lt;&gt;"", "✓", "✗"), "✗")
)</f>
        <v>✓</v>
      </c>
      <c r="W10" t="str" cm="1">
        <f t="array" aca="1" ref="W10" ca="1">IF(
    ISNUMBER(VALUE(LEFT($A10, 1))),
    "",
    IFERROR(IF(_xlfn.XLOOKUP($A10, INDIRECT("'" &amp; W$2 &amp; "'!$A:$A"), INDIRECT("'" &amp; W$2 &amp; "'!$B:$B"), "")&lt;&gt;"", "✓", "✗"), "✗")
)</f>
        <v>✓</v>
      </c>
      <c r="X10" t="str" cm="1">
        <f t="array" aca="1" ref="X10" ca="1">IF(
    ISNUMBER(VALUE(LEFT($A10, 1))),
    "",
    IFERROR(IF(_xlfn.XLOOKUP($A10, INDIRECT("'" &amp; X$2 &amp; "'!$A:$A"), INDIRECT("'" &amp; X$2 &amp; "'!$B:$B"), "")&lt;&gt;"", "✓", "✗"), "✗")
)</f>
        <v>✓</v>
      </c>
      <c r="Y10" t="str" cm="1">
        <f t="array" aca="1" ref="Y10" ca="1">IF(
    ISNUMBER(VALUE(LEFT($A10, 1))),
    "",
    IFERROR(IF(_xlfn.XLOOKUP($A10, INDIRECT("'" &amp; Y$2 &amp; "'!$A:$A"), INDIRECT("'" &amp; Y$2 &amp; "'!$B:$B"), "")&lt;&gt;"", "✓", "✗"), "✗")
)</f>
        <v>✓</v>
      </c>
      <c r="Z10" t="str" cm="1">
        <f t="array" aca="1" ref="Z10" ca="1">IF(
    ISNUMBER(VALUE(LEFT($A10, 1))),
    "",
    IFERROR(IF(_xlfn.XLOOKUP($A10, INDIRECT("'" &amp; Z$2 &amp; "'!$A:$A"), INDIRECT("'" &amp; Z$2 &amp; "'!$B:$B"), "")&lt;&gt;"", "✓", "✗"), "✗")
)</f>
        <v>✓</v>
      </c>
      <c r="AA10" t="str" cm="1">
        <f t="array" aca="1" ref="AA10" ca="1">IF(
    ISNUMBER(VALUE(LEFT($A10, 1))),
    "",
    IFERROR(IF(_xlfn.XLOOKUP($A10, INDIRECT("'" &amp; AA$2 &amp; "'!$A:$A"), INDIRECT("'" &amp; AA$2 &amp; "'!$B:$B"), "")&lt;&gt;"", "✓", "✗"), "✗")
)</f>
        <v>✓</v>
      </c>
      <c r="AB10" t="str" cm="1">
        <f t="array" aca="1" ref="AB10" ca="1">IF(
    ISNUMBER(VALUE(LEFT($A10, 1))),
    "",
    IFERROR(IF(_xlfn.XLOOKUP($A10, INDIRECT("'" &amp; AB$2 &amp; "'!$A:$A"), INDIRECT("'" &amp; AB$2 &amp; "'!$B:$B"), "")&lt;&gt;"", "✓", "✗"), "✗")
)</f>
        <v>✓</v>
      </c>
      <c r="AC10" t="str" cm="1">
        <f t="array" aca="1" ref="AC10" ca="1">IF(
    ISNUMBER(VALUE(LEFT($A10, 1))),
    "",
    IFERROR(IF(_xlfn.XLOOKUP($A10, INDIRECT("'" &amp; AC$2 &amp; "'!$A:$A"), INDIRECT("'" &amp; AC$2 &amp; "'!$B:$B"), "")&lt;&gt;"", "✓", "✗"), "✗")
)</f>
        <v>✗</v>
      </c>
      <c r="AD10" t="str" cm="1">
        <f t="array" aca="1" ref="AD10" ca="1">IF(
    ISNUMBER(VALUE(LEFT($A10, 1))),
    "",
    IFERROR(IF(_xlfn.XLOOKUP($A10, INDIRECT("'" &amp; AD$2 &amp; "'!$A:$A"), INDIRECT("'" &amp; AD$2 &amp; "'!$B:$B"), "")&lt;&gt;"", "✓", "✗"), "✗")
)</f>
        <v>✗</v>
      </c>
      <c r="AE10" t="str" cm="1">
        <f t="array" aca="1" ref="AE10" ca="1">IF(
    ISNUMBER(VALUE(LEFT($A10, 1))),
    "",
    IFERROR(IF(_xlfn.XLOOKUP($A10, INDIRECT("'" &amp; AE$2 &amp; "'!$A:$A"), INDIRECT("'" &amp; AE$2 &amp; "'!$B:$B"), "")&lt;&gt;"", "✓", "✗"), "✗")
)</f>
        <v>✓</v>
      </c>
      <c r="AF10" t="str" cm="1">
        <f t="array" aca="1" ref="AF10" ca="1">IF(
    ISNUMBER(VALUE(LEFT($A10, 1))),
    "",
    IFERROR(IF(_xlfn.XLOOKUP($A10, INDIRECT("'" &amp; AF$2 &amp; "'!$A:$A"), INDIRECT("'" &amp; AF$2 &amp; "'!$B:$B"), "")&lt;&gt;"", "✓", "✗"), "✗")
)</f>
        <v>✓</v>
      </c>
      <c r="AG10" t="str" cm="1">
        <f t="array" aca="1" ref="AG10" ca="1">IF(
    ISNUMBER(VALUE(LEFT($A10, 1))),
    "",
    IFERROR(IF(_xlfn.XLOOKUP($A10, INDIRECT("'" &amp; AG$2 &amp; "'!$A:$A"), INDIRECT("'" &amp; AG$2 &amp; "'!$B:$B"), "")&lt;&gt;"", "✓", "✗"), "✗")
)</f>
        <v>✓</v>
      </c>
    </row>
    <row r="11" spans="1:33" x14ac:dyDescent="0.45">
      <c r="A11" t="str">
        <v>Marketing Automation Tool Contact ID</v>
      </c>
      <c r="B11" t="str" cm="1">
        <f t="array" aca="1" ref="B11" ca="1">IF(
    ISNUMBER(VALUE(LEFT($A11, 1))),
    "",
    IFERROR(IF(_xlfn.XLOOKUP($A11, INDIRECT("'" &amp; B$2 &amp; "'!$A:$A"), INDIRECT("'" &amp; B$2 &amp; "'!$B:$B"), "")&lt;&gt;"", "✓", "✗"), "✗")
)</f>
        <v>✓</v>
      </c>
      <c r="C11" t="str" cm="1">
        <f t="array" aca="1" ref="C11" ca="1">IF(
    ISNUMBER(VALUE(LEFT($A11, 1))),
    "",
    IFERROR(IF(_xlfn.XLOOKUP($A11, INDIRECT("'" &amp; C$2 &amp; "'!$A:$A"), INDIRECT("'" &amp; C$2 &amp; "'!$B:$B"), "")&lt;&gt;"", "✓", "✗"), "✗")
)</f>
        <v>✓</v>
      </c>
      <c r="D11" t="str" cm="1">
        <f t="array" aca="1" ref="D11" ca="1">IF(
    ISNUMBER(VALUE(LEFT($A11, 1))),
    "",
    IFERROR(IF(_xlfn.XLOOKUP($A11, INDIRECT("'" &amp; D$2 &amp; "'!$A:$A"), INDIRECT("'" &amp; D$2 &amp; "'!$B:$B"), "")&lt;&gt;"", "✓", "✗"), "✗")
)</f>
        <v>✓</v>
      </c>
      <c r="E11" t="str" cm="1">
        <f t="array" aca="1" ref="E11" ca="1">IF(
    ISNUMBER(VALUE(LEFT($A11, 1))),
    "",
    IFERROR(IF(_xlfn.XLOOKUP($A11, INDIRECT("'" &amp; E$2 &amp; "'!$A:$A"), INDIRECT("'" &amp; E$2 &amp; "'!$B:$B"), "")&lt;&gt;"", "✓", "✗"), "✗")
)</f>
        <v>✓</v>
      </c>
      <c r="F11" t="str" cm="1">
        <f t="array" aca="1" ref="F11" ca="1">IF(
    ISNUMBER(VALUE(LEFT($A11, 1))),
    "",
    IFERROR(IF(_xlfn.XLOOKUP($A11, INDIRECT("'" &amp; F$2 &amp; "'!$A:$A"), INDIRECT("'" &amp; F$2 &amp; "'!$B:$B"), "")&lt;&gt;"", "✓", "✗"), "✗")
)</f>
        <v>✓</v>
      </c>
      <c r="G11" t="str" cm="1">
        <f t="array" aca="1" ref="G11" ca="1">IF(
    ISNUMBER(VALUE(LEFT($A11, 1))),
    "",
    IFERROR(IF(_xlfn.XLOOKUP($A11, INDIRECT("'" &amp; G$2 &amp; "'!$A:$A"), INDIRECT("'" &amp; G$2 &amp; "'!$B:$B"), "")&lt;&gt;"", "✓", "✗"), "✗")
)</f>
        <v>✓</v>
      </c>
      <c r="H11" t="str" cm="1">
        <f t="array" aca="1" ref="H11" ca="1">IF(
    ISNUMBER(VALUE(LEFT($A11, 1))),
    "",
    IFERROR(IF(_xlfn.XLOOKUP($A11, INDIRECT("'" &amp; H$2 &amp; "'!$A:$A"), INDIRECT("'" &amp; H$2 &amp; "'!$B:$B"), "")&lt;&gt;"", "✓", "✗"), "✗")
)</f>
        <v>✓</v>
      </c>
      <c r="I11" t="str" cm="1">
        <f t="array" aca="1" ref="I11" ca="1">IF(
    ISNUMBER(VALUE(LEFT($A11, 1))),
    "",
    IFERROR(IF(_xlfn.XLOOKUP($A11, INDIRECT("'" &amp; I$2 &amp; "'!$A:$A"), INDIRECT("'" &amp; I$2 &amp; "'!$B:$B"), "")&lt;&gt;"", "✓", "✗"), "✗")
)</f>
        <v>✓</v>
      </c>
      <c r="J11" t="str" cm="1">
        <f t="array" aca="1" ref="J11" ca="1">IF(
    ISNUMBER(VALUE(LEFT($A11, 1))),
    "",
    IFERROR(IF(_xlfn.XLOOKUP($A11, INDIRECT("'" &amp; J$2 &amp; "'!$A:$A"), INDIRECT("'" &amp; J$2 &amp; "'!$B:$B"), "")&lt;&gt;"", "✓", "✗"), "✗")
)</f>
        <v>✓</v>
      </c>
      <c r="K11" t="str" cm="1">
        <f t="array" aca="1" ref="K11" ca="1">IF(
    ISNUMBER(VALUE(LEFT($A11, 1))),
    "",
    IFERROR(IF(_xlfn.XLOOKUP($A11, INDIRECT("'" &amp; K$2 &amp; "'!$A:$A"), INDIRECT("'" &amp; K$2 &amp; "'!$B:$B"), "")&lt;&gt;"", "✓", "✗"), "✗")
)</f>
        <v>✓</v>
      </c>
      <c r="L11" t="str" cm="1">
        <f t="array" aca="1" ref="L11" ca="1">IF(
    ISNUMBER(VALUE(LEFT($A11, 1))),
    "",
    IFERROR(IF(_xlfn.XLOOKUP($A11, INDIRECT("'" &amp; L$2 &amp; "'!$A:$A"), INDIRECT("'" &amp; L$2 &amp; "'!$B:$B"), "")&lt;&gt;"", "✓", "✗"), "✗")
)</f>
        <v>✓</v>
      </c>
      <c r="M11" t="str" cm="1">
        <f t="array" aca="1" ref="M11" ca="1">IF(
    ISNUMBER(VALUE(LEFT($A11, 1))),
    "",
    IFERROR(IF(_xlfn.XLOOKUP($A11, INDIRECT("'" &amp; M$2 &amp; "'!$A:$A"), INDIRECT("'" &amp; M$2 &amp; "'!$B:$B"), "")&lt;&gt;"", "✓", "✗"), "✗")
)</f>
        <v>✓</v>
      </c>
      <c r="N11" t="str" cm="1">
        <f t="array" aca="1" ref="N11" ca="1">IF(
    ISNUMBER(VALUE(LEFT($A11, 1))),
    "",
    IFERROR(IF(_xlfn.XLOOKUP($A11, INDIRECT("'" &amp; N$2 &amp; "'!$A:$A"), INDIRECT("'" &amp; N$2 &amp; "'!$B:$B"), "")&lt;&gt;"", "✓", "✗"), "✗")
)</f>
        <v>✓</v>
      </c>
      <c r="O11" t="str" cm="1">
        <f t="array" aca="1" ref="O11" ca="1">IF(
    ISNUMBER(VALUE(LEFT($A11, 1))),
    "",
    IFERROR(IF(_xlfn.XLOOKUP($A11, INDIRECT("'" &amp; O$2 &amp; "'!$A:$A"), INDIRECT("'" &amp; O$2 &amp; "'!$B:$B"), "")&lt;&gt;"", "✓", "✗"), "✗")
)</f>
        <v>✓</v>
      </c>
      <c r="P11" t="str" cm="1">
        <f t="array" aca="1" ref="P11" ca="1">IF(
    ISNUMBER(VALUE(LEFT($A11, 1))),
    "",
    IFERROR(IF(_xlfn.XLOOKUP($A11, INDIRECT("'" &amp; P$2 &amp; "'!$A:$A"), INDIRECT("'" &amp; P$2 &amp; "'!$B:$B"), "")&lt;&gt;"", "✓", "✗"), "✗")
)</f>
        <v>✓</v>
      </c>
      <c r="Q11" t="str" cm="1">
        <f t="array" aca="1" ref="Q11" ca="1">IF(
    ISNUMBER(VALUE(LEFT($A11, 1))),
    "",
    IFERROR(IF(_xlfn.XLOOKUP($A11, INDIRECT("'" &amp; Q$2 &amp; "'!$A:$A"), INDIRECT("'" &amp; Q$2 &amp; "'!$B:$B"), "")&lt;&gt;"", "✓", "✗"), "✗")
)</f>
        <v>✓</v>
      </c>
      <c r="R11" t="str" cm="1">
        <f t="array" aca="1" ref="R11" ca="1">IF(
    ISNUMBER(VALUE(LEFT($A11, 1))),
    "",
    IFERROR(IF(_xlfn.XLOOKUP($A11, INDIRECT("'" &amp; R$2 &amp; "'!$A:$A"), INDIRECT("'" &amp; R$2 &amp; "'!$B:$B"), "")&lt;&gt;"", "✓", "✗"), "✗")
)</f>
        <v>✓</v>
      </c>
      <c r="S11" t="str" cm="1">
        <f t="array" aca="1" ref="S11" ca="1">IF(
    ISNUMBER(VALUE(LEFT($A11, 1))),
    "",
    IFERROR(IF(_xlfn.XLOOKUP($A11, INDIRECT("'" &amp; S$2 &amp; "'!$A:$A"), INDIRECT("'" &amp; S$2 &amp; "'!$B:$B"), "")&lt;&gt;"", "✓", "✗"), "✗")
)</f>
        <v>✓</v>
      </c>
      <c r="T11" t="str" cm="1">
        <f t="array" aca="1" ref="T11" ca="1">IF(
    ISNUMBER(VALUE(LEFT($A11, 1))),
    "",
    IFERROR(IF(_xlfn.XLOOKUP($A11, INDIRECT("'" &amp; T$2 &amp; "'!$A:$A"), INDIRECT("'" &amp; T$2 &amp; "'!$B:$B"), "")&lt;&gt;"", "✓", "✗"), "✗")
)</f>
        <v>✓</v>
      </c>
      <c r="U11" t="str" cm="1">
        <f t="array" aca="1" ref="U11" ca="1">IF(
    ISNUMBER(VALUE(LEFT($A11, 1))),
    "",
    IFERROR(IF(_xlfn.XLOOKUP($A11, INDIRECT("'" &amp; U$2 &amp; "'!$A:$A"), INDIRECT("'" &amp; U$2 &amp; "'!$B:$B"), "")&lt;&gt;"", "✓", "✗"), "✗")
)</f>
        <v>✓</v>
      </c>
      <c r="V11" t="str" cm="1">
        <f t="array" aca="1" ref="V11" ca="1">IF(
    ISNUMBER(VALUE(LEFT($A11, 1))),
    "",
    IFERROR(IF(_xlfn.XLOOKUP($A11, INDIRECT("'" &amp; V$2 &amp; "'!$A:$A"), INDIRECT("'" &amp; V$2 &amp; "'!$B:$B"), "")&lt;&gt;"", "✓", "✗"), "✗")
)</f>
        <v>✓</v>
      </c>
      <c r="W11" t="str" cm="1">
        <f t="array" aca="1" ref="W11" ca="1">IF(
    ISNUMBER(VALUE(LEFT($A11, 1))),
    "",
    IFERROR(IF(_xlfn.XLOOKUP($A11, INDIRECT("'" &amp; W$2 &amp; "'!$A:$A"), INDIRECT("'" &amp; W$2 &amp; "'!$B:$B"), "")&lt;&gt;"", "✓", "✗"), "✗")
)</f>
        <v>✓</v>
      </c>
      <c r="X11" t="str" cm="1">
        <f t="array" aca="1" ref="X11" ca="1">IF(
    ISNUMBER(VALUE(LEFT($A11, 1))),
    "",
    IFERROR(IF(_xlfn.XLOOKUP($A11, INDIRECT("'" &amp; X$2 &amp; "'!$A:$A"), INDIRECT("'" &amp; X$2 &amp; "'!$B:$B"), "")&lt;&gt;"", "✓", "✗"), "✗")
)</f>
        <v>✓</v>
      </c>
      <c r="Y11" t="str" cm="1">
        <f t="array" aca="1" ref="Y11" ca="1">IF(
    ISNUMBER(VALUE(LEFT($A11, 1))),
    "",
    IFERROR(IF(_xlfn.XLOOKUP($A11, INDIRECT("'" &amp; Y$2 &amp; "'!$A:$A"), INDIRECT("'" &amp; Y$2 &amp; "'!$B:$B"), "")&lt;&gt;"", "✓", "✗"), "✗")
)</f>
        <v>✓</v>
      </c>
      <c r="Z11" t="str" cm="1">
        <f t="array" aca="1" ref="Z11" ca="1">IF(
    ISNUMBER(VALUE(LEFT($A11, 1))),
    "",
    IFERROR(IF(_xlfn.XLOOKUP($A11, INDIRECT("'" &amp; Z$2 &amp; "'!$A:$A"), INDIRECT("'" &amp; Z$2 &amp; "'!$B:$B"), "")&lt;&gt;"", "✓", "✗"), "✗")
)</f>
        <v>✓</v>
      </c>
      <c r="AA11" t="str" cm="1">
        <f t="array" aca="1" ref="AA11" ca="1">IF(
    ISNUMBER(VALUE(LEFT($A11, 1))),
    "",
    IFERROR(IF(_xlfn.XLOOKUP($A11, INDIRECT("'" &amp; AA$2 &amp; "'!$A:$A"), INDIRECT("'" &amp; AA$2 &amp; "'!$B:$B"), "")&lt;&gt;"", "✓", "✗"), "✗")
)</f>
        <v>✓</v>
      </c>
      <c r="AB11" t="str" cm="1">
        <f t="array" aca="1" ref="AB11" ca="1">IF(
    ISNUMBER(VALUE(LEFT($A11, 1))),
    "",
    IFERROR(IF(_xlfn.XLOOKUP($A11, INDIRECT("'" &amp; AB$2 &amp; "'!$A:$A"), INDIRECT("'" &amp; AB$2 &amp; "'!$B:$B"), "")&lt;&gt;"", "✓", "✗"), "✗")
)</f>
        <v>✓</v>
      </c>
      <c r="AC11" t="str" cm="1">
        <f t="array" aca="1" ref="AC11" ca="1">IF(
    ISNUMBER(VALUE(LEFT($A11, 1))),
    "",
    IFERROR(IF(_xlfn.XLOOKUP($A11, INDIRECT("'" &amp; AC$2 &amp; "'!$A:$A"), INDIRECT("'" &amp; AC$2 &amp; "'!$B:$B"), "")&lt;&gt;"", "✓", "✗"), "✗")
)</f>
        <v>✗</v>
      </c>
      <c r="AD11" t="str" cm="1">
        <f t="array" aca="1" ref="AD11" ca="1">IF(
    ISNUMBER(VALUE(LEFT($A11, 1))),
    "",
    IFERROR(IF(_xlfn.XLOOKUP($A11, INDIRECT("'" &amp; AD$2 &amp; "'!$A:$A"), INDIRECT("'" &amp; AD$2 &amp; "'!$B:$B"), "")&lt;&gt;"", "✓", "✗"), "✗")
)</f>
        <v>✗</v>
      </c>
      <c r="AE11" t="str" cm="1">
        <f t="array" aca="1" ref="AE11" ca="1">IF(
    ISNUMBER(VALUE(LEFT($A11, 1))),
    "",
    IFERROR(IF(_xlfn.XLOOKUP($A11, INDIRECT("'" &amp; AE$2 &amp; "'!$A:$A"), INDIRECT("'" &amp; AE$2 &amp; "'!$B:$B"), "")&lt;&gt;"", "✓", "✗"), "✗")
)</f>
        <v>✓</v>
      </c>
      <c r="AF11" t="str" cm="1">
        <f t="array" aca="1" ref="AF11" ca="1">IF(
    ISNUMBER(VALUE(LEFT($A11, 1))),
    "",
    IFERROR(IF(_xlfn.XLOOKUP($A11, INDIRECT("'" &amp; AF$2 &amp; "'!$A:$A"), INDIRECT("'" &amp; AF$2 &amp; "'!$B:$B"), "")&lt;&gt;"", "✓", "✗"), "✗")
)</f>
        <v>✓</v>
      </c>
      <c r="AG11" t="str" cm="1">
        <f t="array" aca="1" ref="AG11" ca="1">IF(
    ISNUMBER(VALUE(LEFT($A11, 1))),
    "",
    IFERROR(IF(_xlfn.XLOOKUP($A11, INDIRECT("'" &amp; AG$2 &amp; "'!$A:$A"), INDIRECT("'" &amp; AG$2 &amp; "'!$B:$B"), "")&lt;&gt;"", "✓", "✗"), "✗")
)</f>
        <v>✓</v>
      </c>
    </row>
    <row r="12" spans="1:33" x14ac:dyDescent="0.45">
      <c r="A12" t="str">
        <v>First Name</v>
      </c>
      <c r="B12" t="str" cm="1">
        <f t="array" aca="1" ref="B12" ca="1">IF(
    ISNUMBER(VALUE(LEFT($A12, 1))),
    "",
    IFERROR(IF(_xlfn.XLOOKUP($A12, INDIRECT("'" &amp; B$2 &amp; "'!$A:$A"), INDIRECT("'" &amp; B$2 &amp; "'!$B:$B"), "")&lt;&gt;"", "✓", "✗"), "✗")
)</f>
        <v>✓</v>
      </c>
      <c r="C12" t="str" cm="1">
        <f t="array" aca="1" ref="C12" ca="1">IF(
    ISNUMBER(VALUE(LEFT($A12, 1))),
    "",
    IFERROR(IF(_xlfn.XLOOKUP($A12, INDIRECT("'" &amp; C$2 &amp; "'!$A:$A"), INDIRECT("'" &amp; C$2 &amp; "'!$B:$B"), "")&lt;&gt;"", "✓", "✗"), "✗")
)</f>
        <v>✓</v>
      </c>
      <c r="D12" t="str" cm="1">
        <f t="array" aca="1" ref="D12" ca="1">IF(
    ISNUMBER(VALUE(LEFT($A12, 1))),
    "",
    IFERROR(IF(_xlfn.XLOOKUP($A12, INDIRECT("'" &amp; D$2 &amp; "'!$A:$A"), INDIRECT("'" &amp; D$2 &amp; "'!$B:$B"), "")&lt;&gt;"", "✓", "✗"), "✗")
)</f>
        <v>✓</v>
      </c>
      <c r="E12" t="str" cm="1">
        <f t="array" aca="1" ref="E12" ca="1">IF(
    ISNUMBER(VALUE(LEFT($A12, 1))),
    "",
    IFERROR(IF(_xlfn.XLOOKUP($A12, INDIRECT("'" &amp; E$2 &amp; "'!$A:$A"), INDIRECT("'" &amp; E$2 &amp; "'!$B:$B"), "")&lt;&gt;"", "✓", "✗"), "✗")
)</f>
        <v>✓</v>
      </c>
      <c r="F12" t="str" cm="1">
        <f t="array" aca="1" ref="F12" ca="1">IF(
    ISNUMBER(VALUE(LEFT($A12, 1))),
    "",
    IFERROR(IF(_xlfn.XLOOKUP($A12, INDIRECT("'" &amp; F$2 &amp; "'!$A:$A"), INDIRECT("'" &amp; F$2 &amp; "'!$B:$B"), "")&lt;&gt;"", "✓", "✗"), "✗")
)</f>
        <v>✓</v>
      </c>
      <c r="G12" t="str" cm="1">
        <f t="array" aca="1" ref="G12" ca="1">IF(
    ISNUMBER(VALUE(LEFT($A12, 1))),
    "",
    IFERROR(IF(_xlfn.XLOOKUP($A12, INDIRECT("'" &amp; G$2 &amp; "'!$A:$A"), INDIRECT("'" &amp; G$2 &amp; "'!$B:$B"), "")&lt;&gt;"", "✓", "✗"), "✗")
)</f>
        <v>✓</v>
      </c>
      <c r="H12" t="str" cm="1">
        <f t="array" aca="1" ref="H12" ca="1">IF(
    ISNUMBER(VALUE(LEFT($A12, 1))),
    "",
    IFERROR(IF(_xlfn.XLOOKUP($A12, INDIRECT("'" &amp; H$2 &amp; "'!$A:$A"), INDIRECT("'" &amp; H$2 &amp; "'!$B:$B"), "")&lt;&gt;"", "✓", "✗"), "✗")
)</f>
        <v>✓</v>
      </c>
      <c r="I12" t="str" cm="1">
        <f t="array" aca="1" ref="I12" ca="1">IF(
    ISNUMBER(VALUE(LEFT($A12, 1))),
    "",
    IFERROR(IF(_xlfn.XLOOKUP($A12, INDIRECT("'" &amp; I$2 &amp; "'!$A:$A"), INDIRECT("'" &amp; I$2 &amp; "'!$B:$B"), "")&lt;&gt;"", "✓", "✗"), "✗")
)</f>
        <v>✓</v>
      </c>
      <c r="J12" t="str" cm="1">
        <f t="array" aca="1" ref="J12" ca="1">IF(
    ISNUMBER(VALUE(LEFT($A12, 1))),
    "",
    IFERROR(IF(_xlfn.XLOOKUP($A12, INDIRECT("'" &amp; J$2 &amp; "'!$A:$A"), INDIRECT("'" &amp; J$2 &amp; "'!$B:$B"), "")&lt;&gt;"", "✓", "✗"), "✗")
)</f>
        <v>✓</v>
      </c>
      <c r="K12" t="str" cm="1">
        <f t="array" aca="1" ref="K12" ca="1">IF(
    ISNUMBER(VALUE(LEFT($A12, 1))),
    "",
    IFERROR(IF(_xlfn.XLOOKUP($A12, INDIRECT("'" &amp; K$2 &amp; "'!$A:$A"), INDIRECT("'" &amp; K$2 &amp; "'!$B:$B"), "")&lt;&gt;"", "✓", "✗"), "✗")
)</f>
        <v>✓</v>
      </c>
      <c r="L12" t="str" cm="1">
        <f t="array" aca="1" ref="L12" ca="1">IF(
    ISNUMBER(VALUE(LEFT($A12, 1))),
    "",
    IFERROR(IF(_xlfn.XLOOKUP($A12, INDIRECT("'" &amp; L$2 &amp; "'!$A:$A"), INDIRECT("'" &amp; L$2 &amp; "'!$B:$B"), "")&lt;&gt;"", "✓", "✗"), "✗")
)</f>
        <v>✓</v>
      </c>
      <c r="M12" t="str" cm="1">
        <f t="array" aca="1" ref="M12" ca="1">IF(
    ISNUMBER(VALUE(LEFT($A12, 1))),
    "",
    IFERROR(IF(_xlfn.XLOOKUP($A12, INDIRECT("'" &amp; M$2 &amp; "'!$A:$A"), INDIRECT("'" &amp; M$2 &amp; "'!$B:$B"), "")&lt;&gt;"", "✓", "✗"), "✗")
)</f>
        <v>✓</v>
      </c>
      <c r="N12" t="str" cm="1">
        <f t="array" aca="1" ref="N12" ca="1">IF(
    ISNUMBER(VALUE(LEFT($A12, 1))),
    "",
    IFERROR(IF(_xlfn.XLOOKUP($A12, INDIRECT("'" &amp; N$2 &amp; "'!$A:$A"), INDIRECT("'" &amp; N$2 &amp; "'!$B:$B"), "")&lt;&gt;"", "✓", "✗"), "✗")
)</f>
        <v>✓</v>
      </c>
      <c r="O12" t="str" cm="1">
        <f t="array" aca="1" ref="O12" ca="1">IF(
    ISNUMBER(VALUE(LEFT($A12, 1))),
    "",
    IFERROR(IF(_xlfn.XLOOKUP($A12, INDIRECT("'" &amp; O$2 &amp; "'!$A:$A"), INDIRECT("'" &amp; O$2 &amp; "'!$B:$B"), "")&lt;&gt;"", "✓", "✗"), "✗")
)</f>
        <v>✓</v>
      </c>
      <c r="P12" t="str" cm="1">
        <f t="array" aca="1" ref="P12" ca="1">IF(
    ISNUMBER(VALUE(LEFT($A12, 1))),
    "",
    IFERROR(IF(_xlfn.XLOOKUP($A12, INDIRECT("'" &amp; P$2 &amp; "'!$A:$A"), INDIRECT("'" &amp; P$2 &amp; "'!$B:$B"), "")&lt;&gt;"", "✓", "✗"), "✗")
)</f>
        <v>✓</v>
      </c>
      <c r="Q12" t="str" cm="1">
        <f t="array" aca="1" ref="Q12" ca="1">IF(
    ISNUMBER(VALUE(LEFT($A12, 1))),
    "",
    IFERROR(IF(_xlfn.XLOOKUP($A12, INDIRECT("'" &amp; Q$2 &amp; "'!$A:$A"), INDIRECT("'" &amp; Q$2 &amp; "'!$B:$B"), "")&lt;&gt;"", "✓", "✗"), "✗")
)</f>
        <v>✓</v>
      </c>
      <c r="R12" t="str" cm="1">
        <f t="array" aca="1" ref="R12" ca="1">IF(
    ISNUMBER(VALUE(LEFT($A12, 1))),
    "",
    IFERROR(IF(_xlfn.XLOOKUP($A12, INDIRECT("'" &amp; R$2 &amp; "'!$A:$A"), INDIRECT("'" &amp; R$2 &amp; "'!$B:$B"), "")&lt;&gt;"", "✓", "✗"), "✗")
)</f>
        <v>✓</v>
      </c>
      <c r="S12" t="str" cm="1">
        <f t="array" aca="1" ref="S12" ca="1">IF(
    ISNUMBER(VALUE(LEFT($A12, 1))),
    "",
    IFERROR(IF(_xlfn.XLOOKUP($A12, INDIRECT("'" &amp; S$2 &amp; "'!$A:$A"), INDIRECT("'" &amp; S$2 &amp; "'!$B:$B"), "")&lt;&gt;"", "✓", "✗"), "✗")
)</f>
        <v>✓</v>
      </c>
      <c r="T12" t="str" cm="1">
        <f t="array" aca="1" ref="T12" ca="1">IF(
    ISNUMBER(VALUE(LEFT($A12, 1))),
    "",
    IFERROR(IF(_xlfn.XLOOKUP($A12, INDIRECT("'" &amp; T$2 &amp; "'!$A:$A"), INDIRECT("'" &amp; T$2 &amp; "'!$B:$B"), "")&lt;&gt;"", "✓", "✗"), "✗")
)</f>
        <v>✓</v>
      </c>
      <c r="U12" t="str" cm="1">
        <f t="array" aca="1" ref="U12" ca="1">IF(
    ISNUMBER(VALUE(LEFT($A12, 1))),
    "",
    IFERROR(IF(_xlfn.XLOOKUP($A12, INDIRECT("'" &amp; U$2 &amp; "'!$A:$A"), INDIRECT("'" &amp; U$2 &amp; "'!$B:$B"), "")&lt;&gt;"", "✓", "✗"), "✗")
)</f>
        <v>✓</v>
      </c>
      <c r="V12" t="str" cm="1">
        <f t="array" aca="1" ref="V12" ca="1">IF(
    ISNUMBER(VALUE(LEFT($A12, 1))),
    "",
    IFERROR(IF(_xlfn.XLOOKUP($A12, INDIRECT("'" &amp; V$2 &amp; "'!$A:$A"), INDIRECT("'" &amp; V$2 &amp; "'!$B:$B"), "")&lt;&gt;"", "✓", "✗"), "✗")
)</f>
        <v>✓</v>
      </c>
      <c r="W12" t="str" cm="1">
        <f t="array" aca="1" ref="W12" ca="1">IF(
    ISNUMBER(VALUE(LEFT($A12, 1))),
    "",
    IFERROR(IF(_xlfn.XLOOKUP($A12, INDIRECT("'" &amp; W$2 &amp; "'!$A:$A"), INDIRECT("'" &amp; W$2 &amp; "'!$B:$B"), "")&lt;&gt;"", "✓", "✗"), "✗")
)</f>
        <v>✓</v>
      </c>
      <c r="X12" t="str" cm="1">
        <f t="array" aca="1" ref="X12" ca="1">IF(
    ISNUMBER(VALUE(LEFT($A12, 1))),
    "",
    IFERROR(IF(_xlfn.XLOOKUP($A12, INDIRECT("'" &amp; X$2 &amp; "'!$A:$A"), INDIRECT("'" &amp; X$2 &amp; "'!$B:$B"), "")&lt;&gt;"", "✓", "✗"), "✗")
)</f>
        <v>✓</v>
      </c>
      <c r="Y12" t="str" cm="1">
        <f t="array" aca="1" ref="Y12" ca="1">IF(
    ISNUMBER(VALUE(LEFT($A12, 1))),
    "",
    IFERROR(IF(_xlfn.XLOOKUP($A12, INDIRECT("'" &amp; Y$2 &amp; "'!$A:$A"), INDIRECT("'" &amp; Y$2 &amp; "'!$B:$B"), "")&lt;&gt;"", "✓", "✗"), "✗")
)</f>
        <v>✓</v>
      </c>
      <c r="Z12" t="str" cm="1">
        <f t="array" aca="1" ref="Z12" ca="1">IF(
    ISNUMBER(VALUE(LEFT($A12, 1))),
    "",
    IFERROR(IF(_xlfn.XLOOKUP($A12, INDIRECT("'" &amp; Z$2 &amp; "'!$A:$A"), INDIRECT("'" &amp; Z$2 &amp; "'!$B:$B"), "")&lt;&gt;"", "✓", "✗"), "✗")
)</f>
        <v>✓</v>
      </c>
      <c r="AA12" t="str" cm="1">
        <f t="array" aca="1" ref="AA12" ca="1">IF(
    ISNUMBER(VALUE(LEFT($A12, 1))),
    "",
    IFERROR(IF(_xlfn.XLOOKUP($A12, INDIRECT("'" &amp; AA$2 &amp; "'!$A:$A"), INDIRECT("'" &amp; AA$2 &amp; "'!$B:$B"), "")&lt;&gt;"", "✓", "✗"), "✗")
)</f>
        <v>✓</v>
      </c>
      <c r="AB12" t="str" cm="1">
        <f t="array" aca="1" ref="AB12" ca="1">IF(
    ISNUMBER(VALUE(LEFT($A12, 1))),
    "",
    IFERROR(IF(_xlfn.XLOOKUP($A12, INDIRECT("'" &amp; AB$2 &amp; "'!$A:$A"), INDIRECT("'" &amp; AB$2 &amp; "'!$B:$B"), "")&lt;&gt;"", "✓", "✗"), "✗")
)</f>
        <v>✓</v>
      </c>
      <c r="AC12" t="str" cm="1">
        <f t="array" aca="1" ref="AC12" ca="1">IF(
    ISNUMBER(VALUE(LEFT($A12, 1))),
    "",
    IFERROR(IF(_xlfn.XLOOKUP($A12, INDIRECT("'" &amp; AC$2 &amp; "'!$A:$A"), INDIRECT("'" &amp; AC$2 &amp; "'!$B:$B"), "")&lt;&gt;"", "✓", "✗"), "✗")
)</f>
        <v>✗</v>
      </c>
      <c r="AD12" t="str" cm="1">
        <f t="array" aca="1" ref="AD12" ca="1">IF(
    ISNUMBER(VALUE(LEFT($A12, 1))),
    "",
    IFERROR(IF(_xlfn.XLOOKUP($A12, INDIRECT("'" &amp; AD$2 &amp; "'!$A:$A"), INDIRECT("'" &amp; AD$2 &amp; "'!$B:$B"), "")&lt;&gt;"", "✓", "✗"), "✗")
)</f>
        <v>✗</v>
      </c>
      <c r="AE12" t="str" cm="1">
        <f t="array" aca="1" ref="AE12" ca="1">IF(
    ISNUMBER(VALUE(LEFT($A12, 1))),
    "",
    IFERROR(IF(_xlfn.XLOOKUP($A12, INDIRECT("'" &amp; AE$2 &amp; "'!$A:$A"), INDIRECT("'" &amp; AE$2 &amp; "'!$B:$B"), "")&lt;&gt;"", "✓", "✗"), "✗")
)</f>
        <v>✓</v>
      </c>
      <c r="AF12" t="str" cm="1">
        <f t="array" aca="1" ref="AF12" ca="1">IF(
    ISNUMBER(VALUE(LEFT($A12, 1))),
    "",
    IFERROR(IF(_xlfn.XLOOKUP($A12, INDIRECT("'" &amp; AF$2 &amp; "'!$A:$A"), INDIRECT("'" &amp; AF$2 &amp; "'!$B:$B"), "")&lt;&gt;"", "✓", "✗"), "✗")
)</f>
        <v>✓</v>
      </c>
      <c r="AG12" t="str" cm="1">
        <f t="array" aca="1" ref="AG12" ca="1">IF(
    ISNUMBER(VALUE(LEFT($A12, 1))),
    "",
    IFERROR(IF(_xlfn.XLOOKUP($A12, INDIRECT("'" &amp; AG$2 &amp; "'!$A:$A"), INDIRECT("'" &amp; AG$2 &amp; "'!$B:$B"), "")&lt;&gt;"", "✓", "✗"), "✗")
)</f>
        <v>✓</v>
      </c>
    </row>
    <row r="13" spans="1:33" x14ac:dyDescent="0.45">
      <c r="A13" t="str">
        <v>Last Name</v>
      </c>
      <c r="B13" t="str" cm="1">
        <f t="array" aca="1" ref="B13" ca="1">IF(
    ISNUMBER(VALUE(LEFT($A13, 1))),
    "",
    IFERROR(IF(_xlfn.XLOOKUP($A13, INDIRECT("'" &amp; B$2 &amp; "'!$A:$A"), INDIRECT("'" &amp; B$2 &amp; "'!$B:$B"), "")&lt;&gt;"", "✓", "✗"), "✗")
)</f>
        <v>✓</v>
      </c>
      <c r="C13" t="str" cm="1">
        <f t="array" aca="1" ref="C13" ca="1">IF(
    ISNUMBER(VALUE(LEFT($A13, 1))),
    "",
    IFERROR(IF(_xlfn.XLOOKUP($A13, INDIRECT("'" &amp; C$2 &amp; "'!$A:$A"), INDIRECT("'" &amp; C$2 &amp; "'!$B:$B"), "")&lt;&gt;"", "✓", "✗"), "✗")
)</f>
        <v>✓</v>
      </c>
      <c r="D13" t="str" cm="1">
        <f t="array" aca="1" ref="D13" ca="1">IF(
    ISNUMBER(VALUE(LEFT($A13, 1))),
    "",
    IFERROR(IF(_xlfn.XLOOKUP($A13, INDIRECT("'" &amp; D$2 &amp; "'!$A:$A"), INDIRECT("'" &amp; D$2 &amp; "'!$B:$B"), "")&lt;&gt;"", "✓", "✗"), "✗")
)</f>
        <v>✓</v>
      </c>
      <c r="E13" t="str" cm="1">
        <f t="array" aca="1" ref="E13" ca="1">IF(
    ISNUMBER(VALUE(LEFT($A13, 1))),
    "",
    IFERROR(IF(_xlfn.XLOOKUP($A13, INDIRECT("'" &amp; E$2 &amp; "'!$A:$A"), INDIRECT("'" &amp; E$2 &amp; "'!$B:$B"), "")&lt;&gt;"", "✓", "✗"), "✗")
)</f>
        <v>✓</v>
      </c>
      <c r="F13" t="str" cm="1">
        <f t="array" aca="1" ref="F13" ca="1">IF(
    ISNUMBER(VALUE(LEFT($A13, 1))),
    "",
    IFERROR(IF(_xlfn.XLOOKUP($A13, INDIRECT("'" &amp; F$2 &amp; "'!$A:$A"), INDIRECT("'" &amp; F$2 &amp; "'!$B:$B"), "")&lt;&gt;"", "✓", "✗"), "✗")
)</f>
        <v>✓</v>
      </c>
      <c r="G13" t="str" cm="1">
        <f t="array" aca="1" ref="G13" ca="1">IF(
    ISNUMBER(VALUE(LEFT($A13, 1))),
    "",
    IFERROR(IF(_xlfn.XLOOKUP($A13, INDIRECT("'" &amp; G$2 &amp; "'!$A:$A"), INDIRECT("'" &amp; G$2 &amp; "'!$B:$B"), "")&lt;&gt;"", "✓", "✗"), "✗")
)</f>
        <v>✓</v>
      </c>
      <c r="H13" t="str" cm="1">
        <f t="array" aca="1" ref="H13" ca="1">IF(
    ISNUMBER(VALUE(LEFT($A13, 1))),
    "",
    IFERROR(IF(_xlfn.XLOOKUP($A13, INDIRECT("'" &amp; H$2 &amp; "'!$A:$A"), INDIRECT("'" &amp; H$2 &amp; "'!$B:$B"), "")&lt;&gt;"", "✓", "✗"), "✗")
)</f>
        <v>✓</v>
      </c>
      <c r="I13" t="str" cm="1">
        <f t="array" aca="1" ref="I13" ca="1">IF(
    ISNUMBER(VALUE(LEFT($A13, 1))),
    "",
    IFERROR(IF(_xlfn.XLOOKUP($A13, INDIRECT("'" &amp; I$2 &amp; "'!$A:$A"), INDIRECT("'" &amp; I$2 &amp; "'!$B:$B"), "")&lt;&gt;"", "✓", "✗"), "✗")
)</f>
        <v>✓</v>
      </c>
      <c r="J13" t="str" cm="1">
        <f t="array" aca="1" ref="J13" ca="1">IF(
    ISNUMBER(VALUE(LEFT($A13, 1))),
    "",
    IFERROR(IF(_xlfn.XLOOKUP($A13, INDIRECT("'" &amp; J$2 &amp; "'!$A:$A"), INDIRECT("'" &amp; J$2 &amp; "'!$B:$B"), "")&lt;&gt;"", "✓", "✗"), "✗")
)</f>
        <v>✓</v>
      </c>
      <c r="K13" t="str" cm="1">
        <f t="array" aca="1" ref="K13" ca="1">IF(
    ISNUMBER(VALUE(LEFT($A13, 1))),
    "",
    IFERROR(IF(_xlfn.XLOOKUP($A13, INDIRECT("'" &amp; K$2 &amp; "'!$A:$A"), INDIRECT("'" &amp; K$2 &amp; "'!$B:$B"), "")&lt;&gt;"", "✓", "✗"), "✗")
)</f>
        <v>✓</v>
      </c>
      <c r="L13" t="str" cm="1">
        <f t="array" aca="1" ref="L13" ca="1">IF(
    ISNUMBER(VALUE(LEFT($A13, 1))),
    "",
    IFERROR(IF(_xlfn.XLOOKUP($A13, INDIRECT("'" &amp; L$2 &amp; "'!$A:$A"), INDIRECT("'" &amp; L$2 &amp; "'!$B:$B"), "")&lt;&gt;"", "✓", "✗"), "✗")
)</f>
        <v>✓</v>
      </c>
      <c r="M13" t="str" cm="1">
        <f t="array" aca="1" ref="M13" ca="1">IF(
    ISNUMBER(VALUE(LEFT($A13, 1))),
    "",
    IFERROR(IF(_xlfn.XLOOKUP($A13, INDIRECT("'" &amp; M$2 &amp; "'!$A:$A"), INDIRECT("'" &amp; M$2 &amp; "'!$B:$B"), "")&lt;&gt;"", "✓", "✗"), "✗")
)</f>
        <v>✓</v>
      </c>
      <c r="N13" t="str" cm="1">
        <f t="array" aca="1" ref="N13" ca="1">IF(
    ISNUMBER(VALUE(LEFT($A13, 1))),
    "",
    IFERROR(IF(_xlfn.XLOOKUP($A13, INDIRECT("'" &amp; N$2 &amp; "'!$A:$A"), INDIRECT("'" &amp; N$2 &amp; "'!$B:$B"), "")&lt;&gt;"", "✓", "✗"), "✗")
)</f>
        <v>✓</v>
      </c>
      <c r="O13" t="str" cm="1">
        <f t="array" aca="1" ref="O13" ca="1">IF(
    ISNUMBER(VALUE(LEFT($A13, 1))),
    "",
    IFERROR(IF(_xlfn.XLOOKUP($A13, INDIRECT("'" &amp; O$2 &amp; "'!$A:$A"), INDIRECT("'" &amp; O$2 &amp; "'!$B:$B"), "")&lt;&gt;"", "✓", "✗"), "✗")
)</f>
        <v>✓</v>
      </c>
      <c r="P13" t="str" cm="1">
        <f t="array" aca="1" ref="P13" ca="1">IF(
    ISNUMBER(VALUE(LEFT($A13, 1))),
    "",
    IFERROR(IF(_xlfn.XLOOKUP($A13, INDIRECT("'" &amp; P$2 &amp; "'!$A:$A"), INDIRECT("'" &amp; P$2 &amp; "'!$B:$B"), "")&lt;&gt;"", "✓", "✗"), "✗")
)</f>
        <v>✓</v>
      </c>
      <c r="Q13" t="str" cm="1">
        <f t="array" aca="1" ref="Q13" ca="1">IF(
    ISNUMBER(VALUE(LEFT($A13, 1))),
    "",
    IFERROR(IF(_xlfn.XLOOKUP($A13, INDIRECT("'" &amp; Q$2 &amp; "'!$A:$A"), INDIRECT("'" &amp; Q$2 &amp; "'!$B:$B"), "")&lt;&gt;"", "✓", "✗"), "✗")
)</f>
        <v>✓</v>
      </c>
      <c r="R13" t="str" cm="1">
        <f t="array" aca="1" ref="R13" ca="1">IF(
    ISNUMBER(VALUE(LEFT($A13, 1))),
    "",
    IFERROR(IF(_xlfn.XLOOKUP($A13, INDIRECT("'" &amp; R$2 &amp; "'!$A:$A"), INDIRECT("'" &amp; R$2 &amp; "'!$B:$B"), "")&lt;&gt;"", "✓", "✗"), "✗")
)</f>
        <v>✓</v>
      </c>
      <c r="S13" t="str" cm="1">
        <f t="array" aca="1" ref="S13" ca="1">IF(
    ISNUMBER(VALUE(LEFT($A13, 1))),
    "",
    IFERROR(IF(_xlfn.XLOOKUP($A13, INDIRECT("'" &amp; S$2 &amp; "'!$A:$A"), INDIRECT("'" &amp; S$2 &amp; "'!$B:$B"), "")&lt;&gt;"", "✓", "✗"), "✗")
)</f>
        <v>✓</v>
      </c>
      <c r="T13" t="str" cm="1">
        <f t="array" aca="1" ref="T13" ca="1">IF(
    ISNUMBER(VALUE(LEFT($A13, 1))),
    "",
    IFERROR(IF(_xlfn.XLOOKUP($A13, INDIRECT("'" &amp; T$2 &amp; "'!$A:$A"), INDIRECT("'" &amp; T$2 &amp; "'!$B:$B"), "")&lt;&gt;"", "✓", "✗"), "✗")
)</f>
        <v>✓</v>
      </c>
      <c r="U13" t="str" cm="1">
        <f t="array" aca="1" ref="U13" ca="1">IF(
    ISNUMBER(VALUE(LEFT($A13, 1))),
    "",
    IFERROR(IF(_xlfn.XLOOKUP($A13, INDIRECT("'" &amp; U$2 &amp; "'!$A:$A"), INDIRECT("'" &amp; U$2 &amp; "'!$B:$B"), "")&lt;&gt;"", "✓", "✗"), "✗")
)</f>
        <v>✓</v>
      </c>
      <c r="V13" t="str" cm="1">
        <f t="array" aca="1" ref="V13" ca="1">IF(
    ISNUMBER(VALUE(LEFT($A13, 1))),
    "",
    IFERROR(IF(_xlfn.XLOOKUP($A13, INDIRECT("'" &amp; V$2 &amp; "'!$A:$A"), INDIRECT("'" &amp; V$2 &amp; "'!$B:$B"), "")&lt;&gt;"", "✓", "✗"), "✗")
)</f>
        <v>✓</v>
      </c>
      <c r="W13" t="str" cm="1">
        <f t="array" aca="1" ref="W13" ca="1">IF(
    ISNUMBER(VALUE(LEFT($A13, 1))),
    "",
    IFERROR(IF(_xlfn.XLOOKUP($A13, INDIRECT("'" &amp; W$2 &amp; "'!$A:$A"), INDIRECT("'" &amp; W$2 &amp; "'!$B:$B"), "")&lt;&gt;"", "✓", "✗"), "✗")
)</f>
        <v>✓</v>
      </c>
      <c r="X13" t="str" cm="1">
        <f t="array" aca="1" ref="X13" ca="1">IF(
    ISNUMBER(VALUE(LEFT($A13, 1))),
    "",
    IFERROR(IF(_xlfn.XLOOKUP($A13, INDIRECT("'" &amp; X$2 &amp; "'!$A:$A"), INDIRECT("'" &amp; X$2 &amp; "'!$B:$B"), "")&lt;&gt;"", "✓", "✗"), "✗")
)</f>
        <v>✓</v>
      </c>
      <c r="Y13" t="str" cm="1">
        <f t="array" aca="1" ref="Y13" ca="1">IF(
    ISNUMBER(VALUE(LEFT($A13, 1))),
    "",
    IFERROR(IF(_xlfn.XLOOKUP($A13, INDIRECT("'" &amp; Y$2 &amp; "'!$A:$A"), INDIRECT("'" &amp; Y$2 &amp; "'!$B:$B"), "")&lt;&gt;"", "✓", "✗"), "✗")
)</f>
        <v>✓</v>
      </c>
      <c r="Z13" t="str" cm="1">
        <f t="array" aca="1" ref="Z13" ca="1">IF(
    ISNUMBER(VALUE(LEFT($A13, 1))),
    "",
    IFERROR(IF(_xlfn.XLOOKUP($A13, INDIRECT("'" &amp; Z$2 &amp; "'!$A:$A"), INDIRECT("'" &amp; Z$2 &amp; "'!$B:$B"), "")&lt;&gt;"", "✓", "✗"), "✗")
)</f>
        <v>✓</v>
      </c>
      <c r="AA13" t="str" cm="1">
        <f t="array" aca="1" ref="AA13" ca="1">IF(
    ISNUMBER(VALUE(LEFT($A13, 1))),
    "",
    IFERROR(IF(_xlfn.XLOOKUP($A13, INDIRECT("'" &amp; AA$2 &amp; "'!$A:$A"), INDIRECT("'" &amp; AA$2 &amp; "'!$B:$B"), "")&lt;&gt;"", "✓", "✗"), "✗")
)</f>
        <v>✓</v>
      </c>
      <c r="AB13" t="str" cm="1">
        <f t="array" aca="1" ref="AB13" ca="1">IF(
    ISNUMBER(VALUE(LEFT($A13, 1))),
    "",
    IFERROR(IF(_xlfn.XLOOKUP($A13, INDIRECT("'" &amp; AB$2 &amp; "'!$A:$A"), INDIRECT("'" &amp; AB$2 &amp; "'!$B:$B"), "")&lt;&gt;"", "✓", "✗"), "✗")
)</f>
        <v>✓</v>
      </c>
      <c r="AC13" t="str" cm="1">
        <f t="array" aca="1" ref="AC13" ca="1">IF(
    ISNUMBER(VALUE(LEFT($A13, 1))),
    "",
    IFERROR(IF(_xlfn.XLOOKUP($A13, INDIRECT("'" &amp; AC$2 &amp; "'!$A:$A"), INDIRECT("'" &amp; AC$2 &amp; "'!$B:$B"), "")&lt;&gt;"", "✓", "✗"), "✗")
)</f>
        <v>✗</v>
      </c>
      <c r="AD13" t="str" cm="1">
        <f t="array" aca="1" ref="AD13" ca="1">IF(
    ISNUMBER(VALUE(LEFT($A13, 1))),
    "",
    IFERROR(IF(_xlfn.XLOOKUP($A13, INDIRECT("'" &amp; AD$2 &amp; "'!$A:$A"), INDIRECT("'" &amp; AD$2 &amp; "'!$B:$B"), "")&lt;&gt;"", "✓", "✗"), "✗")
)</f>
        <v>✗</v>
      </c>
      <c r="AE13" t="str" cm="1">
        <f t="array" aca="1" ref="AE13" ca="1">IF(
    ISNUMBER(VALUE(LEFT($A13, 1))),
    "",
    IFERROR(IF(_xlfn.XLOOKUP($A13, INDIRECT("'" &amp; AE$2 &amp; "'!$A:$A"), INDIRECT("'" &amp; AE$2 &amp; "'!$B:$B"), "")&lt;&gt;"", "✓", "✗"), "✗")
)</f>
        <v>✓</v>
      </c>
      <c r="AF13" t="str" cm="1">
        <f t="array" aca="1" ref="AF13" ca="1">IF(
    ISNUMBER(VALUE(LEFT($A13, 1))),
    "",
    IFERROR(IF(_xlfn.XLOOKUP($A13, INDIRECT("'" &amp; AF$2 &amp; "'!$A:$A"), INDIRECT("'" &amp; AF$2 &amp; "'!$B:$B"), "")&lt;&gt;"", "✓", "✗"), "✗")
)</f>
        <v>✓</v>
      </c>
      <c r="AG13" t="str" cm="1">
        <f t="array" aca="1" ref="AG13" ca="1">IF(
    ISNUMBER(VALUE(LEFT($A13, 1))),
    "",
    IFERROR(IF(_xlfn.XLOOKUP($A13, INDIRECT("'" &amp; AG$2 &amp; "'!$A:$A"), INDIRECT("'" &amp; AG$2 &amp; "'!$B:$B"), "")&lt;&gt;"", "✓", "✗"), "✗")
)</f>
        <v>✓</v>
      </c>
    </row>
    <row r="14" spans="1:33" x14ac:dyDescent="0.45">
      <c r="A14" t="str">
        <v>Job Title</v>
      </c>
      <c r="B14" t="str" cm="1">
        <f t="array" aca="1" ref="B14" ca="1">IF(
    ISNUMBER(VALUE(LEFT($A14, 1))),
    "",
    IFERROR(IF(_xlfn.XLOOKUP($A14, INDIRECT("'" &amp; B$2 &amp; "'!$A:$A"), INDIRECT("'" &amp; B$2 &amp; "'!$B:$B"), "")&lt;&gt;"", "✓", "✗"), "✗")
)</f>
        <v>✓</v>
      </c>
      <c r="C14" t="str" cm="1">
        <f t="array" aca="1" ref="C14" ca="1">IF(
    ISNUMBER(VALUE(LEFT($A14, 1))),
    "",
    IFERROR(IF(_xlfn.XLOOKUP($A14, INDIRECT("'" &amp; C$2 &amp; "'!$A:$A"), INDIRECT("'" &amp; C$2 &amp; "'!$B:$B"), "")&lt;&gt;"", "✓", "✗"), "✗")
)</f>
        <v>✓</v>
      </c>
      <c r="D14" t="str" cm="1">
        <f t="array" aca="1" ref="D14" ca="1">IF(
    ISNUMBER(VALUE(LEFT($A14, 1))),
    "",
    IFERROR(IF(_xlfn.XLOOKUP($A14, INDIRECT("'" &amp; D$2 &amp; "'!$A:$A"), INDIRECT("'" &amp; D$2 &amp; "'!$B:$B"), "")&lt;&gt;"", "✓", "✗"), "✗")
)</f>
        <v>✓</v>
      </c>
      <c r="E14" t="str" cm="1">
        <f t="array" aca="1" ref="E14" ca="1">IF(
    ISNUMBER(VALUE(LEFT($A14, 1))),
    "",
    IFERROR(IF(_xlfn.XLOOKUP($A14, INDIRECT("'" &amp; E$2 &amp; "'!$A:$A"), INDIRECT("'" &amp; E$2 &amp; "'!$B:$B"), "")&lt;&gt;"", "✓", "✗"), "✗")
)</f>
        <v>✓</v>
      </c>
      <c r="F14" t="str" cm="1">
        <f t="array" aca="1" ref="F14" ca="1">IF(
    ISNUMBER(VALUE(LEFT($A14, 1))),
    "",
    IFERROR(IF(_xlfn.XLOOKUP($A14, INDIRECT("'" &amp; F$2 &amp; "'!$A:$A"), INDIRECT("'" &amp; F$2 &amp; "'!$B:$B"), "")&lt;&gt;"", "✓", "✗"), "✗")
)</f>
        <v>✓</v>
      </c>
      <c r="G14" t="str" cm="1">
        <f t="array" aca="1" ref="G14" ca="1">IF(
    ISNUMBER(VALUE(LEFT($A14, 1))),
    "",
    IFERROR(IF(_xlfn.XLOOKUP($A14, INDIRECT("'" &amp; G$2 &amp; "'!$A:$A"), INDIRECT("'" &amp; G$2 &amp; "'!$B:$B"), "")&lt;&gt;"", "✓", "✗"), "✗")
)</f>
        <v>✓</v>
      </c>
      <c r="H14" t="str" cm="1">
        <f t="array" aca="1" ref="H14" ca="1">IF(
    ISNUMBER(VALUE(LEFT($A14, 1))),
    "",
    IFERROR(IF(_xlfn.XLOOKUP($A14, INDIRECT("'" &amp; H$2 &amp; "'!$A:$A"), INDIRECT("'" &amp; H$2 &amp; "'!$B:$B"), "")&lt;&gt;"", "✓", "✗"), "✗")
)</f>
        <v>✓</v>
      </c>
      <c r="I14" t="str" cm="1">
        <f t="array" aca="1" ref="I14" ca="1">IF(
    ISNUMBER(VALUE(LEFT($A14, 1))),
    "",
    IFERROR(IF(_xlfn.XLOOKUP($A14, INDIRECT("'" &amp; I$2 &amp; "'!$A:$A"), INDIRECT("'" &amp; I$2 &amp; "'!$B:$B"), "")&lt;&gt;"", "✓", "✗"), "✗")
)</f>
        <v>✓</v>
      </c>
      <c r="J14" t="str" cm="1">
        <f t="array" aca="1" ref="J14" ca="1">IF(
    ISNUMBER(VALUE(LEFT($A14, 1))),
    "",
    IFERROR(IF(_xlfn.XLOOKUP($A14, INDIRECT("'" &amp; J$2 &amp; "'!$A:$A"), INDIRECT("'" &amp; J$2 &amp; "'!$B:$B"), "")&lt;&gt;"", "✓", "✗"), "✗")
)</f>
        <v>✓</v>
      </c>
      <c r="K14" t="str" cm="1">
        <f t="array" aca="1" ref="K14" ca="1">IF(
    ISNUMBER(VALUE(LEFT($A14, 1))),
    "",
    IFERROR(IF(_xlfn.XLOOKUP($A14, INDIRECT("'" &amp; K$2 &amp; "'!$A:$A"), INDIRECT("'" &amp; K$2 &amp; "'!$B:$B"), "")&lt;&gt;"", "✓", "✗"), "✗")
)</f>
        <v>✓</v>
      </c>
      <c r="L14" t="str" cm="1">
        <f t="array" aca="1" ref="L14" ca="1">IF(
    ISNUMBER(VALUE(LEFT($A14, 1))),
    "",
    IFERROR(IF(_xlfn.XLOOKUP($A14, INDIRECT("'" &amp; L$2 &amp; "'!$A:$A"), INDIRECT("'" &amp; L$2 &amp; "'!$B:$B"), "")&lt;&gt;"", "✓", "✗"), "✗")
)</f>
        <v>✓</v>
      </c>
      <c r="M14" t="str" cm="1">
        <f t="array" aca="1" ref="M14" ca="1">IF(
    ISNUMBER(VALUE(LEFT($A14, 1))),
    "",
    IFERROR(IF(_xlfn.XLOOKUP($A14, INDIRECT("'" &amp; M$2 &amp; "'!$A:$A"), INDIRECT("'" &amp; M$2 &amp; "'!$B:$B"), "")&lt;&gt;"", "✓", "✗"), "✗")
)</f>
        <v>✓</v>
      </c>
      <c r="N14" t="str" cm="1">
        <f t="array" aca="1" ref="N14" ca="1">IF(
    ISNUMBER(VALUE(LEFT($A14, 1))),
    "",
    IFERROR(IF(_xlfn.XLOOKUP($A14, INDIRECT("'" &amp; N$2 &amp; "'!$A:$A"), INDIRECT("'" &amp; N$2 &amp; "'!$B:$B"), "")&lt;&gt;"", "✓", "✗"), "✗")
)</f>
        <v>✓</v>
      </c>
      <c r="O14" t="str" cm="1">
        <f t="array" aca="1" ref="O14" ca="1">IF(
    ISNUMBER(VALUE(LEFT($A14, 1))),
    "",
    IFERROR(IF(_xlfn.XLOOKUP($A14, INDIRECT("'" &amp; O$2 &amp; "'!$A:$A"), INDIRECT("'" &amp; O$2 &amp; "'!$B:$B"), "")&lt;&gt;"", "✓", "✗"), "✗")
)</f>
        <v>✓</v>
      </c>
      <c r="P14" t="str" cm="1">
        <f t="array" aca="1" ref="P14" ca="1">IF(
    ISNUMBER(VALUE(LEFT($A14, 1))),
    "",
    IFERROR(IF(_xlfn.XLOOKUP($A14, INDIRECT("'" &amp; P$2 &amp; "'!$A:$A"), INDIRECT("'" &amp; P$2 &amp; "'!$B:$B"), "")&lt;&gt;"", "✓", "✗"), "✗")
)</f>
        <v>✓</v>
      </c>
      <c r="Q14" t="str" cm="1">
        <f t="array" aca="1" ref="Q14" ca="1">IF(
    ISNUMBER(VALUE(LEFT($A14, 1))),
    "",
    IFERROR(IF(_xlfn.XLOOKUP($A14, INDIRECT("'" &amp; Q$2 &amp; "'!$A:$A"), INDIRECT("'" &amp; Q$2 &amp; "'!$B:$B"), "")&lt;&gt;"", "✓", "✗"), "✗")
)</f>
        <v>✓</v>
      </c>
      <c r="R14" t="str" cm="1">
        <f t="array" aca="1" ref="R14" ca="1">IF(
    ISNUMBER(VALUE(LEFT($A14, 1))),
    "",
    IFERROR(IF(_xlfn.XLOOKUP($A14, INDIRECT("'" &amp; R$2 &amp; "'!$A:$A"), INDIRECT("'" &amp; R$2 &amp; "'!$B:$B"), "")&lt;&gt;"", "✓", "✗"), "✗")
)</f>
        <v>✓</v>
      </c>
      <c r="S14" t="str" cm="1">
        <f t="array" aca="1" ref="S14" ca="1">IF(
    ISNUMBER(VALUE(LEFT($A14, 1))),
    "",
    IFERROR(IF(_xlfn.XLOOKUP($A14, INDIRECT("'" &amp; S$2 &amp; "'!$A:$A"), INDIRECT("'" &amp; S$2 &amp; "'!$B:$B"), "")&lt;&gt;"", "✓", "✗"), "✗")
)</f>
        <v>✓</v>
      </c>
      <c r="T14" t="str" cm="1">
        <f t="array" aca="1" ref="T14" ca="1">IF(
    ISNUMBER(VALUE(LEFT($A14, 1))),
    "",
    IFERROR(IF(_xlfn.XLOOKUP($A14, INDIRECT("'" &amp; T$2 &amp; "'!$A:$A"), INDIRECT("'" &amp; T$2 &amp; "'!$B:$B"), "")&lt;&gt;"", "✓", "✗"), "✗")
)</f>
        <v>✓</v>
      </c>
      <c r="U14" t="str" cm="1">
        <f t="array" aca="1" ref="U14" ca="1">IF(
    ISNUMBER(VALUE(LEFT($A14, 1))),
    "",
    IFERROR(IF(_xlfn.XLOOKUP($A14, INDIRECT("'" &amp; U$2 &amp; "'!$A:$A"), INDIRECT("'" &amp; U$2 &amp; "'!$B:$B"), "")&lt;&gt;"", "✓", "✗"), "✗")
)</f>
        <v>✓</v>
      </c>
      <c r="V14" t="str" cm="1">
        <f t="array" aca="1" ref="V14" ca="1">IF(
    ISNUMBER(VALUE(LEFT($A14, 1))),
    "",
    IFERROR(IF(_xlfn.XLOOKUP($A14, INDIRECT("'" &amp; V$2 &amp; "'!$A:$A"), INDIRECT("'" &amp; V$2 &amp; "'!$B:$B"), "")&lt;&gt;"", "✓", "✗"), "✗")
)</f>
        <v>✓</v>
      </c>
      <c r="W14" t="str" cm="1">
        <f t="array" aca="1" ref="W14" ca="1">IF(
    ISNUMBER(VALUE(LEFT($A14, 1))),
    "",
    IFERROR(IF(_xlfn.XLOOKUP($A14, INDIRECT("'" &amp; W$2 &amp; "'!$A:$A"), INDIRECT("'" &amp; W$2 &amp; "'!$B:$B"), "")&lt;&gt;"", "✓", "✗"), "✗")
)</f>
        <v>✓</v>
      </c>
      <c r="X14" t="str" cm="1">
        <f t="array" aca="1" ref="X14" ca="1">IF(
    ISNUMBER(VALUE(LEFT($A14, 1))),
    "",
    IFERROR(IF(_xlfn.XLOOKUP($A14, INDIRECT("'" &amp; X$2 &amp; "'!$A:$A"), INDIRECT("'" &amp; X$2 &amp; "'!$B:$B"), "")&lt;&gt;"", "✓", "✗"), "✗")
)</f>
        <v>✓</v>
      </c>
      <c r="Y14" t="str" cm="1">
        <f t="array" aca="1" ref="Y14" ca="1">IF(
    ISNUMBER(VALUE(LEFT($A14, 1))),
    "",
    IFERROR(IF(_xlfn.XLOOKUP($A14, INDIRECT("'" &amp; Y$2 &amp; "'!$A:$A"), INDIRECT("'" &amp; Y$2 &amp; "'!$B:$B"), "")&lt;&gt;"", "✓", "✗"), "✗")
)</f>
        <v>✓</v>
      </c>
      <c r="Z14" t="str" cm="1">
        <f t="array" aca="1" ref="Z14" ca="1">IF(
    ISNUMBER(VALUE(LEFT($A14, 1))),
    "",
    IFERROR(IF(_xlfn.XLOOKUP($A14, INDIRECT("'" &amp; Z$2 &amp; "'!$A:$A"), INDIRECT("'" &amp; Z$2 &amp; "'!$B:$B"), "")&lt;&gt;"", "✓", "✗"), "✗")
)</f>
        <v>✓</v>
      </c>
      <c r="AA14" t="str" cm="1">
        <f t="array" aca="1" ref="AA14" ca="1">IF(
    ISNUMBER(VALUE(LEFT($A14, 1))),
    "",
    IFERROR(IF(_xlfn.XLOOKUP($A14, INDIRECT("'" &amp; AA$2 &amp; "'!$A:$A"), INDIRECT("'" &amp; AA$2 &amp; "'!$B:$B"), "")&lt;&gt;"", "✓", "✗"), "✗")
)</f>
        <v>✓</v>
      </c>
      <c r="AB14" t="str" cm="1">
        <f t="array" aca="1" ref="AB14" ca="1">IF(
    ISNUMBER(VALUE(LEFT($A14, 1))),
    "",
    IFERROR(IF(_xlfn.XLOOKUP($A14, INDIRECT("'" &amp; AB$2 &amp; "'!$A:$A"), INDIRECT("'" &amp; AB$2 &amp; "'!$B:$B"), "")&lt;&gt;"", "✓", "✗"), "✗")
)</f>
        <v>✓</v>
      </c>
      <c r="AC14" t="str" cm="1">
        <f t="array" aca="1" ref="AC14" ca="1">IF(
    ISNUMBER(VALUE(LEFT($A14, 1))),
    "",
    IFERROR(IF(_xlfn.XLOOKUP($A14, INDIRECT("'" &amp; AC$2 &amp; "'!$A:$A"), INDIRECT("'" &amp; AC$2 &amp; "'!$B:$B"), "")&lt;&gt;"", "✓", "✗"), "✗")
)</f>
        <v>✗</v>
      </c>
      <c r="AD14" t="str" cm="1">
        <f t="array" aca="1" ref="AD14" ca="1">IF(
    ISNUMBER(VALUE(LEFT($A14, 1))),
    "",
    IFERROR(IF(_xlfn.XLOOKUP($A14, INDIRECT("'" &amp; AD$2 &amp; "'!$A:$A"), INDIRECT("'" &amp; AD$2 &amp; "'!$B:$B"), "")&lt;&gt;"", "✓", "✗"), "✗")
)</f>
        <v>✗</v>
      </c>
      <c r="AE14" t="str" cm="1">
        <f t="array" aca="1" ref="AE14" ca="1">IF(
    ISNUMBER(VALUE(LEFT($A14, 1))),
    "",
    IFERROR(IF(_xlfn.XLOOKUP($A14, INDIRECT("'" &amp; AE$2 &amp; "'!$A:$A"), INDIRECT("'" &amp; AE$2 &amp; "'!$B:$B"), "")&lt;&gt;"", "✓", "✗"), "✗")
)</f>
        <v>✓</v>
      </c>
      <c r="AF14" t="str" cm="1">
        <f t="array" aca="1" ref="AF14" ca="1">IF(
    ISNUMBER(VALUE(LEFT($A14, 1))),
    "",
    IFERROR(IF(_xlfn.XLOOKUP($A14, INDIRECT("'" &amp; AF$2 &amp; "'!$A:$A"), INDIRECT("'" &amp; AF$2 &amp; "'!$B:$B"), "")&lt;&gt;"", "✓", "✗"), "✗")
)</f>
        <v>✓</v>
      </c>
      <c r="AG14" t="str" cm="1">
        <f t="array" aca="1" ref="AG14" ca="1">IF(
    ISNUMBER(VALUE(LEFT($A14, 1))),
    "",
    IFERROR(IF(_xlfn.XLOOKUP($A14, INDIRECT("'" &amp; AG$2 &amp; "'!$A:$A"), INDIRECT("'" &amp; AG$2 &amp; "'!$B:$B"), "")&lt;&gt;"", "✓", "✗"), "✗")
)</f>
        <v>✓</v>
      </c>
    </row>
    <row r="15" spans="1:33" x14ac:dyDescent="0.45">
      <c r="A15" t="str">
        <v>Job Level</v>
      </c>
      <c r="B15" t="str" cm="1">
        <f t="array" aca="1" ref="B15" ca="1">IF(
    ISNUMBER(VALUE(LEFT($A15, 1))),
    "",
    IFERROR(IF(_xlfn.XLOOKUP($A15, INDIRECT("'" &amp; B$2 &amp; "'!$A:$A"), INDIRECT("'" &amp; B$2 &amp; "'!$B:$B"), "")&lt;&gt;"", "✓", "✗"), "✗")
)</f>
        <v>✓</v>
      </c>
      <c r="C15" t="str" cm="1">
        <f t="array" aca="1" ref="C15" ca="1">IF(
    ISNUMBER(VALUE(LEFT($A15, 1))),
    "",
    IFERROR(IF(_xlfn.XLOOKUP($A15, INDIRECT("'" &amp; C$2 &amp; "'!$A:$A"), INDIRECT("'" &amp; C$2 &amp; "'!$B:$B"), "")&lt;&gt;"", "✓", "✗"), "✗")
)</f>
        <v>✓</v>
      </c>
      <c r="D15" t="str" cm="1">
        <f t="array" aca="1" ref="D15" ca="1">IF(
    ISNUMBER(VALUE(LEFT($A15, 1))),
    "",
    IFERROR(IF(_xlfn.XLOOKUP($A15, INDIRECT("'" &amp; D$2 &amp; "'!$A:$A"), INDIRECT("'" &amp; D$2 &amp; "'!$B:$B"), "")&lt;&gt;"", "✓", "✗"), "✗")
)</f>
        <v>✓</v>
      </c>
      <c r="E15" t="str" cm="1">
        <f t="array" aca="1" ref="E15" ca="1">IF(
    ISNUMBER(VALUE(LEFT($A15, 1))),
    "",
    IFERROR(IF(_xlfn.XLOOKUP($A15, INDIRECT("'" &amp; E$2 &amp; "'!$A:$A"), INDIRECT("'" &amp; E$2 &amp; "'!$B:$B"), "")&lt;&gt;"", "✓", "✗"), "✗")
)</f>
        <v>✓</v>
      </c>
      <c r="F15" t="str" cm="1">
        <f t="array" aca="1" ref="F15" ca="1">IF(
    ISNUMBER(VALUE(LEFT($A15, 1))),
    "",
    IFERROR(IF(_xlfn.XLOOKUP($A15, INDIRECT("'" &amp; F$2 &amp; "'!$A:$A"), INDIRECT("'" &amp; F$2 &amp; "'!$B:$B"), "")&lt;&gt;"", "✓", "✗"), "✗")
)</f>
        <v>✓</v>
      </c>
      <c r="G15" t="str" cm="1">
        <f t="array" aca="1" ref="G15" ca="1">IF(
    ISNUMBER(VALUE(LEFT($A15, 1))),
    "",
    IFERROR(IF(_xlfn.XLOOKUP($A15, INDIRECT("'" &amp; G$2 &amp; "'!$A:$A"), INDIRECT("'" &amp; G$2 &amp; "'!$B:$B"), "")&lt;&gt;"", "✓", "✗"), "✗")
)</f>
        <v>✓</v>
      </c>
      <c r="H15" t="str" cm="1">
        <f t="array" aca="1" ref="H15" ca="1">IF(
    ISNUMBER(VALUE(LEFT($A15, 1))),
    "",
    IFERROR(IF(_xlfn.XLOOKUP($A15, INDIRECT("'" &amp; H$2 &amp; "'!$A:$A"), INDIRECT("'" &amp; H$2 &amp; "'!$B:$B"), "")&lt;&gt;"", "✓", "✗"), "✗")
)</f>
        <v>✓</v>
      </c>
      <c r="I15" t="str" cm="1">
        <f t="array" aca="1" ref="I15" ca="1">IF(
    ISNUMBER(VALUE(LEFT($A15, 1))),
    "",
    IFERROR(IF(_xlfn.XLOOKUP($A15, INDIRECT("'" &amp; I$2 &amp; "'!$A:$A"), INDIRECT("'" &amp; I$2 &amp; "'!$B:$B"), "")&lt;&gt;"", "✓", "✗"), "✗")
)</f>
        <v>✓</v>
      </c>
      <c r="J15" t="str" cm="1">
        <f t="array" aca="1" ref="J15" ca="1">IF(
    ISNUMBER(VALUE(LEFT($A15, 1))),
    "",
    IFERROR(IF(_xlfn.XLOOKUP($A15, INDIRECT("'" &amp; J$2 &amp; "'!$A:$A"), INDIRECT("'" &amp; J$2 &amp; "'!$B:$B"), "")&lt;&gt;"", "✓", "✗"), "✗")
)</f>
        <v>✓</v>
      </c>
      <c r="K15" t="str" cm="1">
        <f t="array" aca="1" ref="K15" ca="1">IF(
    ISNUMBER(VALUE(LEFT($A15, 1))),
    "",
    IFERROR(IF(_xlfn.XLOOKUP($A15, INDIRECT("'" &amp; K$2 &amp; "'!$A:$A"), INDIRECT("'" &amp; K$2 &amp; "'!$B:$B"), "")&lt;&gt;"", "✓", "✗"), "✗")
)</f>
        <v>✓</v>
      </c>
      <c r="L15" t="str" cm="1">
        <f t="array" aca="1" ref="L15" ca="1">IF(
    ISNUMBER(VALUE(LEFT($A15, 1))),
    "",
    IFERROR(IF(_xlfn.XLOOKUP($A15, INDIRECT("'" &amp; L$2 &amp; "'!$A:$A"), INDIRECT("'" &amp; L$2 &amp; "'!$B:$B"), "")&lt;&gt;"", "✓", "✗"), "✗")
)</f>
        <v>✓</v>
      </c>
      <c r="M15" t="str" cm="1">
        <f t="array" aca="1" ref="M15" ca="1">IF(
    ISNUMBER(VALUE(LEFT($A15, 1))),
    "",
    IFERROR(IF(_xlfn.XLOOKUP($A15, INDIRECT("'" &amp; M$2 &amp; "'!$A:$A"), INDIRECT("'" &amp; M$2 &amp; "'!$B:$B"), "")&lt;&gt;"", "✓", "✗"), "✗")
)</f>
        <v>✓</v>
      </c>
      <c r="N15" t="str" cm="1">
        <f t="array" aca="1" ref="N15" ca="1">IF(
    ISNUMBER(VALUE(LEFT($A15, 1))),
    "",
    IFERROR(IF(_xlfn.XLOOKUP($A15, INDIRECT("'" &amp; N$2 &amp; "'!$A:$A"), INDIRECT("'" &amp; N$2 &amp; "'!$B:$B"), "")&lt;&gt;"", "✓", "✗"), "✗")
)</f>
        <v>✓</v>
      </c>
      <c r="O15" t="str" cm="1">
        <f t="array" aca="1" ref="O15" ca="1">IF(
    ISNUMBER(VALUE(LEFT($A15, 1))),
    "",
    IFERROR(IF(_xlfn.XLOOKUP($A15, INDIRECT("'" &amp; O$2 &amp; "'!$A:$A"), INDIRECT("'" &amp; O$2 &amp; "'!$B:$B"), "")&lt;&gt;"", "✓", "✗"), "✗")
)</f>
        <v>✓</v>
      </c>
      <c r="P15" t="str" cm="1">
        <f t="array" aca="1" ref="P15" ca="1">IF(
    ISNUMBER(VALUE(LEFT($A15, 1))),
    "",
    IFERROR(IF(_xlfn.XLOOKUP($A15, INDIRECT("'" &amp; P$2 &amp; "'!$A:$A"), INDIRECT("'" &amp; P$2 &amp; "'!$B:$B"), "")&lt;&gt;"", "✓", "✗"), "✗")
)</f>
        <v>✓</v>
      </c>
      <c r="Q15" t="str" cm="1">
        <f t="array" aca="1" ref="Q15" ca="1">IF(
    ISNUMBER(VALUE(LEFT($A15, 1))),
    "",
    IFERROR(IF(_xlfn.XLOOKUP($A15, INDIRECT("'" &amp; Q$2 &amp; "'!$A:$A"), INDIRECT("'" &amp; Q$2 &amp; "'!$B:$B"), "")&lt;&gt;"", "✓", "✗"), "✗")
)</f>
        <v>✓</v>
      </c>
      <c r="R15" t="str" cm="1">
        <f t="array" aca="1" ref="R15" ca="1">IF(
    ISNUMBER(VALUE(LEFT($A15, 1))),
    "",
    IFERROR(IF(_xlfn.XLOOKUP($A15, INDIRECT("'" &amp; R$2 &amp; "'!$A:$A"), INDIRECT("'" &amp; R$2 &amp; "'!$B:$B"), "")&lt;&gt;"", "✓", "✗"), "✗")
)</f>
        <v>✓</v>
      </c>
      <c r="S15" t="str" cm="1">
        <f t="array" aca="1" ref="S15" ca="1">IF(
    ISNUMBER(VALUE(LEFT($A15, 1))),
    "",
    IFERROR(IF(_xlfn.XLOOKUP($A15, INDIRECT("'" &amp; S$2 &amp; "'!$A:$A"), INDIRECT("'" &amp; S$2 &amp; "'!$B:$B"), "")&lt;&gt;"", "✓", "✗"), "✗")
)</f>
        <v>✓</v>
      </c>
      <c r="T15" t="str" cm="1">
        <f t="array" aca="1" ref="T15" ca="1">IF(
    ISNUMBER(VALUE(LEFT($A15, 1))),
    "",
    IFERROR(IF(_xlfn.XLOOKUP($A15, INDIRECT("'" &amp; T$2 &amp; "'!$A:$A"), INDIRECT("'" &amp; T$2 &amp; "'!$B:$B"), "")&lt;&gt;"", "✓", "✗"), "✗")
)</f>
        <v>✓</v>
      </c>
      <c r="U15" t="str" cm="1">
        <f t="array" aca="1" ref="U15" ca="1">IF(
    ISNUMBER(VALUE(LEFT($A15, 1))),
    "",
    IFERROR(IF(_xlfn.XLOOKUP($A15, INDIRECT("'" &amp; U$2 &amp; "'!$A:$A"), INDIRECT("'" &amp; U$2 &amp; "'!$B:$B"), "")&lt;&gt;"", "✓", "✗"), "✗")
)</f>
        <v>✓</v>
      </c>
      <c r="V15" t="str" cm="1">
        <f t="array" aca="1" ref="V15" ca="1">IF(
    ISNUMBER(VALUE(LEFT($A15, 1))),
    "",
    IFERROR(IF(_xlfn.XLOOKUP($A15, INDIRECT("'" &amp; V$2 &amp; "'!$A:$A"), INDIRECT("'" &amp; V$2 &amp; "'!$B:$B"), "")&lt;&gt;"", "✓", "✗"), "✗")
)</f>
        <v>✓</v>
      </c>
      <c r="W15" t="str" cm="1">
        <f t="array" aca="1" ref="W15" ca="1">IF(
    ISNUMBER(VALUE(LEFT($A15, 1))),
    "",
    IFERROR(IF(_xlfn.XLOOKUP($A15, INDIRECT("'" &amp; W$2 &amp; "'!$A:$A"), INDIRECT("'" &amp; W$2 &amp; "'!$B:$B"), "")&lt;&gt;"", "✓", "✗"), "✗")
)</f>
        <v>✓</v>
      </c>
      <c r="X15" t="str" cm="1">
        <f t="array" aca="1" ref="X15" ca="1">IF(
    ISNUMBER(VALUE(LEFT($A15, 1))),
    "",
    IFERROR(IF(_xlfn.XLOOKUP($A15, INDIRECT("'" &amp; X$2 &amp; "'!$A:$A"), INDIRECT("'" &amp; X$2 &amp; "'!$B:$B"), "")&lt;&gt;"", "✓", "✗"), "✗")
)</f>
        <v>✓</v>
      </c>
      <c r="Y15" t="str" cm="1">
        <f t="array" aca="1" ref="Y15" ca="1">IF(
    ISNUMBER(VALUE(LEFT($A15, 1))),
    "",
    IFERROR(IF(_xlfn.XLOOKUP($A15, INDIRECT("'" &amp; Y$2 &amp; "'!$A:$A"), INDIRECT("'" &amp; Y$2 &amp; "'!$B:$B"), "")&lt;&gt;"", "✓", "✗"), "✗")
)</f>
        <v>✓</v>
      </c>
      <c r="Z15" t="str" cm="1">
        <f t="array" aca="1" ref="Z15" ca="1">IF(
    ISNUMBER(VALUE(LEFT($A15, 1))),
    "",
    IFERROR(IF(_xlfn.XLOOKUP($A15, INDIRECT("'" &amp; Z$2 &amp; "'!$A:$A"), INDIRECT("'" &amp; Z$2 &amp; "'!$B:$B"), "")&lt;&gt;"", "✓", "✗"), "✗")
)</f>
        <v>✓</v>
      </c>
      <c r="AA15" t="str" cm="1">
        <f t="array" aca="1" ref="AA15" ca="1">IF(
    ISNUMBER(VALUE(LEFT($A15, 1))),
    "",
    IFERROR(IF(_xlfn.XLOOKUP($A15, INDIRECT("'" &amp; AA$2 &amp; "'!$A:$A"), INDIRECT("'" &amp; AA$2 &amp; "'!$B:$B"), "")&lt;&gt;"", "✓", "✗"), "✗")
)</f>
        <v>✓</v>
      </c>
      <c r="AB15" t="str" cm="1">
        <f t="array" aca="1" ref="AB15" ca="1">IF(
    ISNUMBER(VALUE(LEFT($A15, 1))),
    "",
    IFERROR(IF(_xlfn.XLOOKUP($A15, INDIRECT("'" &amp; AB$2 &amp; "'!$A:$A"), INDIRECT("'" &amp; AB$2 &amp; "'!$B:$B"), "")&lt;&gt;"", "✓", "✗"), "✗")
)</f>
        <v>✓</v>
      </c>
      <c r="AC15" t="str" cm="1">
        <f t="array" aca="1" ref="AC15" ca="1">IF(
    ISNUMBER(VALUE(LEFT($A15, 1))),
    "",
    IFERROR(IF(_xlfn.XLOOKUP($A15, INDIRECT("'" &amp; AC$2 &amp; "'!$A:$A"), INDIRECT("'" &amp; AC$2 &amp; "'!$B:$B"), "")&lt;&gt;"", "✓", "✗"), "✗")
)</f>
        <v>✗</v>
      </c>
      <c r="AD15" t="str" cm="1">
        <f t="array" aca="1" ref="AD15" ca="1">IF(
    ISNUMBER(VALUE(LEFT($A15, 1))),
    "",
    IFERROR(IF(_xlfn.XLOOKUP($A15, INDIRECT("'" &amp; AD$2 &amp; "'!$A:$A"), INDIRECT("'" &amp; AD$2 &amp; "'!$B:$B"), "")&lt;&gt;"", "✓", "✗"), "✗")
)</f>
        <v>✗</v>
      </c>
      <c r="AE15" t="str" cm="1">
        <f t="array" aca="1" ref="AE15" ca="1">IF(
    ISNUMBER(VALUE(LEFT($A15, 1))),
    "",
    IFERROR(IF(_xlfn.XLOOKUP($A15, INDIRECT("'" &amp; AE$2 &amp; "'!$A:$A"), INDIRECT("'" &amp; AE$2 &amp; "'!$B:$B"), "")&lt;&gt;"", "✓", "✗"), "✗")
)</f>
        <v>✓</v>
      </c>
      <c r="AF15" t="str" cm="1">
        <f t="array" aca="1" ref="AF15" ca="1">IF(
    ISNUMBER(VALUE(LEFT($A15, 1))),
    "",
    IFERROR(IF(_xlfn.XLOOKUP($A15, INDIRECT("'" &amp; AF$2 &amp; "'!$A:$A"), INDIRECT("'" &amp; AF$2 &amp; "'!$B:$B"), "")&lt;&gt;"", "✓", "✗"), "✗")
)</f>
        <v>✓</v>
      </c>
      <c r="AG15" t="str" cm="1">
        <f t="array" aca="1" ref="AG15" ca="1">IF(
    ISNUMBER(VALUE(LEFT($A15, 1))),
    "",
    IFERROR(IF(_xlfn.XLOOKUP($A15, INDIRECT("'" &amp; AG$2 &amp; "'!$A:$A"), INDIRECT("'" &amp; AG$2 &amp; "'!$B:$B"), "")&lt;&gt;"", "✓", "✗"), "✗")
)</f>
        <v>✓</v>
      </c>
    </row>
    <row r="16" spans="1:33" x14ac:dyDescent="0.45">
      <c r="A16" t="str">
        <v>Job Department</v>
      </c>
      <c r="B16" t="str" cm="1">
        <f t="array" aca="1" ref="B16" ca="1">IF(
    ISNUMBER(VALUE(LEFT($A16, 1))),
    "",
    IFERROR(IF(_xlfn.XLOOKUP($A16, INDIRECT("'" &amp; B$2 &amp; "'!$A:$A"), INDIRECT("'" &amp; B$2 &amp; "'!$B:$B"), "")&lt;&gt;"", "✓", "✗"), "✗")
)</f>
        <v>✓</v>
      </c>
      <c r="C16" t="str" cm="1">
        <f t="array" aca="1" ref="C16" ca="1">IF(
    ISNUMBER(VALUE(LEFT($A16, 1))),
    "",
    IFERROR(IF(_xlfn.XLOOKUP($A16, INDIRECT("'" &amp; C$2 &amp; "'!$A:$A"), INDIRECT("'" &amp; C$2 &amp; "'!$B:$B"), "")&lt;&gt;"", "✓", "✗"), "✗")
)</f>
        <v>✓</v>
      </c>
      <c r="D16" t="str" cm="1">
        <f t="array" aca="1" ref="D16" ca="1">IF(
    ISNUMBER(VALUE(LEFT($A16, 1))),
    "",
    IFERROR(IF(_xlfn.XLOOKUP($A16, INDIRECT("'" &amp; D$2 &amp; "'!$A:$A"), INDIRECT("'" &amp; D$2 &amp; "'!$B:$B"), "")&lt;&gt;"", "✓", "✗"), "✗")
)</f>
        <v>✓</v>
      </c>
      <c r="E16" t="str" cm="1">
        <f t="array" aca="1" ref="E16" ca="1">IF(
    ISNUMBER(VALUE(LEFT($A16, 1))),
    "",
    IFERROR(IF(_xlfn.XLOOKUP($A16, INDIRECT("'" &amp; E$2 &amp; "'!$A:$A"), INDIRECT("'" &amp; E$2 &amp; "'!$B:$B"), "")&lt;&gt;"", "✓", "✗"), "✗")
)</f>
        <v>✓</v>
      </c>
      <c r="F16" t="str" cm="1">
        <f t="array" aca="1" ref="F16" ca="1">IF(
    ISNUMBER(VALUE(LEFT($A16, 1))),
    "",
    IFERROR(IF(_xlfn.XLOOKUP($A16, INDIRECT("'" &amp; F$2 &amp; "'!$A:$A"), INDIRECT("'" &amp; F$2 &amp; "'!$B:$B"), "")&lt;&gt;"", "✓", "✗"), "✗")
)</f>
        <v>✓</v>
      </c>
      <c r="G16" t="str" cm="1">
        <f t="array" aca="1" ref="G16" ca="1">IF(
    ISNUMBER(VALUE(LEFT($A16, 1))),
    "",
    IFERROR(IF(_xlfn.XLOOKUP($A16, INDIRECT("'" &amp; G$2 &amp; "'!$A:$A"), INDIRECT("'" &amp; G$2 &amp; "'!$B:$B"), "")&lt;&gt;"", "✓", "✗"), "✗")
)</f>
        <v>✓</v>
      </c>
      <c r="H16" t="str" cm="1">
        <f t="array" aca="1" ref="H16" ca="1">IF(
    ISNUMBER(VALUE(LEFT($A16, 1))),
    "",
    IFERROR(IF(_xlfn.XLOOKUP($A16, INDIRECT("'" &amp; H$2 &amp; "'!$A:$A"), INDIRECT("'" &amp; H$2 &amp; "'!$B:$B"), "")&lt;&gt;"", "✓", "✗"), "✗")
)</f>
        <v>✓</v>
      </c>
      <c r="I16" t="str" cm="1">
        <f t="array" aca="1" ref="I16" ca="1">IF(
    ISNUMBER(VALUE(LEFT($A16, 1))),
    "",
    IFERROR(IF(_xlfn.XLOOKUP($A16, INDIRECT("'" &amp; I$2 &amp; "'!$A:$A"), INDIRECT("'" &amp; I$2 &amp; "'!$B:$B"), "")&lt;&gt;"", "✓", "✗"), "✗")
)</f>
        <v>✓</v>
      </c>
      <c r="J16" t="str" cm="1">
        <f t="array" aca="1" ref="J16" ca="1">IF(
    ISNUMBER(VALUE(LEFT($A16, 1))),
    "",
    IFERROR(IF(_xlfn.XLOOKUP($A16, INDIRECT("'" &amp; J$2 &amp; "'!$A:$A"), INDIRECT("'" &amp; J$2 &amp; "'!$B:$B"), "")&lt;&gt;"", "✓", "✗"), "✗")
)</f>
        <v>✓</v>
      </c>
      <c r="K16" t="str" cm="1">
        <f t="array" aca="1" ref="K16" ca="1">IF(
    ISNUMBER(VALUE(LEFT($A16, 1))),
    "",
    IFERROR(IF(_xlfn.XLOOKUP($A16, INDIRECT("'" &amp; K$2 &amp; "'!$A:$A"), INDIRECT("'" &amp; K$2 &amp; "'!$B:$B"), "")&lt;&gt;"", "✓", "✗"), "✗")
)</f>
        <v>✓</v>
      </c>
      <c r="L16" t="str" cm="1">
        <f t="array" aca="1" ref="L16" ca="1">IF(
    ISNUMBER(VALUE(LEFT($A16, 1))),
    "",
    IFERROR(IF(_xlfn.XLOOKUP($A16, INDIRECT("'" &amp; L$2 &amp; "'!$A:$A"), INDIRECT("'" &amp; L$2 &amp; "'!$B:$B"), "")&lt;&gt;"", "✓", "✗"), "✗")
)</f>
        <v>✓</v>
      </c>
      <c r="M16" t="str" cm="1">
        <f t="array" aca="1" ref="M16" ca="1">IF(
    ISNUMBER(VALUE(LEFT($A16, 1))),
    "",
    IFERROR(IF(_xlfn.XLOOKUP($A16, INDIRECT("'" &amp; M$2 &amp; "'!$A:$A"), INDIRECT("'" &amp; M$2 &amp; "'!$B:$B"), "")&lt;&gt;"", "✓", "✗"), "✗")
)</f>
        <v>✓</v>
      </c>
      <c r="N16" t="str" cm="1">
        <f t="array" aca="1" ref="N16" ca="1">IF(
    ISNUMBER(VALUE(LEFT($A16, 1))),
    "",
    IFERROR(IF(_xlfn.XLOOKUP($A16, INDIRECT("'" &amp; N$2 &amp; "'!$A:$A"), INDIRECT("'" &amp; N$2 &amp; "'!$B:$B"), "")&lt;&gt;"", "✓", "✗"), "✗")
)</f>
        <v>✓</v>
      </c>
      <c r="O16" t="str" cm="1">
        <f t="array" aca="1" ref="O16" ca="1">IF(
    ISNUMBER(VALUE(LEFT($A16, 1))),
    "",
    IFERROR(IF(_xlfn.XLOOKUP($A16, INDIRECT("'" &amp; O$2 &amp; "'!$A:$A"), INDIRECT("'" &amp; O$2 &amp; "'!$B:$B"), "")&lt;&gt;"", "✓", "✗"), "✗")
)</f>
        <v>✓</v>
      </c>
      <c r="P16" t="str" cm="1">
        <f t="array" aca="1" ref="P16" ca="1">IF(
    ISNUMBER(VALUE(LEFT($A16, 1))),
    "",
    IFERROR(IF(_xlfn.XLOOKUP($A16, INDIRECT("'" &amp; P$2 &amp; "'!$A:$A"), INDIRECT("'" &amp; P$2 &amp; "'!$B:$B"), "")&lt;&gt;"", "✓", "✗"), "✗")
)</f>
        <v>✓</v>
      </c>
      <c r="Q16" t="str" cm="1">
        <f t="array" aca="1" ref="Q16" ca="1">IF(
    ISNUMBER(VALUE(LEFT($A16, 1))),
    "",
    IFERROR(IF(_xlfn.XLOOKUP($A16, INDIRECT("'" &amp; Q$2 &amp; "'!$A:$A"), INDIRECT("'" &amp; Q$2 &amp; "'!$B:$B"), "")&lt;&gt;"", "✓", "✗"), "✗")
)</f>
        <v>✓</v>
      </c>
      <c r="R16" t="str" cm="1">
        <f t="array" aca="1" ref="R16" ca="1">IF(
    ISNUMBER(VALUE(LEFT($A16, 1))),
    "",
    IFERROR(IF(_xlfn.XLOOKUP($A16, INDIRECT("'" &amp; R$2 &amp; "'!$A:$A"), INDIRECT("'" &amp; R$2 &amp; "'!$B:$B"), "")&lt;&gt;"", "✓", "✗"), "✗")
)</f>
        <v>✓</v>
      </c>
      <c r="S16" t="str" cm="1">
        <f t="array" aca="1" ref="S16" ca="1">IF(
    ISNUMBER(VALUE(LEFT($A16, 1))),
    "",
    IFERROR(IF(_xlfn.XLOOKUP($A16, INDIRECT("'" &amp; S$2 &amp; "'!$A:$A"), INDIRECT("'" &amp; S$2 &amp; "'!$B:$B"), "")&lt;&gt;"", "✓", "✗"), "✗")
)</f>
        <v>✓</v>
      </c>
      <c r="T16" t="str" cm="1">
        <f t="array" aca="1" ref="T16" ca="1">IF(
    ISNUMBER(VALUE(LEFT($A16, 1))),
    "",
    IFERROR(IF(_xlfn.XLOOKUP($A16, INDIRECT("'" &amp; T$2 &amp; "'!$A:$A"), INDIRECT("'" &amp; T$2 &amp; "'!$B:$B"), "")&lt;&gt;"", "✓", "✗"), "✗")
)</f>
        <v>✓</v>
      </c>
      <c r="U16" t="str" cm="1">
        <f t="array" aca="1" ref="U16" ca="1">IF(
    ISNUMBER(VALUE(LEFT($A16, 1))),
    "",
    IFERROR(IF(_xlfn.XLOOKUP($A16, INDIRECT("'" &amp; U$2 &amp; "'!$A:$A"), INDIRECT("'" &amp; U$2 &amp; "'!$B:$B"), "")&lt;&gt;"", "✓", "✗"), "✗")
)</f>
        <v>✓</v>
      </c>
      <c r="V16" t="str" cm="1">
        <f t="array" aca="1" ref="V16" ca="1">IF(
    ISNUMBER(VALUE(LEFT($A16, 1))),
    "",
    IFERROR(IF(_xlfn.XLOOKUP($A16, INDIRECT("'" &amp; V$2 &amp; "'!$A:$A"), INDIRECT("'" &amp; V$2 &amp; "'!$B:$B"), "")&lt;&gt;"", "✓", "✗"), "✗")
)</f>
        <v>✓</v>
      </c>
      <c r="W16" t="str" cm="1">
        <f t="array" aca="1" ref="W16" ca="1">IF(
    ISNUMBER(VALUE(LEFT($A16, 1))),
    "",
    IFERROR(IF(_xlfn.XLOOKUP($A16, INDIRECT("'" &amp; W$2 &amp; "'!$A:$A"), INDIRECT("'" &amp; W$2 &amp; "'!$B:$B"), "")&lt;&gt;"", "✓", "✗"), "✗")
)</f>
        <v>✓</v>
      </c>
      <c r="X16" t="str" cm="1">
        <f t="array" aca="1" ref="X16" ca="1">IF(
    ISNUMBER(VALUE(LEFT($A16, 1))),
    "",
    IFERROR(IF(_xlfn.XLOOKUP($A16, INDIRECT("'" &amp; X$2 &amp; "'!$A:$A"), INDIRECT("'" &amp; X$2 &amp; "'!$B:$B"), "")&lt;&gt;"", "✓", "✗"), "✗")
)</f>
        <v>✓</v>
      </c>
      <c r="Y16" t="str" cm="1">
        <f t="array" aca="1" ref="Y16" ca="1">IF(
    ISNUMBER(VALUE(LEFT($A16, 1))),
    "",
    IFERROR(IF(_xlfn.XLOOKUP($A16, INDIRECT("'" &amp; Y$2 &amp; "'!$A:$A"), INDIRECT("'" &amp; Y$2 &amp; "'!$B:$B"), "")&lt;&gt;"", "✓", "✗"), "✗")
)</f>
        <v>✓</v>
      </c>
      <c r="Z16" t="str" cm="1">
        <f t="array" aca="1" ref="Z16" ca="1">IF(
    ISNUMBER(VALUE(LEFT($A16, 1))),
    "",
    IFERROR(IF(_xlfn.XLOOKUP($A16, INDIRECT("'" &amp; Z$2 &amp; "'!$A:$A"), INDIRECT("'" &amp; Z$2 &amp; "'!$B:$B"), "")&lt;&gt;"", "✓", "✗"), "✗")
)</f>
        <v>✓</v>
      </c>
      <c r="AA16" t="str" cm="1">
        <f t="array" aca="1" ref="AA16" ca="1">IF(
    ISNUMBER(VALUE(LEFT($A16, 1))),
    "",
    IFERROR(IF(_xlfn.XLOOKUP($A16, INDIRECT("'" &amp; AA$2 &amp; "'!$A:$A"), INDIRECT("'" &amp; AA$2 &amp; "'!$B:$B"), "")&lt;&gt;"", "✓", "✗"), "✗")
)</f>
        <v>✓</v>
      </c>
      <c r="AB16" t="str" cm="1">
        <f t="array" aca="1" ref="AB16" ca="1">IF(
    ISNUMBER(VALUE(LEFT($A16, 1))),
    "",
    IFERROR(IF(_xlfn.XLOOKUP($A16, INDIRECT("'" &amp; AB$2 &amp; "'!$A:$A"), INDIRECT("'" &amp; AB$2 &amp; "'!$B:$B"), "")&lt;&gt;"", "✓", "✗"), "✗")
)</f>
        <v>✓</v>
      </c>
      <c r="AC16" t="str" cm="1">
        <f t="array" aca="1" ref="AC16" ca="1">IF(
    ISNUMBER(VALUE(LEFT($A16, 1))),
    "",
    IFERROR(IF(_xlfn.XLOOKUP($A16, INDIRECT("'" &amp; AC$2 &amp; "'!$A:$A"), INDIRECT("'" &amp; AC$2 &amp; "'!$B:$B"), "")&lt;&gt;"", "✓", "✗"), "✗")
)</f>
        <v>✗</v>
      </c>
      <c r="AD16" t="str" cm="1">
        <f t="array" aca="1" ref="AD16" ca="1">IF(
    ISNUMBER(VALUE(LEFT($A16, 1))),
    "",
    IFERROR(IF(_xlfn.XLOOKUP($A16, INDIRECT("'" &amp; AD$2 &amp; "'!$A:$A"), INDIRECT("'" &amp; AD$2 &amp; "'!$B:$B"), "")&lt;&gt;"", "✓", "✗"), "✗")
)</f>
        <v>✗</v>
      </c>
      <c r="AE16" t="str" cm="1">
        <f t="array" aca="1" ref="AE16" ca="1">IF(
    ISNUMBER(VALUE(LEFT($A16, 1))),
    "",
    IFERROR(IF(_xlfn.XLOOKUP($A16, INDIRECT("'" &amp; AE$2 &amp; "'!$A:$A"), INDIRECT("'" &amp; AE$2 &amp; "'!$B:$B"), "")&lt;&gt;"", "✓", "✗"), "✗")
)</f>
        <v>✓</v>
      </c>
      <c r="AF16" t="str" cm="1">
        <f t="array" aca="1" ref="AF16" ca="1">IF(
    ISNUMBER(VALUE(LEFT($A16, 1))),
    "",
    IFERROR(IF(_xlfn.XLOOKUP($A16, INDIRECT("'" &amp; AF$2 &amp; "'!$A:$A"), INDIRECT("'" &amp; AF$2 &amp; "'!$B:$B"), "")&lt;&gt;"", "✓", "✗"), "✗")
)</f>
        <v>✓</v>
      </c>
      <c r="AG16" t="str" cm="1">
        <f t="array" aca="1" ref="AG16" ca="1">IF(
    ISNUMBER(VALUE(LEFT($A16, 1))),
    "",
    IFERROR(IF(_xlfn.XLOOKUP($A16, INDIRECT("'" &amp; AG$2 &amp; "'!$A:$A"), INDIRECT("'" &amp; AG$2 &amp; "'!$B:$B"), "")&lt;&gt;"", "✓", "✗"), "✗")
)</f>
        <v>✓</v>
      </c>
    </row>
    <row r="17" spans="1:33" x14ac:dyDescent="0.45">
      <c r="A17" t="str">
        <v>Email</v>
      </c>
      <c r="B17" t="str" cm="1">
        <f t="array" aca="1" ref="B17" ca="1">IF(
    ISNUMBER(VALUE(LEFT($A17, 1))),
    "",
    IFERROR(IF(_xlfn.XLOOKUP($A17, INDIRECT("'" &amp; B$2 &amp; "'!$A:$A"), INDIRECT("'" &amp; B$2 &amp; "'!$B:$B"), "")&lt;&gt;"", "✓", "✗"), "✗")
)</f>
        <v>✓</v>
      </c>
      <c r="C17" t="str" cm="1">
        <f t="array" aca="1" ref="C17" ca="1">IF(
    ISNUMBER(VALUE(LEFT($A17, 1))),
    "",
    IFERROR(IF(_xlfn.XLOOKUP($A17, INDIRECT("'" &amp; C$2 &amp; "'!$A:$A"), INDIRECT("'" &amp; C$2 &amp; "'!$B:$B"), "")&lt;&gt;"", "✓", "✗"), "✗")
)</f>
        <v>✓</v>
      </c>
      <c r="D17" t="str" cm="1">
        <f t="array" aca="1" ref="D17" ca="1">IF(
    ISNUMBER(VALUE(LEFT($A17, 1))),
    "",
    IFERROR(IF(_xlfn.XLOOKUP($A17, INDIRECT("'" &amp; D$2 &amp; "'!$A:$A"), INDIRECT("'" &amp; D$2 &amp; "'!$B:$B"), "")&lt;&gt;"", "✓", "✗"), "✗")
)</f>
        <v>✓</v>
      </c>
      <c r="E17" t="str" cm="1">
        <f t="array" aca="1" ref="E17" ca="1">IF(
    ISNUMBER(VALUE(LEFT($A17, 1))),
    "",
    IFERROR(IF(_xlfn.XLOOKUP($A17, INDIRECT("'" &amp; E$2 &amp; "'!$A:$A"), INDIRECT("'" &amp; E$2 &amp; "'!$B:$B"), "")&lt;&gt;"", "✓", "✗"), "✗")
)</f>
        <v>✓</v>
      </c>
      <c r="F17" t="str" cm="1">
        <f t="array" aca="1" ref="F17" ca="1">IF(
    ISNUMBER(VALUE(LEFT($A17, 1))),
    "",
    IFERROR(IF(_xlfn.XLOOKUP($A17, INDIRECT("'" &amp; F$2 &amp; "'!$A:$A"), INDIRECT("'" &amp; F$2 &amp; "'!$B:$B"), "")&lt;&gt;"", "✓", "✗"), "✗")
)</f>
        <v>✓</v>
      </c>
      <c r="G17" t="str" cm="1">
        <f t="array" aca="1" ref="G17" ca="1">IF(
    ISNUMBER(VALUE(LEFT($A17, 1))),
    "",
    IFERROR(IF(_xlfn.XLOOKUP($A17, INDIRECT("'" &amp; G$2 &amp; "'!$A:$A"), INDIRECT("'" &amp; G$2 &amp; "'!$B:$B"), "")&lt;&gt;"", "✓", "✗"), "✗")
)</f>
        <v>✓</v>
      </c>
      <c r="H17" t="str" cm="1">
        <f t="array" aca="1" ref="H17" ca="1">IF(
    ISNUMBER(VALUE(LEFT($A17, 1))),
    "",
    IFERROR(IF(_xlfn.XLOOKUP($A17, INDIRECT("'" &amp; H$2 &amp; "'!$A:$A"), INDIRECT("'" &amp; H$2 &amp; "'!$B:$B"), "")&lt;&gt;"", "✓", "✗"), "✗")
)</f>
        <v>✓</v>
      </c>
      <c r="I17" t="str" cm="1">
        <f t="array" aca="1" ref="I17" ca="1">IF(
    ISNUMBER(VALUE(LEFT($A17, 1))),
    "",
    IFERROR(IF(_xlfn.XLOOKUP($A17, INDIRECT("'" &amp; I$2 &amp; "'!$A:$A"), INDIRECT("'" &amp; I$2 &amp; "'!$B:$B"), "")&lt;&gt;"", "✓", "✗"), "✗")
)</f>
        <v>✓</v>
      </c>
      <c r="J17" t="str" cm="1">
        <f t="array" aca="1" ref="J17" ca="1">IF(
    ISNUMBER(VALUE(LEFT($A17, 1))),
    "",
    IFERROR(IF(_xlfn.XLOOKUP($A17, INDIRECT("'" &amp; J$2 &amp; "'!$A:$A"), INDIRECT("'" &amp; J$2 &amp; "'!$B:$B"), "")&lt;&gt;"", "✓", "✗"), "✗")
)</f>
        <v>✓</v>
      </c>
      <c r="K17" t="str" cm="1">
        <f t="array" aca="1" ref="K17" ca="1">IF(
    ISNUMBER(VALUE(LEFT($A17, 1))),
    "",
    IFERROR(IF(_xlfn.XLOOKUP($A17, INDIRECT("'" &amp; K$2 &amp; "'!$A:$A"), INDIRECT("'" &amp; K$2 &amp; "'!$B:$B"), "")&lt;&gt;"", "✓", "✗"), "✗")
)</f>
        <v>✓</v>
      </c>
      <c r="L17" t="str" cm="1">
        <f t="array" aca="1" ref="L17" ca="1">IF(
    ISNUMBER(VALUE(LEFT($A17, 1))),
    "",
    IFERROR(IF(_xlfn.XLOOKUP($A17, INDIRECT("'" &amp; L$2 &amp; "'!$A:$A"), INDIRECT("'" &amp; L$2 &amp; "'!$B:$B"), "")&lt;&gt;"", "✓", "✗"), "✗")
)</f>
        <v>✓</v>
      </c>
      <c r="M17" t="str" cm="1">
        <f t="array" aca="1" ref="M17" ca="1">IF(
    ISNUMBER(VALUE(LEFT($A17, 1))),
    "",
    IFERROR(IF(_xlfn.XLOOKUP($A17, INDIRECT("'" &amp; M$2 &amp; "'!$A:$A"), INDIRECT("'" &amp; M$2 &amp; "'!$B:$B"), "")&lt;&gt;"", "✓", "✗"), "✗")
)</f>
        <v>✓</v>
      </c>
      <c r="N17" t="str" cm="1">
        <f t="array" aca="1" ref="N17" ca="1">IF(
    ISNUMBER(VALUE(LEFT($A17, 1))),
    "",
    IFERROR(IF(_xlfn.XLOOKUP($A17, INDIRECT("'" &amp; N$2 &amp; "'!$A:$A"), INDIRECT("'" &amp; N$2 &amp; "'!$B:$B"), "")&lt;&gt;"", "✓", "✗"), "✗")
)</f>
        <v>✓</v>
      </c>
      <c r="O17" t="str" cm="1">
        <f t="array" aca="1" ref="O17" ca="1">IF(
    ISNUMBER(VALUE(LEFT($A17, 1))),
    "",
    IFERROR(IF(_xlfn.XLOOKUP($A17, INDIRECT("'" &amp; O$2 &amp; "'!$A:$A"), INDIRECT("'" &amp; O$2 &amp; "'!$B:$B"), "")&lt;&gt;"", "✓", "✗"), "✗")
)</f>
        <v>✓</v>
      </c>
      <c r="P17" t="str" cm="1">
        <f t="array" aca="1" ref="P17" ca="1">IF(
    ISNUMBER(VALUE(LEFT($A17, 1))),
    "",
    IFERROR(IF(_xlfn.XLOOKUP($A17, INDIRECT("'" &amp; P$2 &amp; "'!$A:$A"), INDIRECT("'" &amp; P$2 &amp; "'!$B:$B"), "")&lt;&gt;"", "✓", "✗"), "✗")
)</f>
        <v>✓</v>
      </c>
      <c r="Q17" t="str" cm="1">
        <f t="array" aca="1" ref="Q17" ca="1">IF(
    ISNUMBER(VALUE(LEFT($A17, 1))),
    "",
    IFERROR(IF(_xlfn.XLOOKUP($A17, INDIRECT("'" &amp; Q$2 &amp; "'!$A:$A"), INDIRECT("'" &amp; Q$2 &amp; "'!$B:$B"), "")&lt;&gt;"", "✓", "✗"), "✗")
)</f>
        <v>✓</v>
      </c>
      <c r="R17" t="str" cm="1">
        <f t="array" aca="1" ref="R17" ca="1">IF(
    ISNUMBER(VALUE(LEFT($A17, 1))),
    "",
    IFERROR(IF(_xlfn.XLOOKUP($A17, INDIRECT("'" &amp; R$2 &amp; "'!$A:$A"), INDIRECT("'" &amp; R$2 &amp; "'!$B:$B"), "")&lt;&gt;"", "✓", "✗"), "✗")
)</f>
        <v>✓</v>
      </c>
      <c r="S17" t="str" cm="1">
        <f t="array" aca="1" ref="S17" ca="1">IF(
    ISNUMBER(VALUE(LEFT($A17, 1))),
    "",
    IFERROR(IF(_xlfn.XLOOKUP($A17, INDIRECT("'" &amp; S$2 &amp; "'!$A:$A"), INDIRECT("'" &amp; S$2 &amp; "'!$B:$B"), "")&lt;&gt;"", "✓", "✗"), "✗")
)</f>
        <v>✓</v>
      </c>
      <c r="T17" t="str" cm="1">
        <f t="array" aca="1" ref="T17" ca="1">IF(
    ISNUMBER(VALUE(LEFT($A17, 1))),
    "",
    IFERROR(IF(_xlfn.XLOOKUP($A17, INDIRECT("'" &amp; T$2 &amp; "'!$A:$A"), INDIRECT("'" &amp; T$2 &amp; "'!$B:$B"), "")&lt;&gt;"", "✓", "✗"), "✗")
)</f>
        <v>✓</v>
      </c>
      <c r="U17" t="str" cm="1">
        <f t="array" aca="1" ref="U17" ca="1">IF(
    ISNUMBER(VALUE(LEFT($A17, 1))),
    "",
    IFERROR(IF(_xlfn.XLOOKUP($A17, INDIRECT("'" &amp; U$2 &amp; "'!$A:$A"), INDIRECT("'" &amp; U$2 &amp; "'!$B:$B"), "")&lt;&gt;"", "✓", "✗"), "✗")
)</f>
        <v>✓</v>
      </c>
      <c r="V17" t="str" cm="1">
        <f t="array" aca="1" ref="V17" ca="1">IF(
    ISNUMBER(VALUE(LEFT($A17, 1))),
    "",
    IFERROR(IF(_xlfn.XLOOKUP($A17, INDIRECT("'" &amp; V$2 &amp; "'!$A:$A"), INDIRECT("'" &amp; V$2 &amp; "'!$B:$B"), "")&lt;&gt;"", "✓", "✗"), "✗")
)</f>
        <v>✓</v>
      </c>
      <c r="W17" t="str" cm="1">
        <f t="array" aca="1" ref="W17" ca="1">IF(
    ISNUMBER(VALUE(LEFT($A17, 1))),
    "",
    IFERROR(IF(_xlfn.XLOOKUP($A17, INDIRECT("'" &amp; W$2 &amp; "'!$A:$A"), INDIRECT("'" &amp; W$2 &amp; "'!$B:$B"), "")&lt;&gt;"", "✓", "✗"), "✗")
)</f>
        <v>✓</v>
      </c>
      <c r="X17" t="str" cm="1">
        <f t="array" aca="1" ref="X17" ca="1">IF(
    ISNUMBER(VALUE(LEFT($A17, 1))),
    "",
    IFERROR(IF(_xlfn.XLOOKUP($A17, INDIRECT("'" &amp; X$2 &amp; "'!$A:$A"), INDIRECT("'" &amp; X$2 &amp; "'!$B:$B"), "")&lt;&gt;"", "✓", "✗"), "✗")
)</f>
        <v>✓</v>
      </c>
      <c r="Y17" t="str" cm="1">
        <f t="array" aca="1" ref="Y17" ca="1">IF(
    ISNUMBER(VALUE(LEFT($A17, 1))),
    "",
    IFERROR(IF(_xlfn.XLOOKUP($A17, INDIRECT("'" &amp; Y$2 &amp; "'!$A:$A"), INDIRECT("'" &amp; Y$2 &amp; "'!$B:$B"), "")&lt;&gt;"", "✓", "✗"), "✗")
)</f>
        <v>✓</v>
      </c>
      <c r="Z17" t="str" cm="1">
        <f t="array" aca="1" ref="Z17" ca="1">IF(
    ISNUMBER(VALUE(LEFT($A17, 1))),
    "",
    IFERROR(IF(_xlfn.XLOOKUP($A17, INDIRECT("'" &amp; Z$2 &amp; "'!$A:$A"), INDIRECT("'" &amp; Z$2 &amp; "'!$B:$B"), "")&lt;&gt;"", "✓", "✗"), "✗")
)</f>
        <v>✓</v>
      </c>
      <c r="AA17" t="str" cm="1">
        <f t="array" aca="1" ref="AA17" ca="1">IF(
    ISNUMBER(VALUE(LEFT($A17, 1))),
    "",
    IFERROR(IF(_xlfn.XLOOKUP($A17, INDIRECT("'" &amp; AA$2 &amp; "'!$A:$A"), INDIRECT("'" &amp; AA$2 &amp; "'!$B:$B"), "")&lt;&gt;"", "✓", "✗"), "✗")
)</f>
        <v>✓</v>
      </c>
      <c r="AB17" t="str" cm="1">
        <f t="array" aca="1" ref="AB17" ca="1">IF(
    ISNUMBER(VALUE(LEFT($A17, 1))),
    "",
    IFERROR(IF(_xlfn.XLOOKUP($A17, INDIRECT("'" &amp; AB$2 &amp; "'!$A:$A"), INDIRECT("'" &amp; AB$2 &amp; "'!$B:$B"), "")&lt;&gt;"", "✓", "✗"), "✗")
)</f>
        <v>✓</v>
      </c>
      <c r="AC17" t="str" cm="1">
        <f t="array" aca="1" ref="AC17" ca="1">IF(
    ISNUMBER(VALUE(LEFT($A17, 1))),
    "",
    IFERROR(IF(_xlfn.XLOOKUP($A17, INDIRECT("'" &amp; AC$2 &amp; "'!$A:$A"), INDIRECT("'" &amp; AC$2 &amp; "'!$B:$B"), "")&lt;&gt;"", "✓", "✗"), "✗")
)</f>
        <v>✗</v>
      </c>
      <c r="AD17" t="str" cm="1">
        <f t="array" aca="1" ref="AD17" ca="1">IF(
    ISNUMBER(VALUE(LEFT($A17, 1))),
    "",
    IFERROR(IF(_xlfn.XLOOKUP($A17, INDIRECT("'" &amp; AD$2 &amp; "'!$A:$A"), INDIRECT("'" &amp; AD$2 &amp; "'!$B:$B"), "")&lt;&gt;"", "✓", "✗"), "✗")
)</f>
        <v>✗</v>
      </c>
      <c r="AE17" t="str" cm="1">
        <f t="array" aca="1" ref="AE17" ca="1">IF(
    ISNUMBER(VALUE(LEFT($A17, 1))),
    "",
    IFERROR(IF(_xlfn.XLOOKUP($A17, INDIRECT("'" &amp; AE$2 &amp; "'!$A:$A"), INDIRECT("'" &amp; AE$2 &amp; "'!$B:$B"), "")&lt;&gt;"", "✓", "✗"), "✗")
)</f>
        <v>✓</v>
      </c>
      <c r="AF17" t="str" cm="1">
        <f t="array" aca="1" ref="AF17" ca="1">IF(
    ISNUMBER(VALUE(LEFT($A17, 1))),
    "",
    IFERROR(IF(_xlfn.XLOOKUP($A17, INDIRECT("'" &amp; AF$2 &amp; "'!$A:$A"), INDIRECT("'" &amp; AF$2 &amp; "'!$B:$B"), "")&lt;&gt;"", "✓", "✗"), "✗")
)</f>
        <v>✓</v>
      </c>
      <c r="AG17" t="str" cm="1">
        <f t="array" aca="1" ref="AG17" ca="1">IF(
    ISNUMBER(VALUE(LEFT($A17, 1))),
    "",
    IFERROR(IF(_xlfn.XLOOKUP($A17, INDIRECT("'" &amp; AG$2 &amp; "'!$A:$A"), INDIRECT("'" &amp; AG$2 &amp; "'!$B:$B"), "")&lt;&gt;"", "✓", "✗"), "✗")
)</f>
        <v>✓</v>
      </c>
    </row>
    <row r="18" spans="1:33" x14ac:dyDescent="0.45">
      <c r="A18" t="str">
        <v>Email Status</v>
      </c>
      <c r="B18" t="str" cm="1">
        <f t="array" aca="1" ref="B18" ca="1">IF(
    ISNUMBER(VALUE(LEFT($A18, 1))),
    "",
    IFERROR(IF(_xlfn.XLOOKUP($A18, INDIRECT("'" &amp; B$2 &amp; "'!$A:$A"), INDIRECT("'" &amp; B$2 &amp; "'!$B:$B"), "")&lt;&gt;"", "✓", "✗"), "✗")
)</f>
        <v>✓</v>
      </c>
      <c r="C18" t="str" cm="1">
        <f t="array" aca="1" ref="C18" ca="1">IF(
    ISNUMBER(VALUE(LEFT($A18, 1))),
    "",
    IFERROR(IF(_xlfn.XLOOKUP($A18, INDIRECT("'" &amp; C$2 &amp; "'!$A:$A"), INDIRECT("'" &amp; C$2 &amp; "'!$B:$B"), "")&lt;&gt;"", "✓", "✗"), "✗")
)</f>
        <v>✓</v>
      </c>
      <c r="D18" t="str" cm="1">
        <f t="array" aca="1" ref="D18" ca="1">IF(
    ISNUMBER(VALUE(LEFT($A18, 1))),
    "",
    IFERROR(IF(_xlfn.XLOOKUP($A18, INDIRECT("'" &amp; D$2 &amp; "'!$A:$A"), INDIRECT("'" &amp; D$2 &amp; "'!$B:$B"), "")&lt;&gt;"", "✓", "✗"), "✗")
)</f>
        <v>✓</v>
      </c>
      <c r="E18" t="str" cm="1">
        <f t="array" aca="1" ref="E18" ca="1">IF(
    ISNUMBER(VALUE(LEFT($A18, 1))),
    "",
    IFERROR(IF(_xlfn.XLOOKUP($A18, INDIRECT("'" &amp; E$2 &amp; "'!$A:$A"), INDIRECT("'" &amp; E$2 &amp; "'!$B:$B"), "")&lt;&gt;"", "✓", "✗"), "✗")
)</f>
        <v>✓</v>
      </c>
      <c r="F18" t="str" cm="1">
        <f t="array" aca="1" ref="F18" ca="1">IF(
    ISNUMBER(VALUE(LEFT($A18, 1))),
    "",
    IFERROR(IF(_xlfn.XLOOKUP($A18, INDIRECT("'" &amp; F$2 &amp; "'!$A:$A"), INDIRECT("'" &amp; F$2 &amp; "'!$B:$B"), "")&lt;&gt;"", "✓", "✗"), "✗")
)</f>
        <v>✓</v>
      </c>
      <c r="G18" t="str" cm="1">
        <f t="array" aca="1" ref="G18" ca="1">IF(
    ISNUMBER(VALUE(LEFT($A18, 1))),
    "",
    IFERROR(IF(_xlfn.XLOOKUP($A18, INDIRECT("'" &amp; G$2 &amp; "'!$A:$A"), INDIRECT("'" &amp; G$2 &amp; "'!$B:$B"), "")&lt;&gt;"", "✓", "✗"), "✗")
)</f>
        <v>✓</v>
      </c>
      <c r="H18" t="str" cm="1">
        <f t="array" aca="1" ref="H18" ca="1">IF(
    ISNUMBER(VALUE(LEFT($A18, 1))),
    "",
    IFERROR(IF(_xlfn.XLOOKUP($A18, INDIRECT("'" &amp; H$2 &amp; "'!$A:$A"), INDIRECT("'" &amp; H$2 &amp; "'!$B:$B"), "")&lt;&gt;"", "✓", "✗"), "✗")
)</f>
        <v>✓</v>
      </c>
      <c r="I18" t="str" cm="1">
        <f t="array" aca="1" ref="I18" ca="1">IF(
    ISNUMBER(VALUE(LEFT($A18, 1))),
    "",
    IFERROR(IF(_xlfn.XLOOKUP($A18, INDIRECT("'" &amp; I$2 &amp; "'!$A:$A"), INDIRECT("'" &amp; I$2 &amp; "'!$B:$B"), "")&lt;&gt;"", "✓", "✗"), "✗")
)</f>
        <v>✓</v>
      </c>
      <c r="J18" t="str" cm="1">
        <f t="array" aca="1" ref="J18" ca="1">IF(
    ISNUMBER(VALUE(LEFT($A18, 1))),
    "",
    IFERROR(IF(_xlfn.XLOOKUP($A18, INDIRECT("'" &amp; J$2 &amp; "'!$A:$A"), INDIRECT("'" &amp; J$2 &amp; "'!$B:$B"), "")&lt;&gt;"", "✓", "✗"), "✗")
)</f>
        <v>✓</v>
      </c>
      <c r="K18" t="str" cm="1">
        <f t="array" aca="1" ref="K18" ca="1">IF(
    ISNUMBER(VALUE(LEFT($A18, 1))),
    "",
    IFERROR(IF(_xlfn.XLOOKUP($A18, INDIRECT("'" &amp; K$2 &amp; "'!$A:$A"), INDIRECT("'" &amp; K$2 &amp; "'!$B:$B"), "")&lt;&gt;"", "✓", "✗"), "✗")
)</f>
        <v>✓</v>
      </c>
      <c r="L18" t="str" cm="1">
        <f t="array" aca="1" ref="L18" ca="1">IF(
    ISNUMBER(VALUE(LEFT($A18, 1))),
    "",
    IFERROR(IF(_xlfn.XLOOKUP($A18, INDIRECT("'" &amp; L$2 &amp; "'!$A:$A"), INDIRECT("'" &amp; L$2 &amp; "'!$B:$B"), "")&lt;&gt;"", "✓", "✗"), "✗")
)</f>
        <v>✓</v>
      </c>
      <c r="M18" t="str" cm="1">
        <f t="array" aca="1" ref="M18" ca="1">IF(
    ISNUMBER(VALUE(LEFT($A18, 1))),
    "",
    IFERROR(IF(_xlfn.XLOOKUP($A18, INDIRECT("'" &amp; M$2 &amp; "'!$A:$A"), INDIRECT("'" &amp; M$2 &amp; "'!$B:$B"), "")&lt;&gt;"", "✓", "✗"), "✗")
)</f>
        <v>✓</v>
      </c>
      <c r="N18" t="str" cm="1">
        <f t="array" aca="1" ref="N18" ca="1">IF(
    ISNUMBER(VALUE(LEFT($A18, 1))),
    "",
    IFERROR(IF(_xlfn.XLOOKUP($A18, INDIRECT("'" &amp; N$2 &amp; "'!$A:$A"), INDIRECT("'" &amp; N$2 &amp; "'!$B:$B"), "")&lt;&gt;"", "✓", "✗"), "✗")
)</f>
        <v>✓</v>
      </c>
      <c r="O18" t="str" cm="1">
        <f t="array" aca="1" ref="O18" ca="1">IF(
    ISNUMBER(VALUE(LEFT($A18, 1))),
    "",
    IFERROR(IF(_xlfn.XLOOKUP($A18, INDIRECT("'" &amp; O$2 &amp; "'!$A:$A"), INDIRECT("'" &amp; O$2 &amp; "'!$B:$B"), "")&lt;&gt;"", "✓", "✗"), "✗")
)</f>
        <v>✓</v>
      </c>
      <c r="P18" t="str" cm="1">
        <f t="array" aca="1" ref="P18" ca="1">IF(
    ISNUMBER(VALUE(LEFT($A18, 1))),
    "",
    IFERROR(IF(_xlfn.XLOOKUP($A18, INDIRECT("'" &amp; P$2 &amp; "'!$A:$A"), INDIRECT("'" &amp; P$2 &amp; "'!$B:$B"), "")&lt;&gt;"", "✓", "✗"), "✗")
)</f>
        <v>✓</v>
      </c>
      <c r="Q18" t="str" cm="1">
        <f t="array" aca="1" ref="Q18" ca="1">IF(
    ISNUMBER(VALUE(LEFT($A18, 1))),
    "",
    IFERROR(IF(_xlfn.XLOOKUP($A18, INDIRECT("'" &amp; Q$2 &amp; "'!$A:$A"), INDIRECT("'" &amp; Q$2 &amp; "'!$B:$B"), "")&lt;&gt;"", "✓", "✗"), "✗")
)</f>
        <v>✓</v>
      </c>
      <c r="R18" t="str" cm="1">
        <f t="array" aca="1" ref="R18" ca="1">IF(
    ISNUMBER(VALUE(LEFT($A18, 1))),
    "",
    IFERROR(IF(_xlfn.XLOOKUP($A18, INDIRECT("'" &amp; R$2 &amp; "'!$A:$A"), INDIRECT("'" &amp; R$2 &amp; "'!$B:$B"), "")&lt;&gt;"", "✓", "✗"), "✗")
)</f>
        <v>✓</v>
      </c>
      <c r="S18" t="str" cm="1">
        <f t="array" aca="1" ref="S18" ca="1">IF(
    ISNUMBER(VALUE(LEFT($A18, 1))),
    "",
    IFERROR(IF(_xlfn.XLOOKUP($A18, INDIRECT("'" &amp; S$2 &amp; "'!$A:$A"), INDIRECT("'" &amp; S$2 &amp; "'!$B:$B"), "")&lt;&gt;"", "✓", "✗"), "✗")
)</f>
        <v>✓</v>
      </c>
      <c r="T18" t="str" cm="1">
        <f t="array" aca="1" ref="T18" ca="1">IF(
    ISNUMBER(VALUE(LEFT($A18, 1))),
    "",
    IFERROR(IF(_xlfn.XLOOKUP($A18, INDIRECT("'" &amp; T$2 &amp; "'!$A:$A"), INDIRECT("'" &amp; T$2 &amp; "'!$B:$B"), "")&lt;&gt;"", "✓", "✗"), "✗")
)</f>
        <v>✓</v>
      </c>
      <c r="U18" t="str" cm="1">
        <f t="array" aca="1" ref="U18" ca="1">IF(
    ISNUMBER(VALUE(LEFT($A18, 1))),
    "",
    IFERROR(IF(_xlfn.XLOOKUP($A18, INDIRECT("'" &amp; U$2 &amp; "'!$A:$A"), INDIRECT("'" &amp; U$2 &amp; "'!$B:$B"), "")&lt;&gt;"", "✓", "✗"), "✗")
)</f>
        <v>✓</v>
      </c>
      <c r="V18" t="str" cm="1">
        <f t="array" aca="1" ref="V18" ca="1">IF(
    ISNUMBER(VALUE(LEFT($A18, 1))),
    "",
    IFERROR(IF(_xlfn.XLOOKUP($A18, INDIRECT("'" &amp; V$2 &amp; "'!$A:$A"), INDIRECT("'" &amp; V$2 &amp; "'!$B:$B"), "")&lt;&gt;"", "✓", "✗"), "✗")
)</f>
        <v>✓</v>
      </c>
      <c r="W18" t="str" cm="1">
        <f t="array" aca="1" ref="W18" ca="1">IF(
    ISNUMBER(VALUE(LEFT($A18, 1))),
    "",
    IFERROR(IF(_xlfn.XLOOKUP($A18, INDIRECT("'" &amp; W$2 &amp; "'!$A:$A"), INDIRECT("'" &amp; W$2 &amp; "'!$B:$B"), "")&lt;&gt;"", "✓", "✗"), "✗")
)</f>
        <v>✓</v>
      </c>
      <c r="X18" t="str" cm="1">
        <f t="array" aca="1" ref="X18" ca="1">IF(
    ISNUMBER(VALUE(LEFT($A18, 1))),
    "",
    IFERROR(IF(_xlfn.XLOOKUP($A18, INDIRECT("'" &amp; X$2 &amp; "'!$A:$A"), INDIRECT("'" &amp; X$2 &amp; "'!$B:$B"), "")&lt;&gt;"", "✓", "✗"), "✗")
)</f>
        <v>✓</v>
      </c>
      <c r="Y18" t="str" cm="1">
        <f t="array" aca="1" ref="Y18" ca="1">IF(
    ISNUMBER(VALUE(LEFT($A18, 1))),
    "",
    IFERROR(IF(_xlfn.XLOOKUP($A18, INDIRECT("'" &amp; Y$2 &amp; "'!$A:$A"), INDIRECT("'" &amp; Y$2 &amp; "'!$B:$B"), "")&lt;&gt;"", "✓", "✗"), "✗")
)</f>
        <v>✓</v>
      </c>
      <c r="Z18" t="str" cm="1">
        <f t="array" aca="1" ref="Z18" ca="1">IF(
    ISNUMBER(VALUE(LEFT($A18, 1))),
    "",
    IFERROR(IF(_xlfn.XLOOKUP($A18, INDIRECT("'" &amp; Z$2 &amp; "'!$A:$A"), INDIRECT("'" &amp; Z$2 &amp; "'!$B:$B"), "")&lt;&gt;"", "✓", "✗"), "✗")
)</f>
        <v>✓</v>
      </c>
      <c r="AA18" t="str" cm="1">
        <f t="array" aca="1" ref="AA18" ca="1">IF(
    ISNUMBER(VALUE(LEFT($A18, 1))),
    "",
    IFERROR(IF(_xlfn.XLOOKUP($A18, INDIRECT("'" &amp; AA$2 &amp; "'!$A:$A"), INDIRECT("'" &amp; AA$2 &amp; "'!$B:$B"), "")&lt;&gt;"", "✓", "✗"), "✗")
)</f>
        <v>✓</v>
      </c>
      <c r="AB18" t="str" cm="1">
        <f t="array" aca="1" ref="AB18" ca="1">IF(
    ISNUMBER(VALUE(LEFT($A18, 1))),
    "",
    IFERROR(IF(_xlfn.XLOOKUP($A18, INDIRECT("'" &amp; AB$2 &amp; "'!$A:$A"), INDIRECT("'" &amp; AB$2 &amp; "'!$B:$B"), "")&lt;&gt;"", "✓", "✗"), "✗")
)</f>
        <v>✓</v>
      </c>
      <c r="AC18" t="str" cm="1">
        <f t="array" aca="1" ref="AC18" ca="1">IF(
    ISNUMBER(VALUE(LEFT($A18, 1))),
    "",
    IFERROR(IF(_xlfn.XLOOKUP($A18, INDIRECT("'" &amp; AC$2 &amp; "'!$A:$A"), INDIRECT("'" &amp; AC$2 &amp; "'!$B:$B"), "")&lt;&gt;"", "✓", "✗"), "✗")
)</f>
        <v>✗</v>
      </c>
      <c r="AD18" t="str" cm="1">
        <f t="array" aca="1" ref="AD18" ca="1">IF(
    ISNUMBER(VALUE(LEFT($A18, 1))),
    "",
    IFERROR(IF(_xlfn.XLOOKUP($A18, INDIRECT("'" &amp; AD$2 &amp; "'!$A:$A"), INDIRECT("'" &amp; AD$2 &amp; "'!$B:$B"), "")&lt;&gt;"", "✓", "✗"), "✗")
)</f>
        <v>✗</v>
      </c>
      <c r="AE18" t="str" cm="1">
        <f t="array" aca="1" ref="AE18" ca="1">IF(
    ISNUMBER(VALUE(LEFT($A18, 1))),
    "",
    IFERROR(IF(_xlfn.XLOOKUP($A18, INDIRECT("'" &amp; AE$2 &amp; "'!$A:$A"), INDIRECT("'" &amp; AE$2 &amp; "'!$B:$B"), "")&lt;&gt;"", "✓", "✗"), "✗")
)</f>
        <v>✓</v>
      </c>
      <c r="AF18" t="str" cm="1">
        <f t="array" aca="1" ref="AF18" ca="1">IF(
    ISNUMBER(VALUE(LEFT($A18, 1))),
    "",
    IFERROR(IF(_xlfn.XLOOKUP($A18, INDIRECT("'" &amp; AF$2 &amp; "'!$A:$A"), INDIRECT("'" &amp; AF$2 &amp; "'!$B:$B"), "")&lt;&gt;"", "✓", "✗"), "✗")
)</f>
        <v>✓</v>
      </c>
      <c r="AG18" t="str" cm="1">
        <f t="array" aca="1" ref="AG18" ca="1">IF(
    ISNUMBER(VALUE(LEFT($A18, 1))),
    "",
    IFERROR(IF(_xlfn.XLOOKUP($A18, INDIRECT("'" &amp; AG$2 &amp; "'!$A:$A"), INDIRECT("'" &amp; AG$2 &amp; "'!$B:$B"), "")&lt;&gt;"", "✓", "✗"), "✗")
)</f>
        <v>✓</v>
      </c>
    </row>
    <row r="19" spans="1:33" x14ac:dyDescent="0.45">
      <c r="A19" t="str">
        <v>OK to Email</v>
      </c>
      <c r="B19" t="str" cm="1">
        <f t="array" aca="1" ref="B19" ca="1">IF(
    ISNUMBER(VALUE(LEFT($A19, 1))),
    "",
    IFERROR(IF(_xlfn.XLOOKUP($A19, INDIRECT("'" &amp; B$2 &amp; "'!$A:$A"), INDIRECT("'" &amp; B$2 &amp; "'!$B:$B"), "")&lt;&gt;"", "✓", "✗"), "✗")
)</f>
        <v>✓</v>
      </c>
      <c r="C19" t="str" cm="1">
        <f t="array" aca="1" ref="C19" ca="1">IF(
    ISNUMBER(VALUE(LEFT($A19, 1))),
    "",
    IFERROR(IF(_xlfn.XLOOKUP($A19, INDIRECT("'" &amp; C$2 &amp; "'!$A:$A"), INDIRECT("'" &amp; C$2 &amp; "'!$B:$B"), "")&lt;&gt;"", "✓", "✗"), "✗")
)</f>
        <v>✓</v>
      </c>
      <c r="D19" t="str" cm="1">
        <f t="array" aca="1" ref="D19" ca="1">IF(
    ISNUMBER(VALUE(LEFT($A19, 1))),
    "",
    IFERROR(IF(_xlfn.XLOOKUP($A19, INDIRECT("'" &amp; D$2 &amp; "'!$A:$A"), INDIRECT("'" &amp; D$2 &amp; "'!$B:$B"), "")&lt;&gt;"", "✓", "✗"), "✗")
)</f>
        <v>✓</v>
      </c>
      <c r="E19" t="str" cm="1">
        <f t="array" aca="1" ref="E19" ca="1">IF(
    ISNUMBER(VALUE(LEFT($A19, 1))),
    "",
    IFERROR(IF(_xlfn.XLOOKUP($A19, INDIRECT("'" &amp; E$2 &amp; "'!$A:$A"), INDIRECT("'" &amp; E$2 &amp; "'!$B:$B"), "")&lt;&gt;"", "✓", "✗"), "✗")
)</f>
        <v>✓</v>
      </c>
      <c r="F19" t="str" cm="1">
        <f t="array" aca="1" ref="F19" ca="1">IF(
    ISNUMBER(VALUE(LEFT($A19, 1))),
    "",
    IFERROR(IF(_xlfn.XLOOKUP($A19, INDIRECT("'" &amp; F$2 &amp; "'!$A:$A"), INDIRECT("'" &amp; F$2 &amp; "'!$B:$B"), "")&lt;&gt;"", "✓", "✗"), "✗")
)</f>
        <v>✓</v>
      </c>
      <c r="G19" t="str" cm="1">
        <f t="array" aca="1" ref="G19" ca="1">IF(
    ISNUMBER(VALUE(LEFT($A19, 1))),
    "",
    IFERROR(IF(_xlfn.XLOOKUP($A19, INDIRECT("'" &amp; G$2 &amp; "'!$A:$A"), INDIRECT("'" &amp; G$2 &amp; "'!$B:$B"), "")&lt;&gt;"", "✓", "✗"), "✗")
)</f>
        <v>✓</v>
      </c>
      <c r="H19" t="str" cm="1">
        <f t="array" aca="1" ref="H19" ca="1">IF(
    ISNUMBER(VALUE(LEFT($A19, 1))),
    "",
    IFERROR(IF(_xlfn.XLOOKUP($A19, INDIRECT("'" &amp; H$2 &amp; "'!$A:$A"), INDIRECT("'" &amp; H$2 &amp; "'!$B:$B"), "")&lt;&gt;"", "✓", "✗"), "✗")
)</f>
        <v>✓</v>
      </c>
      <c r="I19" t="str" cm="1">
        <f t="array" aca="1" ref="I19" ca="1">IF(
    ISNUMBER(VALUE(LEFT($A19, 1))),
    "",
    IFERROR(IF(_xlfn.XLOOKUP($A19, INDIRECT("'" &amp; I$2 &amp; "'!$A:$A"), INDIRECT("'" &amp; I$2 &amp; "'!$B:$B"), "")&lt;&gt;"", "✓", "✗"), "✗")
)</f>
        <v>✓</v>
      </c>
      <c r="J19" t="str" cm="1">
        <f t="array" aca="1" ref="J19" ca="1">IF(
    ISNUMBER(VALUE(LEFT($A19, 1))),
    "",
    IFERROR(IF(_xlfn.XLOOKUP($A19, INDIRECT("'" &amp; J$2 &amp; "'!$A:$A"), INDIRECT("'" &amp; J$2 &amp; "'!$B:$B"), "")&lt;&gt;"", "✓", "✗"), "✗")
)</f>
        <v>✓</v>
      </c>
      <c r="K19" t="str" cm="1">
        <f t="array" aca="1" ref="K19" ca="1">IF(
    ISNUMBER(VALUE(LEFT($A19, 1))),
    "",
    IFERROR(IF(_xlfn.XLOOKUP($A19, INDIRECT("'" &amp; K$2 &amp; "'!$A:$A"), INDIRECT("'" &amp; K$2 &amp; "'!$B:$B"), "")&lt;&gt;"", "✓", "✗"), "✗")
)</f>
        <v>✓</v>
      </c>
      <c r="L19" t="str" cm="1">
        <f t="array" aca="1" ref="L19" ca="1">IF(
    ISNUMBER(VALUE(LEFT($A19, 1))),
    "",
    IFERROR(IF(_xlfn.XLOOKUP($A19, INDIRECT("'" &amp; L$2 &amp; "'!$A:$A"), INDIRECT("'" &amp; L$2 &amp; "'!$B:$B"), "")&lt;&gt;"", "✓", "✗"), "✗")
)</f>
        <v>✓</v>
      </c>
      <c r="M19" t="str" cm="1">
        <f t="array" aca="1" ref="M19" ca="1">IF(
    ISNUMBER(VALUE(LEFT($A19, 1))),
    "",
    IFERROR(IF(_xlfn.XLOOKUP($A19, INDIRECT("'" &amp; M$2 &amp; "'!$A:$A"), INDIRECT("'" &amp; M$2 &amp; "'!$B:$B"), "")&lt;&gt;"", "✓", "✗"), "✗")
)</f>
        <v>✓</v>
      </c>
      <c r="N19" t="str" cm="1">
        <f t="array" aca="1" ref="N19" ca="1">IF(
    ISNUMBER(VALUE(LEFT($A19, 1))),
    "",
    IFERROR(IF(_xlfn.XLOOKUP($A19, INDIRECT("'" &amp; N$2 &amp; "'!$A:$A"), INDIRECT("'" &amp; N$2 &amp; "'!$B:$B"), "")&lt;&gt;"", "✓", "✗"), "✗")
)</f>
        <v>✓</v>
      </c>
      <c r="O19" t="str" cm="1">
        <f t="array" aca="1" ref="O19" ca="1">IF(
    ISNUMBER(VALUE(LEFT($A19, 1))),
    "",
    IFERROR(IF(_xlfn.XLOOKUP($A19, INDIRECT("'" &amp; O$2 &amp; "'!$A:$A"), INDIRECT("'" &amp; O$2 &amp; "'!$B:$B"), "")&lt;&gt;"", "✓", "✗"), "✗")
)</f>
        <v>✓</v>
      </c>
      <c r="P19" t="str" cm="1">
        <f t="array" aca="1" ref="P19" ca="1">IF(
    ISNUMBER(VALUE(LEFT($A19, 1))),
    "",
    IFERROR(IF(_xlfn.XLOOKUP($A19, INDIRECT("'" &amp; P$2 &amp; "'!$A:$A"), INDIRECT("'" &amp; P$2 &amp; "'!$B:$B"), "")&lt;&gt;"", "✓", "✗"), "✗")
)</f>
        <v>✓</v>
      </c>
      <c r="Q19" t="str" cm="1">
        <f t="array" aca="1" ref="Q19" ca="1">IF(
    ISNUMBER(VALUE(LEFT($A19, 1))),
    "",
    IFERROR(IF(_xlfn.XLOOKUP($A19, INDIRECT("'" &amp; Q$2 &amp; "'!$A:$A"), INDIRECT("'" &amp; Q$2 &amp; "'!$B:$B"), "")&lt;&gt;"", "✓", "✗"), "✗")
)</f>
        <v>✓</v>
      </c>
      <c r="R19" t="str" cm="1">
        <f t="array" aca="1" ref="R19" ca="1">IF(
    ISNUMBER(VALUE(LEFT($A19, 1))),
    "",
    IFERROR(IF(_xlfn.XLOOKUP($A19, INDIRECT("'" &amp; R$2 &amp; "'!$A:$A"), INDIRECT("'" &amp; R$2 &amp; "'!$B:$B"), "")&lt;&gt;"", "✓", "✗"), "✗")
)</f>
        <v>✓</v>
      </c>
      <c r="S19" t="str" cm="1">
        <f t="array" aca="1" ref="S19" ca="1">IF(
    ISNUMBER(VALUE(LEFT($A19, 1))),
    "",
    IFERROR(IF(_xlfn.XLOOKUP($A19, INDIRECT("'" &amp; S$2 &amp; "'!$A:$A"), INDIRECT("'" &amp; S$2 &amp; "'!$B:$B"), "")&lt;&gt;"", "✓", "✗"), "✗")
)</f>
        <v>✓</v>
      </c>
      <c r="T19" t="str" cm="1">
        <f t="array" aca="1" ref="T19" ca="1">IF(
    ISNUMBER(VALUE(LEFT($A19, 1))),
    "",
    IFERROR(IF(_xlfn.XLOOKUP($A19, INDIRECT("'" &amp; T$2 &amp; "'!$A:$A"), INDIRECT("'" &amp; T$2 &amp; "'!$B:$B"), "")&lt;&gt;"", "✓", "✗"), "✗")
)</f>
        <v>✓</v>
      </c>
      <c r="U19" t="str" cm="1">
        <f t="array" aca="1" ref="U19" ca="1">IF(
    ISNUMBER(VALUE(LEFT($A19, 1))),
    "",
    IFERROR(IF(_xlfn.XLOOKUP($A19, INDIRECT("'" &amp; U$2 &amp; "'!$A:$A"), INDIRECT("'" &amp; U$2 &amp; "'!$B:$B"), "")&lt;&gt;"", "✓", "✗"), "✗")
)</f>
        <v>✓</v>
      </c>
      <c r="V19" t="str" cm="1">
        <f t="array" aca="1" ref="V19" ca="1">IF(
    ISNUMBER(VALUE(LEFT($A19, 1))),
    "",
    IFERROR(IF(_xlfn.XLOOKUP($A19, INDIRECT("'" &amp; V$2 &amp; "'!$A:$A"), INDIRECT("'" &amp; V$2 &amp; "'!$B:$B"), "")&lt;&gt;"", "✓", "✗"), "✗")
)</f>
        <v>✓</v>
      </c>
      <c r="W19" t="str" cm="1">
        <f t="array" aca="1" ref="W19" ca="1">IF(
    ISNUMBER(VALUE(LEFT($A19, 1))),
    "",
    IFERROR(IF(_xlfn.XLOOKUP($A19, INDIRECT("'" &amp; W$2 &amp; "'!$A:$A"), INDIRECT("'" &amp; W$2 &amp; "'!$B:$B"), "")&lt;&gt;"", "✓", "✗"), "✗")
)</f>
        <v>✓</v>
      </c>
      <c r="X19" t="str" cm="1">
        <f t="array" aca="1" ref="X19" ca="1">IF(
    ISNUMBER(VALUE(LEFT($A19, 1))),
    "",
    IFERROR(IF(_xlfn.XLOOKUP($A19, INDIRECT("'" &amp; X$2 &amp; "'!$A:$A"), INDIRECT("'" &amp; X$2 &amp; "'!$B:$B"), "")&lt;&gt;"", "✓", "✗"), "✗")
)</f>
        <v>✓</v>
      </c>
      <c r="Y19" t="str" cm="1">
        <f t="array" aca="1" ref="Y19" ca="1">IF(
    ISNUMBER(VALUE(LEFT($A19, 1))),
    "",
    IFERROR(IF(_xlfn.XLOOKUP($A19, INDIRECT("'" &amp; Y$2 &amp; "'!$A:$A"), INDIRECT("'" &amp; Y$2 &amp; "'!$B:$B"), "")&lt;&gt;"", "✓", "✗"), "✗")
)</f>
        <v>✓</v>
      </c>
      <c r="Z19" t="str" cm="1">
        <f t="array" aca="1" ref="Z19" ca="1">IF(
    ISNUMBER(VALUE(LEFT($A19, 1))),
    "",
    IFERROR(IF(_xlfn.XLOOKUP($A19, INDIRECT("'" &amp; Z$2 &amp; "'!$A:$A"), INDIRECT("'" &amp; Z$2 &amp; "'!$B:$B"), "")&lt;&gt;"", "✓", "✗"), "✗")
)</f>
        <v>✓</v>
      </c>
      <c r="AA19" t="str" cm="1">
        <f t="array" aca="1" ref="AA19" ca="1">IF(
    ISNUMBER(VALUE(LEFT($A19, 1))),
    "",
    IFERROR(IF(_xlfn.XLOOKUP($A19, INDIRECT("'" &amp; AA$2 &amp; "'!$A:$A"), INDIRECT("'" &amp; AA$2 &amp; "'!$B:$B"), "")&lt;&gt;"", "✓", "✗"), "✗")
)</f>
        <v>✓</v>
      </c>
      <c r="AB19" t="str" cm="1">
        <f t="array" aca="1" ref="AB19" ca="1">IF(
    ISNUMBER(VALUE(LEFT($A19, 1))),
    "",
    IFERROR(IF(_xlfn.XLOOKUP($A19, INDIRECT("'" &amp; AB$2 &amp; "'!$A:$A"), INDIRECT("'" &amp; AB$2 &amp; "'!$B:$B"), "")&lt;&gt;"", "✓", "✗"), "✗")
)</f>
        <v>✓</v>
      </c>
      <c r="AC19" t="str" cm="1">
        <f t="array" aca="1" ref="AC19" ca="1">IF(
    ISNUMBER(VALUE(LEFT($A19, 1))),
    "",
    IFERROR(IF(_xlfn.XLOOKUP($A19, INDIRECT("'" &amp; AC$2 &amp; "'!$A:$A"), INDIRECT("'" &amp; AC$2 &amp; "'!$B:$B"), "")&lt;&gt;"", "✓", "✗"), "✗")
)</f>
        <v>✗</v>
      </c>
      <c r="AD19" t="str" cm="1">
        <f t="array" aca="1" ref="AD19" ca="1">IF(
    ISNUMBER(VALUE(LEFT($A19, 1))),
    "",
    IFERROR(IF(_xlfn.XLOOKUP($A19, INDIRECT("'" &amp; AD$2 &amp; "'!$A:$A"), INDIRECT("'" &amp; AD$2 &amp; "'!$B:$B"), "")&lt;&gt;"", "✓", "✗"), "✗")
)</f>
        <v>✗</v>
      </c>
      <c r="AE19" t="str" cm="1">
        <f t="array" aca="1" ref="AE19" ca="1">IF(
    ISNUMBER(VALUE(LEFT($A19, 1))),
    "",
    IFERROR(IF(_xlfn.XLOOKUP($A19, INDIRECT("'" &amp; AE$2 &amp; "'!$A:$A"), INDIRECT("'" &amp; AE$2 &amp; "'!$B:$B"), "")&lt;&gt;"", "✓", "✗"), "✗")
)</f>
        <v>✓</v>
      </c>
      <c r="AF19" t="str" cm="1">
        <f t="array" aca="1" ref="AF19" ca="1">IF(
    ISNUMBER(VALUE(LEFT($A19, 1))),
    "",
    IFERROR(IF(_xlfn.XLOOKUP($A19, INDIRECT("'" &amp; AF$2 &amp; "'!$A:$A"), INDIRECT("'" &amp; AF$2 &amp; "'!$B:$B"), "")&lt;&gt;"", "✓", "✗"), "✗")
)</f>
        <v>✓</v>
      </c>
      <c r="AG19" t="str" cm="1">
        <f t="array" aca="1" ref="AG19" ca="1">IF(
    ISNUMBER(VALUE(LEFT($A19, 1))),
    "",
    IFERROR(IF(_xlfn.XLOOKUP($A19, INDIRECT("'" &amp; AG$2 &amp; "'!$A:$A"), INDIRECT("'" &amp; AG$2 &amp; "'!$B:$B"), "")&lt;&gt;"", "✓", "✗"), "✗")
)</f>
        <v>✓</v>
      </c>
    </row>
    <row r="20" spans="1:33" x14ac:dyDescent="0.45">
      <c r="A20" t="str">
        <v>Phone Status</v>
      </c>
      <c r="B20" t="str" cm="1">
        <f t="array" aca="1" ref="B20" ca="1">IF(
    ISNUMBER(VALUE(LEFT($A20, 1))),
    "",
    IFERROR(IF(_xlfn.XLOOKUP($A20, INDIRECT("'" &amp; B$2 &amp; "'!$A:$A"), INDIRECT("'" &amp; B$2 &amp; "'!$B:$B"), "")&lt;&gt;"", "✓", "✗"), "✗")
)</f>
        <v>✓</v>
      </c>
      <c r="C20" t="str" cm="1">
        <f t="array" aca="1" ref="C20" ca="1">IF(
    ISNUMBER(VALUE(LEFT($A20, 1))),
    "",
    IFERROR(IF(_xlfn.XLOOKUP($A20, INDIRECT("'" &amp; C$2 &amp; "'!$A:$A"), INDIRECT("'" &amp; C$2 &amp; "'!$B:$B"), "")&lt;&gt;"", "✓", "✗"), "✗")
)</f>
        <v>✓</v>
      </c>
      <c r="D20" t="str" cm="1">
        <f t="array" aca="1" ref="D20" ca="1">IF(
    ISNUMBER(VALUE(LEFT($A20, 1))),
    "",
    IFERROR(IF(_xlfn.XLOOKUP($A20, INDIRECT("'" &amp; D$2 &amp; "'!$A:$A"), INDIRECT("'" &amp; D$2 &amp; "'!$B:$B"), "")&lt;&gt;"", "✓", "✗"), "✗")
)</f>
        <v>✓</v>
      </c>
      <c r="E20" t="str" cm="1">
        <f t="array" aca="1" ref="E20" ca="1">IF(
    ISNUMBER(VALUE(LEFT($A20, 1))),
    "",
    IFERROR(IF(_xlfn.XLOOKUP($A20, INDIRECT("'" &amp; E$2 &amp; "'!$A:$A"), INDIRECT("'" &amp; E$2 &amp; "'!$B:$B"), "")&lt;&gt;"", "✓", "✗"), "✗")
)</f>
        <v>✓</v>
      </c>
      <c r="F20" t="str" cm="1">
        <f t="array" aca="1" ref="F20" ca="1">IF(
    ISNUMBER(VALUE(LEFT($A20, 1))),
    "",
    IFERROR(IF(_xlfn.XLOOKUP($A20, INDIRECT("'" &amp; F$2 &amp; "'!$A:$A"), INDIRECT("'" &amp; F$2 &amp; "'!$B:$B"), "")&lt;&gt;"", "✓", "✗"), "✗")
)</f>
        <v>✓</v>
      </c>
      <c r="G20" t="str" cm="1">
        <f t="array" aca="1" ref="G20" ca="1">IF(
    ISNUMBER(VALUE(LEFT($A20, 1))),
    "",
    IFERROR(IF(_xlfn.XLOOKUP($A20, INDIRECT("'" &amp; G$2 &amp; "'!$A:$A"), INDIRECT("'" &amp; G$2 &amp; "'!$B:$B"), "")&lt;&gt;"", "✓", "✗"), "✗")
)</f>
        <v>✓</v>
      </c>
      <c r="H20" t="str" cm="1">
        <f t="array" aca="1" ref="H20" ca="1">IF(
    ISNUMBER(VALUE(LEFT($A20, 1))),
    "",
    IFERROR(IF(_xlfn.XLOOKUP($A20, INDIRECT("'" &amp; H$2 &amp; "'!$A:$A"), INDIRECT("'" &amp; H$2 &amp; "'!$B:$B"), "")&lt;&gt;"", "✓", "✗"), "✗")
)</f>
        <v>✓</v>
      </c>
      <c r="I20" t="str" cm="1">
        <f t="array" aca="1" ref="I20" ca="1">IF(
    ISNUMBER(VALUE(LEFT($A20, 1))),
    "",
    IFERROR(IF(_xlfn.XLOOKUP($A20, INDIRECT("'" &amp; I$2 &amp; "'!$A:$A"), INDIRECT("'" &amp; I$2 &amp; "'!$B:$B"), "")&lt;&gt;"", "✓", "✗"), "✗")
)</f>
        <v>✓</v>
      </c>
      <c r="J20" t="str" cm="1">
        <f t="array" aca="1" ref="J20" ca="1">IF(
    ISNUMBER(VALUE(LEFT($A20, 1))),
    "",
    IFERROR(IF(_xlfn.XLOOKUP($A20, INDIRECT("'" &amp; J$2 &amp; "'!$A:$A"), INDIRECT("'" &amp; J$2 &amp; "'!$B:$B"), "")&lt;&gt;"", "✓", "✗"), "✗")
)</f>
        <v>✓</v>
      </c>
      <c r="K20" t="str" cm="1">
        <f t="array" aca="1" ref="K20" ca="1">IF(
    ISNUMBER(VALUE(LEFT($A20, 1))),
    "",
    IFERROR(IF(_xlfn.XLOOKUP($A20, INDIRECT("'" &amp; K$2 &amp; "'!$A:$A"), INDIRECT("'" &amp; K$2 &amp; "'!$B:$B"), "")&lt;&gt;"", "✓", "✗"), "✗")
)</f>
        <v>✓</v>
      </c>
      <c r="L20" t="str" cm="1">
        <f t="array" aca="1" ref="L20" ca="1">IF(
    ISNUMBER(VALUE(LEFT($A20, 1))),
    "",
    IFERROR(IF(_xlfn.XLOOKUP($A20, INDIRECT("'" &amp; L$2 &amp; "'!$A:$A"), INDIRECT("'" &amp; L$2 &amp; "'!$B:$B"), "")&lt;&gt;"", "✓", "✗"), "✗")
)</f>
        <v>✓</v>
      </c>
      <c r="M20" t="str" cm="1">
        <f t="array" aca="1" ref="M20" ca="1">IF(
    ISNUMBER(VALUE(LEFT($A20, 1))),
    "",
    IFERROR(IF(_xlfn.XLOOKUP($A20, INDIRECT("'" &amp; M$2 &amp; "'!$A:$A"), INDIRECT("'" &amp; M$2 &amp; "'!$B:$B"), "")&lt;&gt;"", "✓", "✗"), "✗")
)</f>
        <v>✓</v>
      </c>
      <c r="N20" t="str" cm="1">
        <f t="array" aca="1" ref="N20" ca="1">IF(
    ISNUMBER(VALUE(LEFT($A20, 1))),
    "",
    IFERROR(IF(_xlfn.XLOOKUP($A20, INDIRECT("'" &amp; N$2 &amp; "'!$A:$A"), INDIRECT("'" &amp; N$2 &amp; "'!$B:$B"), "")&lt;&gt;"", "✓", "✗"), "✗")
)</f>
        <v>✓</v>
      </c>
      <c r="O20" t="str" cm="1">
        <f t="array" aca="1" ref="O20" ca="1">IF(
    ISNUMBER(VALUE(LEFT($A20, 1))),
    "",
    IFERROR(IF(_xlfn.XLOOKUP($A20, INDIRECT("'" &amp; O$2 &amp; "'!$A:$A"), INDIRECT("'" &amp; O$2 &amp; "'!$B:$B"), "")&lt;&gt;"", "✓", "✗"), "✗")
)</f>
        <v>✓</v>
      </c>
      <c r="P20" t="str" cm="1">
        <f t="array" aca="1" ref="P20" ca="1">IF(
    ISNUMBER(VALUE(LEFT($A20, 1))),
    "",
    IFERROR(IF(_xlfn.XLOOKUP($A20, INDIRECT("'" &amp; P$2 &amp; "'!$A:$A"), INDIRECT("'" &amp; P$2 &amp; "'!$B:$B"), "")&lt;&gt;"", "✓", "✗"), "✗")
)</f>
        <v>✓</v>
      </c>
      <c r="Q20" t="str" cm="1">
        <f t="array" aca="1" ref="Q20" ca="1">IF(
    ISNUMBER(VALUE(LEFT($A20, 1))),
    "",
    IFERROR(IF(_xlfn.XLOOKUP($A20, INDIRECT("'" &amp; Q$2 &amp; "'!$A:$A"), INDIRECT("'" &amp; Q$2 &amp; "'!$B:$B"), "")&lt;&gt;"", "✓", "✗"), "✗")
)</f>
        <v>✓</v>
      </c>
      <c r="R20" t="str" cm="1">
        <f t="array" aca="1" ref="R20" ca="1">IF(
    ISNUMBER(VALUE(LEFT($A20, 1))),
    "",
    IFERROR(IF(_xlfn.XLOOKUP($A20, INDIRECT("'" &amp; R$2 &amp; "'!$A:$A"), INDIRECT("'" &amp; R$2 &amp; "'!$B:$B"), "")&lt;&gt;"", "✓", "✗"), "✗")
)</f>
        <v>✓</v>
      </c>
      <c r="S20" t="str" cm="1">
        <f t="array" aca="1" ref="S20" ca="1">IF(
    ISNUMBER(VALUE(LEFT($A20, 1))),
    "",
    IFERROR(IF(_xlfn.XLOOKUP($A20, INDIRECT("'" &amp; S$2 &amp; "'!$A:$A"), INDIRECT("'" &amp; S$2 &amp; "'!$B:$B"), "")&lt;&gt;"", "✓", "✗"), "✗")
)</f>
        <v>✓</v>
      </c>
      <c r="T20" t="str" cm="1">
        <f t="array" aca="1" ref="T20" ca="1">IF(
    ISNUMBER(VALUE(LEFT($A20, 1))),
    "",
    IFERROR(IF(_xlfn.XLOOKUP($A20, INDIRECT("'" &amp; T$2 &amp; "'!$A:$A"), INDIRECT("'" &amp; T$2 &amp; "'!$B:$B"), "")&lt;&gt;"", "✓", "✗"), "✗")
)</f>
        <v>✓</v>
      </c>
      <c r="U20" t="str" cm="1">
        <f t="array" aca="1" ref="U20" ca="1">IF(
    ISNUMBER(VALUE(LEFT($A20, 1))),
    "",
    IFERROR(IF(_xlfn.XLOOKUP($A20, INDIRECT("'" &amp; U$2 &amp; "'!$A:$A"), INDIRECT("'" &amp; U$2 &amp; "'!$B:$B"), "")&lt;&gt;"", "✓", "✗"), "✗")
)</f>
        <v>✓</v>
      </c>
      <c r="V20" t="str" cm="1">
        <f t="array" aca="1" ref="V20" ca="1">IF(
    ISNUMBER(VALUE(LEFT($A20, 1))),
    "",
    IFERROR(IF(_xlfn.XLOOKUP($A20, INDIRECT("'" &amp; V$2 &amp; "'!$A:$A"), INDIRECT("'" &amp; V$2 &amp; "'!$B:$B"), "")&lt;&gt;"", "✓", "✗"), "✗")
)</f>
        <v>✓</v>
      </c>
      <c r="W20" t="str" cm="1">
        <f t="array" aca="1" ref="W20" ca="1">IF(
    ISNUMBER(VALUE(LEFT($A20, 1))),
    "",
    IFERROR(IF(_xlfn.XLOOKUP($A20, INDIRECT("'" &amp; W$2 &amp; "'!$A:$A"), INDIRECT("'" &amp; W$2 &amp; "'!$B:$B"), "")&lt;&gt;"", "✓", "✗"), "✗")
)</f>
        <v>✓</v>
      </c>
      <c r="X20" t="str" cm="1">
        <f t="array" aca="1" ref="X20" ca="1">IF(
    ISNUMBER(VALUE(LEFT($A20, 1))),
    "",
    IFERROR(IF(_xlfn.XLOOKUP($A20, INDIRECT("'" &amp; X$2 &amp; "'!$A:$A"), INDIRECT("'" &amp; X$2 &amp; "'!$B:$B"), "")&lt;&gt;"", "✓", "✗"), "✗")
)</f>
        <v>✓</v>
      </c>
      <c r="Y20" t="str" cm="1">
        <f t="array" aca="1" ref="Y20" ca="1">IF(
    ISNUMBER(VALUE(LEFT($A20, 1))),
    "",
    IFERROR(IF(_xlfn.XLOOKUP($A20, INDIRECT("'" &amp; Y$2 &amp; "'!$A:$A"), INDIRECT("'" &amp; Y$2 &amp; "'!$B:$B"), "")&lt;&gt;"", "✓", "✗"), "✗")
)</f>
        <v>✓</v>
      </c>
      <c r="Z20" t="str" cm="1">
        <f t="array" aca="1" ref="Z20" ca="1">IF(
    ISNUMBER(VALUE(LEFT($A20, 1))),
    "",
    IFERROR(IF(_xlfn.XLOOKUP($A20, INDIRECT("'" &amp; Z$2 &amp; "'!$A:$A"), INDIRECT("'" &amp; Z$2 &amp; "'!$B:$B"), "")&lt;&gt;"", "✓", "✗"), "✗")
)</f>
        <v>✓</v>
      </c>
      <c r="AA20" t="str" cm="1">
        <f t="array" aca="1" ref="AA20" ca="1">IF(
    ISNUMBER(VALUE(LEFT($A20, 1))),
    "",
    IFERROR(IF(_xlfn.XLOOKUP($A20, INDIRECT("'" &amp; AA$2 &amp; "'!$A:$A"), INDIRECT("'" &amp; AA$2 &amp; "'!$B:$B"), "")&lt;&gt;"", "✓", "✗"), "✗")
)</f>
        <v>✓</v>
      </c>
      <c r="AB20" t="str" cm="1">
        <f t="array" aca="1" ref="AB20" ca="1">IF(
    ISNUMBER(VALUE(LEFT($A20, 1))),
    "",
    IFERROR(IF(_xlfn.XLOOKUP($A20, INDIRECT("'" &amp; AB$2 &amp; "'!$A:$A"), INDIRECT("'" &amp; AB$2 &amp; "'!$B:$B"), "")&lt;&gt;"", "✓", "✗"), "✗")
)</f>
        <v>✓</v>
      </c>
      <c r="AC20" t="str" cm="1">
        <f t="array" aca="1" ref="AC20" ca="1">IF(
    ISNUMBER(VALUE(LEFT($A20, 1))),
    "",
    IFERROR(IF(_xlfn.XLOOKUP($A20, INDIRECT("'" &amp; AC$2 &amp; "'!$A:$A"), INDIRECT("'" &amp; AC$2 &amp; "'!$B:$B"), "")&lt;&gt;"", "✓", "✗"), "✗")
)</f>
        <v>✗</v>
      </c>
      <c r="AD20" t="str" cm="1">
        <f t="array" aca="1" ref="AD20" ca="1">IF(
    ISNUMBER(VALUE(LEFT($A20, 1))),
    "",
    IFERROR(IF(_xlfn.XLOOKUP($A20, INDIRECT("'" &amp; AD$2 &amp; "'!$A:$A"), INDIRECT("'" &amp; AD$2 &amp; "'!$B:$B"), "")&lt;&gt;"", "✓", "✗"), "✗")
)</f>
        <v>✗</v>
      </c>
      <c r="AE20" t="str" cm="1">
        <f t="array" aca="1" ref="AE20" ca="1">IF(
    ISNUMBER(VALUE(LEFT($A20, 1))),
    "",
    IFERROR(IF(_xlfn.XLOOKUP($A20, INDIRECT("'" &amp; AE$2 &amp; "'!$A:$A"), INDIRECT("'" &amp; AE$2 &amp; "'!$B:$B"), "")&lt;&gt;"", "✓", "✗"), "✗")
)</f>
        <v>✓</v>
      </c>
      <c r="AF20" t="str" cm="1">
        <f t="array" aca="1" ref="AF20" ca="1">IF(
    ISNUMBER(VALUE(LEFT($A20, 1))),
    "",
    IFERROR(IF(_xlfn.XLOOKUP($A20, INDIRECT("'" &amp; AF$2 &amp; "'!$A:$A"), INDIRECT("'" &amp; AF$2 &amp; "'!$B:$B"), "")&lt;&gt;"", "✓", "✗"), "✗")
)</f>
        <v>✓</v>
      </c>
      <c r="AG20" t="str" cm="1">
        <f t="array" aca="1" ref="AG20" ca="1">IF(
    ISNUMBER(VALUE(LEFT($A20, 1))),
    "",
    IFERROR(IF(_xlfn.XLOOKUP($A20, INDIRECT("'" &amp; AG$2 &amp; "'!$A:$A"), INDIRECT("'" &amp; AG$2 &amp; "'!$B:$B"), "")&lt;&gt;"", "✓", "✗"), "✗")
)</f>
        <v>✓</v>
      </c>
    </row>
    <row r="21" spans="1:33" x14ac:dyDescent="0.45">
      <c r="A21" t="str">
        <v>OK to Call</v>
      </c>
      <c r="B21" t="str" cm="1">
        <f t="array" aca="1" ref="B21" ca="1">IF(
    ISNUMBER(VALUE(LEFT($A21, 1))),
    "",
    IFERROR(IF(_xlfn.XLOOKUP($A21, INDIRECT("'" &amp; B$2 &amp; "'!$A:$A"), INDIRECT("'" &amp; B$2 &amp; "'!$B:$B"), "")&lt;&gt;"", "✓", "✗"), "✗")
)</f>
        <v>✓</v>
      </c>
      <c r="C21" t="str" cm="1">
        <f t="array" aca="1" ref="C21" ca="1">IF(
    ISNUMBER(VALUE(LEFT($A21, 1))),
    "",
    IFERROR(IF(_xlfn.XLOOKUP($A21, INDIRECT("'" &amp; C$2 &amp; "'!$A:$A"), INDIRECT("'" &amp; C$2 &amp; "'!$B:$B"), "")&lt;&gt;"", "✓", "✗"), "✗")
)</f>
        <v>✓</v>
      </c>
      <c r="D21" t="str" cm="1">
        <f t="array" aca="1" ref="D21" ca="1">IF(
    ISNUMBER(VALUE(LEFT($A21, 1))),
    "",
    IFERROR(IF(_xlfn.XLOOKUP($A21, INDIRECT("'" &amp; D$2 &amp; "'!$A:$A"), INDIRECT("'" &amp; D$2 &amp; "'!$B:$B"), "")&lt;&gt;"", "✓", "✗"), "✗")
)</f>
        <v>✓</v>
      </c>
      <c r="E21" t="str" cm="1">
        <f t="array" aca="1" ref="E21" ca="1">IF(
    ISNUMBER(VALUE(LEFT($A21, 1))),
    "",
    IFERROR(IF(_xlfn.XLOOKUP($A21, INDIRECT("'" &amp; E$2 &amp; "'!$A:$A"), INDIRECT("'" &amp; E$2 &amp; "'!$B:$B"), "")&lt;&gt;"", "✓", "✗"), "✗")
)</f>
        <v>✓</v>
      </c>
      <c r="F21" t="str" cm="1">
        <f t="array" aca="1" ref="F21" ca="1">IF(
    ISNUMBER(VALUE(LEFT($A21, 1))),
    "",
    IFERROR(IF(_xlfn.XLOOKUP($A21, INDIRECT("'" &amp; F$2 &amp; "'!$A:$A"), INDIRECT("'" &amp; F$2 &amp; "'!$B:$B"), "")&lt;&gt;"", "✓", "✗"), "✗")
)</f>
        <v>✓</v>
      </c>
      <c r="G21" t="str" cm="1">
        <f t="array" aca="1" ref="G21" ca="1">IF(
    ISNUMBER(VALUE(LEFT($A21, 1))),
    "",
    IFERROR(IF(_xlfn.XLOOKUP($A21, INDIRECT("'" &amp; G$2 &amp; "'!$A:$A"), INDIRECT("'" &amp; G$2 &amp; "'!$B:$B"), "")&lt;&gt;"", "✓", "✗"), "✗")
)</f>
        <v>✓</v>
      </c>
      <c r="H21" t="str" cm="1">
        <f t="array" aca="1" ref="H21" ca="1">IF(
    ISNUMBER(VALUE(LEFT($A21, 1))),
    "",
    IFERROR(IF(_xlfn.XLOOKUP($A21, INDIRECT("'" &amp; H$2 &amp; "'!$A:$A"), INDIRECT("'" &amp; H$2 &amp; "'!$B:$B"), "")&lt;&gt;"", "✓", "✗"), "✗")
)</f>
        <v>✓</v>
      </c>
      <c r="I21" t="str" cm="1">
        <f t="array" aca="1" ref="I21" ca="1">IF(
    ISNUMBER(VALUE(LEFT($A21, 1))),
    "",
    IFERROR(IF(_xlfn.XLOOKUP($A21, INDIRECT("'" &amp; I$2 &amp; "'!$A:$A"), INDIRECT("'" &amp; I$2 &amp; "'!$B:$B"), "")&lt;&gt;"", "✓", "✗"), "✗")
)</f>
        <v>✓</v>
      </c>
      <c r="J21" t="str" cm="1">
        <f t="array" aca="1" ref="J21" ca="1">IF(
    ISNUMBER(VALUE(LEFT($A21, 1))),
    "",
    IFERROR(IF(_xlfn.XLOOKUP($A21, INDIRECT("'" &amp; J$2 &amp; "'!$A:$A"), INDIRECT("'" &amp; J$2 &amp; "'!$B:$B"), "")&lt;&gt;"", "✓", "✗"), "✗")
)</f>
        <v>✓</v>
      </c>
      <c r="K21" t="str" cm="1">
        <f t="array" aca="1" ref="K21" ca="1">IF(
    ISNUMBER(VALUE(LEFT($A21, 1))),
    "",
    IFERROR(IF(_xlfn.XLOOKUP($A21, INDIRECT("'" &amp; K$2 &amp; "'!$A:$A"), INDIRECT("'" &amp; K$2 &amp; "'!$B:$B"), "")&lt;&gt;"", "✓", "✗"), "✗")
)</f>
        <v>✓</v>
      </c>
      <c r="L21" t="str" cm="1">
        <f t="array" aca="1" ref="L21" ca="1">IF(
    ISNUMBER(VALUE(LEFT($A21, 1))),
    "",
    IFERROR(IF(_xlfn.XLOOKUP($A21, INDIRECT("'" &amp; L$2 &amp; "'!$A:$A"), INDIRECT("'" &amp; L$2 &amp; "'!$B:$B"), "")&lt;&gt;"", "✓", "✗"), "✗")
)</f>
        <v>✓</v>
      </c>
      <c r="M21" t="str" cm="1">
        <f t="array" aca="1" ref="M21" ca="1">IF(
    ISNUMBER(VALUE(LEFT($A21, 1))),
    "",
    IFERROR(IF(_xlfn.XLOOKUP($A21, INDIRECT("'" &amp; M$2 &amp; "'!$A:$A"), INDIRECT("'" &amp; M$2 &amp; "'!$B:$B"), "")&lt;&gt;"", "✓", "✗"), "✗")
)</f>
        <v>✓</v>
      </c>
      <c r="N21" t="str" cm="1">
        <f t="array" aca="1" ref="N21" ca="1">IF(
    ISNUMBER(VALUE(LEFT($A21, 1))),
    "",
    IFERROR(IF(_xlfn.XLOOKUP($A21, INDIRECT("'" &amp; N$2 &amp; "'!$A:$A"), INDIRECT("'" &amp; N$2 &amp; "'!$B:$B"), "")&lt;&gt;"", "✓", "✗"), "✗")
)</f>
        <v>✓</v>
      </c>
      <c r="O21" t="str" cm="1">
        <f t="array" aca="1" ref="O21" ca="1">IF(
    ISNUMBER(VALUE(LEFT($A21, 1))),
    "",
    IFERROR(IF(_xlfn.XLOOKUP($A21, INDIRECT("'" &amp; O$2 &amp; "'!$A:$A"), INDIRECT("'" &amp; O$2 &amp; "'!$B:$B"), "")&lt;&gt;"", "✓", "✗"), "✗")
)</f>
        <v>✓</v>
      </c>
      <c r="P21" t="str" cm="1">
        <f t="array" aca="1" ref="P21" ca="1">IF(
    ISNUMBER(VALUE(LEFT($A21, 1))),
    "",
    IFERROR(IF(_xlfn.XLOOKUP($A21, INDIRECT("'" &amp; P$2 &amp; "'!$A:$A"), INDIRECT("'" &amp; P$2 &amp; "'!$B:$B"), "")&lt;&gt;"", "✓", "✗"), "✗")
)</f>
        <v>✓</v>
      </c>
      <c r="Q21" t="str" cm="1">
        <f t="array" aca="1" ref="Q21" ca="1">IF(
    ISNUMBER(VALUE(LEFT($A21, 1))),
    "",
    IFERROR(IF(_xlfn.XLOOKUP($A21, INDIRECT("'" &amp; Q$2 &amp; "'!$A:$A"), INDIRECT("'" &amp; Q$2 &amp; "'!$B:$B"), "")&lt;&gt;"", "✓", "✗"), "✗")
)</f>
        <v>✓</v>
      </c>
      <c r="R21" t="str" cm="1">
        <f t="array" aca="1" ref="R21" ca="1">IF(
    ISNUMBER(VALUE(LEFT($A21, 1))),
    "",
    IFERROR(IF(_xlfn.XLOOKUP($A21, INDIRECT("'" &amp; R$2 &amp; "'!$A:$A"), INDIRECT("'" &amp; R$2 &amp; "'!$B:$B"), "")&lt;&gt;"", "✓", "✗"), "✗")
)</f>
        <v>✓</v>
      </c>
      <c r="S21" t="str" cm="1">
        <f t="array" aca="1" ref="S21" ca="1">IF(
    ISNUMBER(VALUE(LEFT($A21, 1))),
    "",
    IFERROR(IF(_xlfn.XLOOKUP($A21, INDIRECT("'" &amp; S$2 &amp; "'!$A:$A"), INDIRECT("'" &amp; S$2 &amp; "'!$B:$B"), "")&lt;&gt;"", "✓", "✗"), "✗")
)</f>
        <v>✓</v>
      </c>
      <c r="T21" t="str" cm="1">
        <f t="array" aca="1" ref="T21" ca="1">IF(
    ISNUMBER(VALUE(LEFT($A21, 1))),
    "",
    IFERROR(IF(_xlfn.XLOOKUP($A21, INDIRECT("'" &amp; T$2 &amp; "'!$A:$A"), INDIRECT("'" &amp; T$2 &amp; "'!$B:$B"), "")&lt;&gt;"", "✓", "✗"), "✗")
)</f>
        <v>✓</v>
      </c>
      <c r="U21" t="str" cm="1">
        <f t="array" aca="1" ref="U21" ca="1">IF(
    ISNUMBER(VALUE(LEFT($A21, 1))),
    "",
    IFERROR(IF(_xlfn.XLOOKUP($A21, INDIRECT("'" &amp; U$2 &amp; "'!$A:$A"), INDIRECT("'" &amp; U$2 &amp; "'!$B:$B"), "")&lt;&gt;"", "✓", "✗"), "✗")
)</f>
        <v>✓</v>
      </c>
      <c r="V21" t="str" cm="1">
        <f t="array" aca="1" ref="V21" ca="1">IF(
    ISNUMBER(VALUE(LEFT($A21, 1))),
    "",
    IFERROR(IF(_xlfn.XLOOKUP($A21, INDIRECT("'" &amp; V$2 &amp; "'!$A:$A"), INDIRECT("'" &amp; V$2 &amp; "'!$B:$B"), "")&lt;&gt;"", "✓", "✗"), "✗")
)</f>
        <v>✓</v>
      </c>
      <c r="W21" t="str" cm="1">
        <f t="array" aca="1" ref="W21" ca="1">IF(
    ISNUMBER(VALUE(LEFT($A21, 1))),
    "",
    IFERROR(IF(_xlfn.XLOOKUP($A21, INDIRECT("'" &amp; W$2 &amp; "'!$A:$A"), INDIRECT("'" &amp; W$2 &amp; "'!$B:$B"), "")&lt;&gt;"", "✓", "✗"), "✗")
)</f>
        <v>✓</v>
      </c>
      <c r="X21" t="str" cm="1">
        <f t="array" aca="1" ref="X21" ca="1">IF(
    ISNUMBER(VALUE(LEFT($A21, 1))),
    "",
    IFERROR(IF(_xlfn.XLOOKUP($A21, INDIRECT("'" &amp; X$2 &amp; "'!$A:$A"), INDIRECT("'" &amp; X$2 &amp; "'!$B:$B"), "")&lt;&gt;"", "✓", "✗"), "✗")
)</f>
        <v>✓</v>
      </c>
      <c r="Y21" t="str" cm="1">
        <f t="array" aca="1" ref="Y21" ca="1">IF(
    ISNUMBER(VALUE(LEFT($A21, 1))),
    "",
    IFERROR(IF(_xlfn.XLOOKUP($A21, INDIRECT("'" &amp; Y$2 &amp; "'!$A:$A"), INDIRECT("'" &amp; Y$2 &amp; "'!$B:$B"), "")&lt;&gt;"", "✓", "✗"), "✗")
)</f>
        <v>✓</v>
      </c>
      <c r="Z21" t="str" cm="1">
        <f t="array" aca="1" ref="Z21" ca="1">IF(
    ISNUMBER(VALUE(LEFT($A21, 1))),
    "",
    IFERROR(IF(_xlfn.XLOOKUP($A21, INDIRECT("'" &amp; Z$2 &amp; "'!$A:$A"), INDIRECT("'" &amp; Z$2 &amp; "'!$B:$B"), "")&lt;&gt;"", "✓", "✗"), "✗")
)</f>
        <v>✓</v>
      </c>
      <c r="AA21" t="str" cm="1">
        <f t="array" aca="1" ref="AA21" ca="1">IF(
    ISNUMBER(VALUE(LEFT($A21, 1))),
    "",
    IFERROR(IF(_xlfn.XLOOKUP($A21, INDIRECT("'" &amp; AA$2 &amp; "'!$A:$A"), INDIRECT("'" &amp; AA$2 &amp; "'!$B:$B"), "")&lt;&gt;"", "✓", "✗"), "✗")
)</f>
        <v>✓</v>
      </c>
      <c r="AB21" t="str" cm="1">
        <f t="array" aca="1" ref="AB21" ca="1">IF(
    ISNUMBER(VALUE(LEFT($A21, 1))),
    "",
    IFERROR(IF(_xlfn.XLOOKUP($A21, INDIRECT("'" &amp; AB$2 &amp; "'!$A:$A"), INDIRECT("'" &amp; AB$2 &amp; "'!$B:$B"), "")&lt;&gt;"", "✓", "✗"), "✗")
)</f>
        <v>✓</v>
      </c>
      <c r="AC21" t="str" cm="1">
        <f t="array" aca="1" ref="AC21" ca="1">IF(
    ISNUMBER(VALUE(LEFT($A21, 1))),
    "",
    IFERROR(IF(_xlfn.XLOOKUP($A21, INDIRECT("'" &amp; AC$2 &amp; "'!$A:$A"), INDIRECT("'" &amp; AC$2 &amp; "'!$B:$B"), "")&lt;&gt;"", "✓", "✗"), "✗")
)</f>
        <v>✗</v>
      </c>
      <c r="AD21" t="str" cm="1">
        <f t="array" aca="1" ref="AD21" ca="1">IF(
    ISNUMBER(VALUE(LEFT($A21, 1))),
    "",
    IFERROR(IF(_xlfn.XLOOKUP($A21, INDIRECT("'" &amp; AD$2 &amp; "'!$A:$A"), INDIRECT("'" &amp; AD$2 &amp; "'!$B:$B"), "")&lt;&gt;"", "✓", "✗"), "✗")
)</f>
        <v>✗</v>
      </c>
      <c r="AE21" t="str" cm="1">
        <f t="array" aca="1" ref="AE21" ca="1">IF(
    ISNUMBER(VALUE(LEFT($A21, 1))),
    "",
    IFERROR(IF(_xlfn.XLOOKUP($A21, INDIRECT("'" &amp; AE$2 &amp; "'!$A:$A"), INDIRECT("'" &amp; AE$2 &amp; "'!$B:$B"), "")&lt;&gt;"", "✓", "✗"), "✗")
)</f>
        <v>✓</v>
      </c>
      <c r="AF21" t="str" cm="1">
        <f t="array" aca="1" ref="AF21" ca="1">IF(
    ISNUMBER(VALUE(LEFT($A21, 1))),
    "",
    IFERROR(IF(_xlfn.XLOOKUP($A21, INDIRECT("'" &amp; AF$2 &amp; "'!$A:$A"), INDIRECT("'" &amp; AF$2 &amp; "'!$B:$B"), "")&lt;&gt;"", "✓", "✗"), "✗")
)</f>
        <v>✓</v>
      </c>
      <c r="AG21" t="str" cm="1">
        <f t="array" aca="1" ref="AG21" ca="1">IF(
    ISNUMBER(VALUE(LEFT($A21, 1))),
    "",
    IFERROR(IF(_xlfn.XLOOKUP($A21, INDIRECT("'" &amp; AG$2 &amp; "'!$A:$A"), INDIRECT("'" &amp; AG$2 &amp; "'!$B:$B"), "")&lt;&gt;"", "✓", "✗"), "✗")
)</f>
        <v>✓</v>
      </c>
    </row>
    <row r="22" spans="1:33" x14ac:dyDescent="0.45">
      <c r="A22" t="str">
        <v>Partner Flag</v>
      </c>
      <c r="B22" t="str" cm="1">
        <f t="array" aca="1" ref="B22" ca="1">IF(
    ISNUMBER(VALUE(LEFT($A22, 1))),
    "",
    IFERROR(IF(_xlfn.XLOOKUP($A22, INDIRECT("'" &amp; B$2 &amp; "'!$A:$A"), INDIRECT("'" &amp; B$2 &amp; "'!$B:$B"), "")&lt;&gt;"", "✓", "✗"), "✗")
)</f>
        <v>✓</v>
      </c>
      <c r="C22" t="str" cm="1">
        <f t="array" aca="1" ref="C22" ca="1">IF(
    ISNUMBER(VALUE(LEFT($A22, 1))),
    "",
    IFERROR(IF(_xlfn.XLOOKUP($A22, INDIRECT("'" &amp; C$2 &amp; "'!$A:$A"), INDIRECT("'" &amp; C$2 &amp; "'!$B:$B"), "")&lt;&gt;"", "✓", "✗"), "✗")
)</f>
        <v>✓</v>
      </c>
      <c r="D22" t="str" cm="1">
        <f t="array" aca="1" ref="D22" ca="1">IF(
    ISNUMBER(VALUE(LEFT($A22, 1))),
    "",
    IFERROR(IF(_xlfn.XLOOKUP($A22, INDIRECT("'" &amp; D$2 &amp; "'!$A:$A"), INDIRECT("'" &amp; D$2 &amp; "'!$B:$B"), "")&lt;&gt;"", "✓", "✗"), "✗")
)</f>
        <v>✓</v>
      </c>
      <c r="E22" t="str" cm="1">
        <f t="array" aca="1" ref="E22" ca="1">IF(
    ISNUMBER(VALUE(LEFT($A22, 1))),
    "",
    IFERROR(IF(_xlfn.XLOOKUP($A22, INDIRECT("'" &amp; E$2 &amp; "'!$A:$A"), INDIRECT("'" &amp; E$2 &amp; "'!$B:$B"), "")&lt;&gt;"", "✓", "✗"), "✗")
)</f>
        <v>✓</v>
      </c>
      <c r="F22" t="str" cm="1">
        <f t="array" aca="1" ref="F22" ca="1">IF(
    ISNUMBER(VALUE(LEFT($A22, 1))),
    "",
    IFERROR(IF(_xlfn.XLOOKUP($A22, INDIRECT("'" &amp; F$2 &amp; "'!$A:$A"), INDIRECT("'" &amp; F$2 &amp; "'!$B:$B"), "")&lt;&gt;"", "✓", "✗"), "✗")
)</f>
        <v>✓</v>
      </c>
      <c r="G22" t="str" cm="1">
        <f t="array" aca="1" ref="G22" ca="1">IF(
    ISNUMBER(VALUE(LEFT($A22, 1))),
    "",
    IFERROR(IF(_xlfn.XLOOKUP($A22, INDIRECT("'" &amp; G$2 &amp; "'!$A:$A"), INDIRECT("'" &amp; G$2 &amp; "'!$B:$B"), "")&lt;&gt;"", "✓", "✗"), "✗")
)</f>
        <v>✓</v>
      </c>
      <c r="H22" t="str" cm="1">
        <f t="array" aca="1" ref="H22" ca="1">IF(
    ISNUMBER(VALUE(LEFT($A22, 1))),
    "",
    IFERROR(IF(_xlfn.XLOOKUP($A22, INDIRECT("'" &amp; H$2 &amp; "'!$A:$A"), INDIRECT("'" &amp; H$2 &amp; "'!$B:$B"), "")&lt;&gt;"", "✓", "✗"), "✗")
)</f>
        <v>✓</v>
      </c>
      <c r="I22" t="str" cm="1">
        <f t="array" aca="1" ref="I22" ca="1">IF(
    ISNUMBER(VALUE(LEFT($A22, 1))),
    "",
    IFERROR(IF(_xlfn.XLOOKUP($A22, INDIRECT("'" &amp; I$2 &amp; "'!$A:$A"), INDIRECT("'" &amp; I$2 &amp; "'!$B:$B"), "")&lt;&gt;"", "✓", "✗"), "✗")
)</f>
        <v>✓</v>
      </c>
      <c r="J22" t="str" cm="1">
        <f t="array" aca="1" ref="J22" ca="1">IF(
    ISNUMBER(VALUE(LEFT($A22, 1))),
    "",
    IFERROR(IF(_xlfn.XLOOKUP($A22, INDIRECT("'" &amp; J$2 &amp; "'!$A:$A"), INDIRECT("'" &amp; J$2 &amp; "'!$B:$B"), "")&lt;&gt;"", "✓", "✗"), "✗")
)</f>
        <v>✓</v>
      </c>
      <c r="K22" t="str" cm="1">
        <f t="array" aca="1" ref="K22" ca="1">IF(
    ISNUMBER(VALUE(LEFT($A22, 1))),
    "",
    IFERROR(IF(_xlfn.XLOOKUP($A22, INDIRECT("'" &amp; K$2 &amp; "'!$A:$A"), INDIRECT("'" &amp; K$2 &amp; "'!$B:$B"), "")&lt;&gt;"", "✓", "✗"), "✗")
)</f>
        <v>✓</v>
      </c>
      <c r="L22" t="str" cm="1">
        <f t="array" aca="1" ref="L22" ca="1">IF(
    ISNUMBER(VALUE(LEFT($A22, 1))),
    "",
    IFERROR(IF(_xlfn.XLOOKUP($A22, INDIRECT("'" &amp; L$2 &amp; "'!$A:$A"), INDIRECT("'" &amp; L$2 &amp; "'!$B:$B"), "")&lt;&gt;"", "✓", "✗"), "✗")
)</f>
        <v>✓</v>
      </c>
      <c r="M22" t="str" cm="1">
        <f t="array" aca="1" ref="M22" ca="1">IF(
    ISNUMBER(VALUE(LEFT($A22, 1))),
    "",
    IFERROR(IF(_xlfn.XLOOKUP($A22, INDIRECT("'" &amp; M$2 &amp; "'!$A:$A"), INDIRECT("'" &amp; M$2 &amp; "'!$B:$B"), "")&lt;&gt;"", "✓", "✗"), "✗")
)</f>
        <v>✓</v>
      </c>
      <c r="N22" t="str" cm="1">
        <f t="array" aca="1" ref="N22" ca="1">IF(
    ISNUMBER(VALUE(LEFT($A22, 1))),
    "",
    IFERROR(IF(_xlfn.XLOOKUP($A22, INDIRECT("'" &amp; N$2 &amp; "'!$A:$A"), INDIRECT("'" &amp; N$2 &amp; "'!$B:$B"), "")&lt;&gt;"", "✓", "✗"), "✗")
)</f>
        <v>✓</v>
      </c>
      <c r="O22" t="str" cm="1">
        <f t="array" aca="1" ref="O22" ca="1">IF(
    ISNUMBER(VALUE(LEFT($A22, 1))),
    "",
    IFERROR(IF(_xlfn.XLOOKUP($A22, INDIRECT("'" &amp; O$2 &amp; "'!$A:$A"), INDIRECT("'" &amp; O$2 &amp; "'!$B:$B"), "")&lt;&gt;"", "✓", "✗"), "✗")
)</f>
        <v>✓</v>
      </c>
      <c r="P22" t="str" cm="1">
        <f t="array" aca="1" ref="P22" ca="1">IF(
    ISNUMBER(VALUE(LEFT($A22, 1))),
    "",
    IFERROR(IF(_xlfn.XLOOKUP($A22, INDIRECT("'" &amp; P$2 &amp; "'!$A:$A"), INDIRECT("'" &amp; P$2 &amp; "'!$B:$B"), "")&lt;&gt;"", "✓", "✗"), "✗")
)</f>
        <v>✓</v>
      </c>
      <c r="Q22" t="str" cm="1">
        <f t="array" aca="1" ref="Q22" ca="1">IF(
    ISNUMBER(VALUE(LEFT($A22, 1))),
    "",
    IFERROR(IF(_xlfn.XLOOKUP($A22, INDIRECT("'" &amp; Q$2 &amp; "'!$A:$A"), INDIRECT("'" &amp; Q$2 &amp; "'!$B:$B"), "")&lt;&gt;"", "✓", "✗"), "✗")
)</f>
        <v>✓</v>
      </c>
      <c r="R22" t="str" cm="1">
        <f t="array" aca="1" ref="R22" ca="1">IF(
    ISNUMBER(VALUE(LEFT($A22, 1))),
    "",
    IFERROR(IF(_xlfn.XLOOKUP($A22, INDIRECT("'" &amp; R$2 &amp; "'!$A:$A"), INDIRECT("'" &amp; R$2 &amp; "'!$B:$B"), "")&lt;&gt;"", "✓", "✗"), "✗")
)</f>
        <v>✓</v>
      </c>
      <c r="S22" t="str" cm="1">
        <f t="array" aca="1" ref="S22" ca="1">IF(
    ISNUMBER(VALUE(LEFT($A22, 1))),
    "",
    IFERROR(IF(_xlfn.XLOOKUP($A22, INDIRECT("'" &amp; S$2 &amp; "'!$A:$A"), INDIRECT("'" &amp; S$2 &amp; "'!$B:$B"), "")&lt;&gt;"", "✓", "✗"), "✗")
)</f>
        <v>✓</v>
      </c>
      <c r="T22" t="str" cm="1">
        <f t="array" aca="1" ref="T22" ca="1">IF(
    ISNUMBER(VALUE(LEFT($A22, 1))),
    "",
    IFERROR(IF(_xlfn.XLOOKUP($A22, INDIRECT("'" &amp; T$2 &amp; "'!$A:$A"), INDIRECT("'" &amp; T$2 &amp; "'!$B:$B"), "")&lt;&gt;"", "✓", "✗"), "✗")
)</f>
        <v>✓</v>
      </c>
      <c r="U22" t="str" cm="1">
        <f t="array" aca="1" ref="U22" ca="1">IF(
    ISNUMBER(VALUE(LEFT($A22, 1))),
    "",
    IFERROR(IF(_xlfn.XLOOKUP($A22, INDIRECT("'" &amp; U$2 &amp; "'!$A:$A"), INDIRECT("'" &amp; U$2 &amp; "'!$B:$B"), "")&lt;&gt;"", "✓", "✗"), "✗")
)</f>
        <v>✓</v>
      </c>
      <c r="V22" t="str" cm="1">
        <f t="array" aca="1" ref="V22" ca="1">IF(
    ISNUMBER(VALUE(LEFT($A22, 1))),
    "",
    IFERROR(IF(_xlfn.XLOOKUP($A22, INDIRECT("'" &amp; V$2 &amp; "'!$A:$A"), INDIRECT("'" &amp; V$2 &amp; "'!$B:$B"), "")&lt;&gt;"", "✓", "✗"), "✗")
)</f>
        <v>✓</v>
      </c>
      <c r="W22" t="str" cm="1">
        <f t="array" aca="1" ref="W22" ca="1">IF(
    ISNUMBER(VALUE(LEFT($A22, 1))),
    "",
    IFERROR(IF(_xlfn.XLOOKUP($A22, INDIRECT("'" &amp; W$2 &amp; "'!$A:$A"), INDIRECT("'" &amp; W$2 &amp; "'!$B:$B"), "")&lt;&gt;"", "✓", "✗"), "✗")
)</f>
        <v>✓</v>
      </c>
      <c r="X22" t="str" cm="1">
        <f t="array" aca="1" ref="X22" ca="1">IF(
    ISNUMBER(VALUE(LEFT($A22, 1))),
    "",
    IFERROR(IF(_xlfn.XLOOKUP($A22, INDIRECT("'" &amp; X$2 &amp; "'!$A:$A"), INDIRECT("'" &amp; X$2 &amp; "'!$B:$B"), "")&lt;&gt;"", "✓", "✗"), "✗")
)</f>
        <v>✓</v>
      </c>
      <c r="Y22" t="str" cm="1">
        <f t="array" aca="1" ref="Y22" ca="1">IF(
    ISNUMBER(VALUE(LEFT($A22, 1))),
    "",
    IFERROR(IF(_xlfn.XLOOKUP($A22, INDIRECT("'" &amp; Y$2 &amp; "'!$A:$A"), INDIRECT("'" &amp; Y$2 &amp; "'!$B:$B"), "")&lt;&gt;"", "✓", "✗"), "✗")
)</f>
        <v>✓</v>
      </c>
      <c r="Z22" t="str" cm="1">
        <f t="array" aca="1" ref="Z22" ca="1">IF(
    ISNUMBER(VALUE(LEFT($A22, 1))),
    "",
    IFERROR(IF(_xlfn.XLOOKUP($A22, INDIRECT("'" &amp; Z$2 &amp; "'!$A:$A"), INDIRECT("'" &amp; Z$2 &amp; "'!$B:$B"), "")&lt;&gt;"", "✓", "✗"), "✗")
)</f>
        <v>✓</v>
      </c>
      <c r="AA22" t="str" cm="1">
        <f t="array" aca="1" ref="AA22" ca="1">IF(
    ISNUMBER(VALUE(LEFT($A22, 1))),
    "",
    IFERROR(IF(_xlfn.XLOOKUP($A22, INDIRECT("'" &amp; AA$2 &amp; "'!$A:$A"), INDIRECT("'" &amp; AA$2 &amp; "'!$B:$B"), "")&lt;&gt;"", "✓", "✗"), "✗")
)</f>
        <v>✓</v>
      </c>
      <c r="AB22" t="str" cm="1">
        <f t="array" aca="1" ref="AB22" ca="1">IF(
    ISNUMBER(VALUE(LEFT($A22, 1))),
    "",
    IFERROR(IF(_xlfn.XLOOKUP($A22, INDIRECT("'" &amp; AB$2 &amp; "'!$A:$A"), INDIRECT("'" &amp; AB$2 &amp; "'!$B:$B"), "")&lt;&gt;"", "✓", "✗"), "✗")
)</f>
        <v>✓</v>
      </c>
      <c r="AC22" t="str" cm="1">
        <f t="array" aca="1" ref="AC22" ca="1">IF(
    ISNUMBER(VALUE(LEFT($A22, 1))),
    "",
    IFERROR(IF(_xlfn.XLOOKUP($A22, INDIRECT("'" &amp; AC$2 &amp; "'!$A:$A"), INDIRECT("'" &amp; AC$2 &amp; "'!$B:$B"), "")&lt;&gt;"", "✓", "✗"), "✗")
)</f>
        <v>✗</v>
      </c>
      <c r="AD22" t="str" cm="1">
        <f t="array" aca="1" ref="AD22" ca="1">IF(
    ISNUMBER(VALUE(LEFT($A22, 1))),
    "",
    IFERROR(IF(_xlfn.XLOOKUP($A22, INDIRECT("'" &amp; AD$2 &amp; "'!$A:$A"), INDIRECT("'" &amp; AD$2 &amp; "'!$B:$B"), "")&lt;&gt;"", "✓", "✗"), "✗")
)</f>
        <v>✗</v>
      </c>
      <c r="AE22" t="str" cm="1">
        <f t="array" aca="1" ref="AE22" ca="1">IF(
    ISNUMBER(VALUE(LEFT($A22, 1))),
    "",
    IFERROR(IF(_xlfn.XLOOKUP($A22, INDIRECT("'" &amp; AE$2 &amp; "'!$A:$A"), INDIRECT("'" &amp; AE$2 &amp; "'!$B:$B"), "")&lt;&gt;"", "✓", "✗"), "✗")
)</f>
        <v>✓</v>
      </c>
      <c r="AF22" t="str" cm="1">
        <f t="array" aca="1" ref="AF22" ca="1">IF(
    ISNUMBER(VALUE(LEFT($A22, 1))),
    "",
    IFERROR(IF(_xlfn.XLOOKUP($A22, INDIRECT("'" &amp; AF$2 &amp; "'!$A:$A"), INDIRECT("'" &amp; AF$2 &amp; "'!$B:$B"), "")&lt;&gt;"", "✓", "✗"), "✗")
)</f>
        <v>✓</v>
      </c>
      <c r="AG22" t="str" cm="1">
        <f t="array" aca="1" ref="AG22" ca="1">IF(
    ISNUMBER(VALUE(LEFT($A22, 1))),
    "",
    IFERROR(IF(_xlfn.XLOOKUP($A22, INDIRECT("'" &amp; AG$2 &amp; "'!$A:$A"), INDIRECT("'" &amp; AG$2 &amp; "'!$B:$B"), "")&lt;&gt;"", "✓", "✗"), "✗")
)</f>
        <v>✓</v>
      </c>
    </row>
    <row r="23" spans="1:33" x14ac:dyDescent="0.45">
      <c r="A23" t="str">
        <v>Student Flag</v>
      </c>
      <c r="B23" t="str" cm="1">
        <f t="array" aca="1" ref="B23" ca="1">IF(
    ISNUMBER(VALUE(LEFT($A23, 1))),
    "",
    IFERROR(IF(_xlfn.XLOOKUP($A23, INDIRECT("'" &amp; B$2 &amp; "'!$A:$A"), INDIRECT("'" &amp; B$2 &amp; "'!$B:$B"), "")&lt;&gt;"", "✓", "✗"), "✗")
)</f>
        <v>✓</v>
      </c>
      <c r="C23" t="str" cm="1">
        <f t="array" aca="1" ref="C23" ca="1">IF(
    ISNUMBER(VALUE(LEFT($A23, 1))),
    "",
    IFERROR(IF(_xlfn.XLOOKUP($A23, INDIRECT("'" &amp; C$2 &amp; "'!$A:$A"), INDIRECT("'" &amp; C$2 &amp; "'!$B:$B"), "")&lt;&gt;"", "✓", "✗"), "✗")
)</f>
        <v>✓</v>
      </c>
      <c r="D23" t="str" cm="1">
        <f t="array" aca="1" ref="D23" ca="1">IF(
    ISNUMBER(VALUE(LEFT($A23, 1))),
    "",
    IFERROR(IF(_xlfn.XLOOKUP($A23, INDIRECT("'" &amp; D$2 &amp; "'!$A:$A"), INDIRECT("'" &amp; D$2 &amp; "'!$B:$B"), "")&lt;&gt;"", "✓", "✗"), "✗")
)</f>
        <v>✓</v>
      </c>
      <c r="E23" t="str" cm="1">
        <f t="array" aca="1" ref="E23" ca="1">IF(
    ISNUMBER(VALUE(LEFT($A23, 1))),
    "",
    IFERROR(IF(_xlfn.XLOOKUP($A23, INDIRECT("'" &amp; E$2 &amp; "'!$A:$A"), INDIRECT("'" &amp; E$2 &amp; "'!$B:$B"), "")&lt;&gt;"", "✓", "✗"), "✗")
)</f>
        <v>✓</v>
      </c>
      <c r="F23" t="str" cm="1">
        <f t="array" aca="1" ref="F23" ca="1">IF(
    ISNUMBER(VALUE(LEFT($A23, 1))),
    "",
    IFERROR(IF(_xlfn.XLOOKUP($A23, INDIRECT("'" &amp; F$2 &amp; "'!$A:$A"), INDIRECT("'" &amp; F$2 &amp; "'!$B:$B"), "")&lt;&gt;"", "✓", "✗"), "✗")
)</f>
        <v>✓</v>
      </c>
      <c r="G23" t="str" cm="1">
        <f t="array" aca="1" ref="G23" ca="1">IF(
    ISNUMBER(VALUE(LEFT($A23, 1))),
    "",
    IFERROR(IF(_xlfn.XLOOKUP($A23, INDIRECT("'" &amp; G$2 &amp; "'!$A:$A"), INDIRECT("'" &amp; G$2 &amp; "'!$B:$B"), "")&lt;&gt;"", "✓", "✗"), "✗")
)</f>
        <v>✓</v>
      </c>
      <c r="H23" t="str" cm="1">
        <f t="array" aca="1" ref="H23" ca="1">IF(
    ISNUMBER(VALUE(LEFT($A23, 1))),
    "",
    IFERROR(IF(_xlfn.XLOOKUP($A23, INDIRECT("'" &amp; H$2 &amp; "'!$A:$A"), INDIRECT("'" &amp; H$2 &amp; "'!$B:$B"), "")&lt;&gt;"", "✓", "✗"), "✗")
)</f>
        <v>✓</v>
      </c>
      <c r="I23" t="str" cm="1">
        <f t="array" aca="1" ref="I23" ca="1">IF(
    ISNUMBER(VALUE(LEFT($A23, 1))),
    "",
    IFERROR(IF(_xlfn.XLOOKUP($A23, INDIRECT("'" &amp; I$2 &amp; "'!$A:$A"), INDIRECT("'" &amp; I$2 &amp; "'!$B:$B"), "")&lt;&gt;"", "✓", "✗"), "✗")
)</f>
        <v>✓</v>
      </c>
      <c r="J23" t="str" cm="1">
        <f t="array" aca="1" ref="J23" ca="1">IF(
    ISNUMBER(VALUE(LEFT($A23, 1))),
    "",
    IFERROR(IF(_xlfn.XLOOKUP($A23, INDIRECT("'" &amp; J$2 &amp; "'!$A:$A"), INDIRECT("'" &amp; J$2 &amp; "'!$B:$B"), "")&lt;&gt;"", "✓", "✗"), "✗")
)</f>
        <v>✓</v>
      </c>
      <c r="K23" t="str" cm="1">
        <f t="array" aca="1" ref="K23" ca="1">IF(
    ISNUMBER(VALUE(LEFT($A23, 1))),
    "",
    IFERROR(IF(_xlfn.XLOOKUP($A23, INDIRECT("'" &amp; K$2 &amp; "'!$A:$A"), INDIRECT("'" &amp; K$2 &amp; "'!$B:$B"), "")&lt;&gt;"", "✓", "✗"), "✗")
)</f>
        <v>✓</v>
      </c>
      <c r="L23" t="str" cm="1">
        <f t="array" aca="1" ref="L23" ca="1">IF(
    ISNUMBER(VALUE(LEFT($A23, 1))),
    "",
    IFERROR(IF(_xlfn.XLOOKUP($A23, INDIRECT("'" &amp; L$2 &amp; "'!$A:$A"), INDIRECT("'" &amp; L$2 &amp; "'!$B:$B"), "")&lt;&gt;"", "✓", "✗"), "✗")
)</f>
        <v>✓</v>
      </c>
      <c r="M23" t="str" cm="1">
        <f t="array" aca="1" ref="M23" ca="1">IF(
    ISNUMBER(VALUE(LEFT($A23, 1))),
    "",
    IFERROR(IF(_xlfn.XLOOKUP($A23, INDIRECT("'" &amp; M$2 &amp; "'!$A:$A"), INDIRECT("'" &amp; M$2 &amp; "'!$B:$B"), "")&lt;&gt;"", "✓", "✗"), "✗")
)</f>
        <v>✓</v>
      </c>
      <c r="N23" t="str" cm="1">
        <f t="array" aca="1" ref="N23" ca="1">IF(
    ISNUMBER(VALUE(LEFT($A23, 1))),
    "",
    IFERROR(IF(_xlfn.XLOOKUP($A23, INDIRECT("'" &amp; N$2 &amp; "'!$A:$A"), INDIRECT("'" &amp; N$2 &amp; "'!$B:$B"), "")&lt;&gt;"", "✓", "✗"), "✗")
)</f>
        <v>✓</v>
      </c>
      <c r="O23" t="str" cm="1">
        <f t="array" aca="1" ref="O23" ca="1">IF(
    ISNUMBER(VALUE(LEFT($A23, 1))),
    "",
    IFERROR(IF(_xlfn.XLOOKUP($A23, INDIRECT("'" &amp; O$2 &amp; "'!$A:$A"), INDIRECT("'" &amp; O$2 &amp; "'!$B:$B"), "")&lt;&gt;"", "✓", "✗"), "✗")
)</f>
        <v>✓</v>
      </c>
      <c r="P23" t="str" cm="1">
        <f t="array" aca="1" ref="P23" ca="1">IF(
    ISNUMBER(VALUE(LEFT($A23, 1))),
    "",
    IFERROR(IF(_xlfn.XLOOKUP($A23, INDIRECT("'" &amp; P$2 &amp; "'!$A:$A"), INDIRECT("'" &amp; P$2 &amp; "'!$B:$B"), "")&lt;&gt;"", "✓", "✗"), "✗")
)</f>
        <v>✓</v>
      </c>
      <c r="Q23" t="str" cm="1">
        <f t="array" aca="1" ref="Q23" ca="1">IF(
    ISNUMBER(VALUE(LEFT($A23, 1))),
    "",
    IFERROR(IF(_xlfn.XLOOKUP($A23, INDIRECT("'" &amp; Q$2 &amp; "'!$A:$A"), INDIRECT("'" &amp; Q$2 &amp; "'!$B:$B"), "")&lt;&gt;"", "✓", "✗"), "✗")
)</f>
        <v>✓</v>
      </c>
      <c r="R23" t="str" cm="1">
        <f t="array" aca="1" ref="R23" ca="1">IF(
    ISNUMBER(VALUE(LEFT($A23, 1))),
    "",
    IFERROR(IF(_xlfn.XLOOKUP($A23, INDIRECT("'" &amp; R$2 &amp; "'!$A:$A"), INDIRECT("'" &amp; R$2 &amp; "'!$B:$B"), "")&lt;&gt;"", "✓", "✗"), "✗")
)</f>
        <v>✓</v>
      </c>
      <c r="S23" t="str" cm="1">
        <f t="array" aca="1" ref="S23" ca="1">IF(
    ISNUMBER(VALUE(LEFT($A23, 1))),
    "",
    IFERROR(IF(_xlfn.XLOOKUP($A23, INDIRECT("'" &amp; S$2 &amp; "'!$A:$A"), INDIRECT("'" &amp; S$2 &amp; "'!$B:$B"), "")&lt;&gt;"", "✓", "✗"), "✗")
)</f>
        <v>✓</v>
      </c>
      <c r="T23" t="str" cm="1">
        <f t="array" aca="1" ref="T23" ca="1">IF(
    ISNUMBER(VALUE(LEFT($A23, 1))),
    "",
    IFERROR(IF(_xlfn.XLOOKUP($A23, INDIRECT("'" &amp; T$2 &amp; "'!$A:$A"), INDIRECT("'" &amp; T$2 &amp; "'!$B:$B"), "")&lt;&gt;"", "✓", "✗"), "✗")
)</f>
        <v>✓</v>
      </c>
      <c r="U23" t="str" cm="1">
        <f t="array" aca="1" ref="U23" ca="1">IF(
    ISNUMBER(VALUE(LEFT($A23, 1))),
    "",
    IFERROR(IF(_xlfn.XLOOKUP($A23, INDIRECT("'" &amp; U$2 &amp; "'!$A:$A"), INDIRECT("'" &amp; U$2 &amp; "'!$B:$B"), "")&lt;&gt;"", "✓", "✗"), "✗")
)</f>
        <v>✓</v>
      </c>
      <c r="V23" t="str" cm="1">
        <f t="array" aca="1" ref="V23" ca="1">IF(
    ISNUMBER(VALUE(LEFT($A23, 1))),
    "",
    IFERROR(IF(_xlfn.XLOOKUP($A23, INDIRECT("'" &amp; V$2 &amp; "'!$A:$A"), INDIRECT("'" &amp; V$2 &amp; "'!$B:$B"), "")&lt;&gt;"", "✓", "✗"), "✗")
)</f>
        <v>✓</v>
      </c>
      <c r="W23" t="str" cm="1">
        <f t="array" aca="1" ref="W23" ca="1">IF(
    ISNUMBER(VALUE(LEFT($A23, 1))),
    "",
    IFERROR(IF(_xlfn.XLOOKUP($A23, INDIRECT("'" &amp; W$2 &amp; "'!$A:$A"), INDIRECT("'" &amp; W$2 &amp; "'!$B:$B"), "")&lt;&gt;"", "✓", "✗"), "✗")
)</f>
        <v>✓</v>
      </c>
      <c r="X23" t="str" cm="1">
        <f t="array" aca="1" ref="X23" ca="1">IF(
    ISNUMBER(VALUE(LEFT($A23, 1))),
    "",
    IFERROR(IF(_xlfn.XLOOKUP($A23, INDIRECT("'" &amp; X$2 &amp; "'!$A:$A"), INDIRECT("'" &amp; X$2 &amp; "'!$B:$B"), "")&lt;&gt;"", "✓", "✗"), "✗")
)</f>
        <v>✓</v>
      </c>
      <c r="Y23" t="str" cm="1">
        <f t="array" aca="1" ref="Y23" ca="1">IF(
    ISNUMBER(VALUE(LEFT($A23, 1))),
    "",
    IFERROR(IF(_xlfn.XLOOKUP($A23, INDIRECT("'" &amp; Y$2 &amp; "'!$A:$A"), INDIRECT("'" &amp; Y$2 &amp; "'!$B:$B"), "")&lt;&gt;"", "✓", "✗"), "✗")
)</f>
        <v>✓</v>
      </c>
      <c r="Z23" t="str" cm="1">
        <f t="array" aca="1" ref="Z23" ca="1">IF(
    ISNUMBER(VALUE(LEFT($A23, 1))),
    "",
    IFERROR(IF(_xlfn.XLOOKUP($A23, INDIRECT("'" &amp; Z$2 &amp; "'!$A:$A"), INDIRECT("'" &amp; Z$2 &amp; "'!$B:$B"), "")&lt;&gt;"", "✓", "✗"), "✗")
)</f>
        <v>✓</v>
      </c>
      <c r="AA23" t="str" cm="1">
        <f t="array" aca="1" ref="AA23" ca="1">IF(
    ISNUMBER(VALUE(LEFT($A23, 1))),
    "",
    IFERROR(IF(_xlfn.XLOOKUP($A23, INDIRECT("'" &amp; AA$2 &amp; "'!$A:$A"), INDIRECT("'" &amp; AA$2 &amp; "'!$B:$B"), "")&lt;&gt;"", "✓", "✗"), "✗")
)</f>
        <v>✓</v>
      </c>
      <c r="AB23" t="str" cm="1">
        <f t="array" aca="1" ref="AB23" ca="1">IF(
    ISNUMBER(VALUE(LEFT($A23, 1))),
    "",
    IFERROR(IF(_xlfn.XLOOKUP($A23, INDIRECT("'" &amp; AB$2 &amp; "'!$A:$A"), INDIRECT("'" &amp; AB$2 &amp; "'!$B:$B"), "")&lt;&gt;"", "✓", "✗"), "✗")
)</f>
        <v>✓</v>
      </c>
      <c r="AC23" t="str" cm="1">
        <f t="array" aca="1" ref="AC23" ca="1">IF(
    ISNUMBER(VALUE(LEFT($A23, 1))),
    "",
    IFERROR(IF(_xlfn.XLOOKUP($A23, INDIRECT("'" &amp; AC$2 &amp; "'!$A:$A"), INDIRECT("'" &amp; AC$2 &amp; "'!$B:$B"), "")&lt;&gt;"", "✓", "✗"), "✗")
)</f>
        <v>✗</v>
      </c>
      <c r="AD23" t="str" cm="1">
        <f t="array" aca="1" ref="AD23" ca="1">IF(
    ISNUMBER(VALUE(LEFT($A23, 1))),
    "",
    IFERROR(IF(_xlfn.XLOOKUP($A23, INDIRECT("'" &amp; AD$2 &amp; "'!$A:$A"), INDIRECT("'" &amp; AD$2 &amp; "'!$B:$B"), "")&lt;&gt;"", "✓", "✗"), "✗")
)</f>
        <v>✗</v>
      </c>
      <c r="AE23" t="str" cm="1">
        <f t="array" aca="1" ref="AE23" ca="1">IF(
    ISNUMBER(VALUE(LEFT($A23, 1))),
    "",
    IFERROR(IF(_xlfn.XLOOKUP($A23, INDIRECT("'" &amp; AE$2 &amp; "'!$A:$A"), INDIRECT("'" &amp; AE$2 &amp; "'!$B:$B"), "")&lt;&gt;"", "✓", "✗"), "✗")
)</f>
        <v>✓</v>
      </c>
      <c r="AF23" t="str" cm="1">
        <f t="array" aca="1" ref="AF23" ca="1">IF(
    ISNUMBER(VALUE(LEFT($A23, 1))),
    "",
    IFERROR(IF(_xlfn.XLOOKUP($A23, INDIRECT("'" &amp; AF$2 &amp; "'!$A:$A"), INDIRECT("'" &amp; AF$2 &amp; "'!$B:$B"), "")&lt;&gt;"", "✓", "✗"), "✗")
)</f>
        <v>✓</v>
      </c>
      <c r="AG23" t="str" cm="1">
        <f t="array" aca="1" ref="AG23" ca="1">IF(
    ISNUMBER(VALUE(LEFT($A23, 1))),
    "",
    IFERROR(IF(_xlfn.XLOOKUP($A23, INDIRECT("'" &amp; AG$2 &amp; "'!$A:$A"), INDIRECT("'" &amp; AG$2 &amp; "'!$B:$B"), "")&lt;&gt;"", "✓", "✗"), "✗")
)</f>
        <v>✓</v>
      </c>
    </row>
    <row r="24" spans="1:33" x14ac:dyDescent="0.45">
      <c r="A24" t="str">
        <v>Decision Maker Type</v>
      </c>
      <c r="B24" t="str" cm="1">
        <f t="array" aca="1" ref="B24" ca="1">IF(
    ISNUMBER(VALUE(LEFT($A24, 1))),
    "",
    IFERROR(IF(_xlfn.XLOOKUP($A24, INDIRECT("'" &amp; B$2 &amp; "'!$A:$A"), INDIRECT("'" &amp; B$2 &amp; "'!$B:$B"), "")&lt;&gt;"", "✓", "✗"), "✗")
)</f>
        <v>✓</v>
      </c>
      <c r="C24" t="str" cm="1">
        <f t="array" aca="1" ref="C24" ca="1">IF(
    ISNUMBER(VALUE(LEFT($A24, 1))),
    "",
    IFERROR(IF(_xlfn.XLOOKUP($A24, INDIRECT("'" &amp; C$2 &amp; "'!$A:$A"), INDIRECT("'" &amp; C$2 &amp; "'!$B:$B"), "")&lt;&gt;"", "✓", "✗"), "✗")
)</f>
        <v>✓</v>
      </c>
      <c r="D24" t="str" cm="1">
        <f t="array" aca="1" ref="D24" ca="1">IF(
    ISNUMBER(VALUE(LEFT($A24, 1))),
    "",
    IFERROR(IF(_xlfn.XLOOKUP($A24, INDIRECT("'" &amp; D$2 &amp; "'!$A:$A"), INDIRECT("'" &amp; D$2 &amp; "'!$B:$B"), "")&lt;&gt;"", "✓", "✗"), "✗")
)</f>
        <v>✓</v>
      </c>
      <c r="E24" t="str" cm="1">
        <f t="array" aca="1" ref="E24" ca="1">IF(
    ISNUMBER(VALUE(LEFT($A24, 1))),
    "",
    IFERROR(IF(_xlfn.XLOOKUP($A24, INDIRECT("'" &amp; E$2 &amp; "'!$A:$A"), INDIRECT("'" &amp; E$2 &amp; "'!$B:$B"), "")&lt;&gt;"", "✓", "✗"), "✗")
)</f>
        <v>✓</v>
      </c>
      <c r="F24" t="str" cm="1">
        <f t="array" aca="1" ref="F24" ca="1">IF(
    ISNUMBER(VALUE(LEFT($A24, 1))),
    "",
    IFERROR(IF(_xlfn.XLOOKUP($A24, INDIRECT("'" &amp; F$2 &amp; "'!$A:$A"), INDIRECT("'" &amp; F$2 &amp; "'!$B:$B"), "")&lt;&gt;"", "✓", "✗"), "✗")
)</f>
        <v>✓</v>
      </c>
      <c r="G24" t="str" cm="1">
        <f t="array" aca="1" ref="G24" ca="1">IF(
    ISNUMBER(VALUE(LEFT($A24, 1))),
    "",
    IFERROR(IF(_xlfn.XLOOKUP($A24, INDIRECT("'" &amp; G$2 &amp; "'!$A:$A"), INDIRECT("'" &amp; G$2 &amp; "'!$B:$B"), "")&lt;&gt;"", "✓", "✗"), "✗")
)</f>
        <v>✓</v>
      </c>
      <c r="H24" t="str" cm="1">
        <f t="array" aca="1" ref="H24" ca="1">IF(
    ISNUMBER(VALUE(LEFT($A24, 1))),
    "",
    IFERROR(IF(_xlfn.XLOOKUP($A24, INDIRECT("'" &amp; H$2 &amp; "'!$A:$A"), INDIRECT("'" &amp; H$2 &amp; "'!$B:$B"), "")&lt;&gt;"", "✓", "✗"), "✗")
)</f>
        <v>✓</v>
      </c>
      <c r="I24" t="str" cm="1">
        <f t="array" aca="1" ref="I24" ca="1">IF(
    ISNUMBER(VALUE(LEFT($A24, 1))),
    "",
    IFERROR(IF(_xlfn.XLOOKUP($A24, INDIRECT("'" &amp; I$2 &amp; "'!$A:$A"), INDIRECT("'" &amp; I$2 &amp; "'!$B:$B"), "")&lt;&gt;"", "✓", "✗"), "✗")
)</f>
        <v>✓</v>
      </c>
      <c r="J24" t="str" cm="1">
        <f t="array" aca="1" ref="J24" ca="1">IF(
    ISNUMBER(VALUE(LEFT($A24, 1))),
    "",
    IFERROR(IF(_xlfn.XLOOKUP($A24, INDIRECT("'" &amp; J$2 &amp; "'!$A:$A"), INDIRECT("'" &amp; J$2 &amp; "'!$B:$B"), "")&lt;&gt;"", "✓", "✗"), "✗")
)</f>
        <v>✓</v>
      </c>
      <c r="K24" t="str" cm="1">
        <f t="array" aca="1" ref="K24" ca="1">IF(
    ISNUMBER(VALUE(LEFT($A24, 1))),
    "",
    IFERROR(IF(_xlfn.XLOOKUP($A24, INDIRECT("'" &amp; K$2 &amp; "'!$A:$A"), INDIRECT("'" &amp; K$2 &amp; "'!$B:$B"), "")&lt;&gt;"", "✓", "✗"), "✗")
)</f>
        <v>✓</v>
      </c>
      <c r="L24" t="str" cm="1">
        <f t="array" aca="1" ref="L24" ca="1">IF(
    ISNUMBER(VALUE(LEFT($A24, 1))),
    "",
    IFERROR(IF(_xlfn.XLOOKUP($A24, INDIRECT("'" &amp; L$2 &amp; "'!$A:$A"), INDIRECT("'" &amp; L$2 &amp; "'!$B:$B"), "")&lt;&gt;"", "✓", "✗"), "✗")
)</f>
        <v>✓</v>
      </c>
      <c r="M24" t="str" cm="1">
        <f t="array" aca="1" ref="M24" ca="1">IF(
    ISNUMBER(VALUE(LEFT($A24, 1))),
    "",
    IFERROR(IF(_xlfn.XLOOKUP($A24, INDIRECT("'" &amp; M$2 &amp; "'!$A:$A"), INDIRECT("'" &amp; M$2 &amp; "'!$B:$B"), "")&lt;&gt;"", "✓", "✗"), "✗")
)</f>
        <v>✓</v>
      </c>
      <c r="N24" t="str" cm="1">
        <f t="array" aca="1" ref="N24" ca="1">IF(
    ISNUMBER(VALUE(LEFT($A24, 1))),
    "",
    IFERROR(IF(_xlfn.XLOOKUP($A24, INDIRECT("'" &amp; N$2 &amp; "'!$A:$A"), INDIRECT("'" &amp; N$2 &amp; "'!$B:$B"), "")&lt;&gt;"", "✓", "✗"), "✗")
)</f>
        <v>✓</v>
      </c>
      <c r="O24" t="str" cm="1">
        <f t="array" aca="1" ref="O24" ca="1">IF(
    ISNUMBER(VALUE(LEFT($A24, 1))),
    "",
    IFERROR(IF(_xlfn.XLOOKUP($A24, INDIRECT("'" &amp; O$2 &amp; "'!$A:$A"), INDIRECT("'" &amp; O$2 &amp; "'!$B:$B"), "")&lt;&gt;"", "✓", "✗"), "✗")
)</f>
        <v>✓</v>
      </c>
      <c r="P24" t="str" cm="1">
        <f t="array" aca="1" ref="P24" ca="1">IF(
    ISNUMBER(VALUE(LEFT($A24, 1))),
    "",
    IFERROR(IF(_xlfn.XLOOKUP($A24, INDIRECT("'" &amp; P$2 &amp; "'!$A:$A"), INDIRECT("'" &amp; P$2 &amp; "'!$B:$B"), "")&lt;&gt;"", "✓", "✗"), "✗")
)</f>
        <v>✓</v>
      </c>
      <c r="Q24" t="str" cm="1">
        <f t="array" aca="1" ref="Q24" ca="1">IF(
    ISNUMBER(VALUE(LEFT($A24, 1))),
    "",
    IFERROR(IF(_xlfn.XLOOKUP($A24, INDIRECT("'" &amp; Q$2 &amp; "'!$A:$A"), INDIRECT("'" &amp; Q$2 &amp; "'!$B:$B"), "")&lt;&gt;"", "✓", "✗"), "✗")
)</f>
        <v>✓</v>
      </c>
      <c r="R24" t="str" cm="1">
        <f t="array" aca="1" ref="R24" ca="1">IF(
    ISNUMBER(VALUE(LEFT($A24, 1))),
    "",
    IFERROR(IF(_xlfn.XLOOKUP($A24, INDIRECT("'" &amp; R$2 &amp; "'!$A:$A"), INDIRECT("'" &amp; R$2 &amp; "'!$B:$B"), "")&lt;&gt;"", "✓", "✗"), "✗")
)</f>
        <v>✓</v>
      </c>
      <c r="S24" t="str" cm="1">
        <f t="array" aca="1" ref="S24" ca="1">IF(
    ISNUMBER(VALUE(LEFT($A24, 1))),
    "",
    IFERROR(IF(_xlfn.XLOOKUP($A24, INDIRECT("'" &amp; S$2 &amp; "'!$A:$A"), INDIRECT("'" &amp; S$2 &amp; "'!$B:$B"), "")&lt;&gt;"", "✓", "✗"), "✗")
)</f>
        <v>✓</v>
      </c>
      <c r="T24" t="str" cm="1">
        <f t="array" aca="1" ref="T24" ca="1">IF(
    ISNUMBER(VALUE(LEFT($A24, 1))),
    "",
    IFERROR(IF(_xlfn.XLOOKUP($A24, INDIRECT("'" &amp; T$2 &amp; "'!$A:$A"), INDIRECT("'" &amp; T$2 &amp; "'!$B:$B"), "")&lt;&gt;"", "✓", "✗"), "✗")
)</f>
        <v>✓</v>
      </c>
      <c r="U24" t="str" cm="1">
        <f t="array" aca="1" ref="U24" ca="1">IF(
    ISNUMBER(VALUE(LEFT($A24, 1))),
    "",
    IFERROR(IF(_xlfn.XLOOKUP($A24, INDIRECT("'" &amp; U$2 &amp; "'!$A:$A"), INDIRECT("'" &amp; U$2 &amp; "'!$B:$B"), "")&lt;&gt;"", "✓", "✗"), "✗")
)</f>
        <v>✓</v>
      </c>
      <c r="V24" t="str" cm="1">
        <f t="array" aca="1" ref="V24" ca="1">IF(
    ISNUMBER(VALUE(LEFT($A24, 1))),
    "",
    IFERROR(IF(_xlfn.XLOOKUP($A24, INDIRECT("'" &amp; V$2 &amp; "'!$A:$A"), INDIRECT("'" &amp; V$2 &amp; "'!$B:$B"), "")&lt;&gt;"", "✓", "✗"), "✗")
)</f>
        <v>✓</v>
      </c>
      <c r="W24" t="str" cm="1">
        <f t="array" aca="1" ref="W24" ca="1">IF(
    ISNUMBER(VALUE(LEFT($A24, 1))),
    "",
    IFERROR(IF(_xlfn.XLOOKUP($A24, INDIRECT("'" &amp; W$2 &amp; "'!$A:$A"), INDIRECT("'" &amp; W$2 &amp; "'!$B:$B"), "")&lt;&gt;"", "✓", "✗"), "✗")
)</f>
        <v>✓</v>
      </c>
      <c r="X24" t="str" cm="1">
        <f t="array" aca="1" ref="X24" ca="1">IF(
    ISNUMBER(VALUE(LEFT($A24, 1))),
    "",
    IFERROR(IF(_xlfn.XLOOKUP($A24, INDIRECT("'" &amp; X$2 &amp; "'!$A:$A"), INDIRECT("'" &amp; X$2 &amp; "'!$B:$B"), "")&lt;&gt;"", "✓", "✗"), "✗")
)</f>
        <v>✓</v>
      </c>
      <c r="Y24" t="str" cm="1">
        <f t="array" aca="1" ref="Y24" ca="1">IF(
    ISNUMBER(VALUE(LEFT($A24, 1))),
    "",
    IFERROR(IF(_xlfn.XLOOKUP($A24, INDIRECT("'" &amp; Y$2 &amp; "'!$A:$A"), INDIRECT("'" &amp; Y$2 &amp; "'!$B:$B"), "")&lt;&gt;"", "✓", "✗"), "✗")
)</f>
        <v>✓</v>
      </c>
      <c r="Z24" t="str" cm="1">
        <f t="array" aca="1" ref="Z24" ca="1">IF(
    ISNUMBER(VALUE(LEFT($A24, 1))),
    "",
    IFERROR(IF(_xlfn.XLOOKUP($A24, INDIRECT("'" &amp; Z$2 &amp; "'!$A:$A"), INDIRECT("'" &amp; Z$2 &amp; "'!$B:$B"), "")&lt;&gt;"", "✓", "✗"), "✗")
)</f>
        <v>✓</v>
      </c>
      <c r="AA24" t="str" cm="1">
        <f t="array" aca="1" ref="AA24" ca="1">IF(
    ISNUMBER(VALUE(LEFT($A24, 1))),
    "",
    IFERROR(IF(_xlfn.XLOOKUP($A24, INDIRECT("'" &amp; AA$2 &amp; "'!$A:$A"), INDIRECT("'" &amp; AA$2 &amp; "'!$B:$B"), "")&lt;&gt;"", "✓", "✗"), "✗")
)</f>
        <v>✓</v>
      </c>
      <c r="AB24" t="str" cm="1">
        <f t="array" aca="1" ref="AB24" ca="1">IF(
    ISNUMBER(VALUE(LEFT($A24, 1))),
    "",
    IFERROR(IF(_xlfn.XLOOKUP($A24, INDIRECT("'" &amp; AB$2 &amp; "'!$A:$A"), INDIRECT("'" &amp; AB$2 &amp; "'!$B:$B"), "")&lt;&gt;"", "✓", "✗"), "✗")
)</f>
        <v>✓</v>
      </c>
      <c r="AC24" t="str" cm="1">
        <f t="array" aca="1" ref="AC24" ca="1">IF(
    ISNUMBER(VALUE(LEFT($A24, 1))),
    "",
    IFERROR(IF(_xlfn.XLOOKUP($A24, INDIRECT("'" &amp; AC$2 &amp; "'!$A:$A"), INDIRECT("'" &amp; AC$2 &amp; "'!$B:$B"), "")&lt;&gt;"", "✓", "✗"), "✗")
)</f>
        <v>✗</v>
      </c>
      <c r="AD24" t="str" cm="1">
        <f t="array" aca="1" ref="AD24" ca="1">IF(
    ISNUMBER(VALUE(LEFT($A24, 1))),
    "",
    IFERROR(IF(_xlfn.XLOOKUP($A24, INDIRECT("'" &amp; AD$2 &amp; "'!$A:$A"), INDIRECT("'" &amp; AD$2 &amp; "'!$B:$B"), "")&lt;&gt;"", "✓", "✗"), "✗")
)</f>
        <v>✗</v>
      </c>
      <c r="AE24" t="str" cm="1">
        <f t="array" aca="1" ref="AE24" ca="1">IF(
    ISNUMBER(VALUE(LEFT($A24, 1))),
    "",
    IFERROR(IF(_xlfn.XLOOKUP($A24, INDIRECT("'" &amp; AE$2 &amp; "'!$A:$A"), INDIRECT("'" &amp; AE$2 &amp; "'!$B:$B"), "")&lt;&gt;"", "✓", "✗"), "✗")
)</f>
        <v>✓</v>
      </c>
      <c r="AF24" t="str" cm="1">
        <f t="array" aca="1" ref="AF24" ca="1">IF(
    ISNUMBER(VALUE(LEFT($A24, 1))),
    "",
    IFERROR(IF(_xlfn.XLOOKUP($A24, INDIRECT("'" &amp; AF$2 &amp; "'!$A:$A"), INDIRECT("'" &amp; AF$2 &amp; "'!$B:$B"), "")&lt;&gt;"", "✓", "✗"), "✗")
)</f>
        <v>✓</v>
      </c>
      <c r="AG24" t="str" cm="1">
        <f t="array" aca="1" ref="AG24" ca="1">IF(
    ISNUMBER(VALUE(LEFT($A24, 1))),
    "",
    IFERROR(IF(_xlfn.XLOOKUP($A24, INDIRECT("'" &amp; AG$2 &amp; "'!$A:$A"), INDIRECT("'" &amp; AG$2 &amp; "'!$B:$B"), "")&lt;&gt;"", "✓", "✗"), "✗")
)</f>
        <v>✓</v>
      </c>
    </row>
    <row r="25" spans="1:33" x14ac:dyDescent="0.45">
      <c r="A25" t="str">
        <v>Company Name</v>
      </c>
      <c r="B25" t="str" cm="1">
        <f t="array" aca="1" ref="B25" ca="1">IF(
    ISNUMBER(VALUE(LEFT($A25, 1))),
    "",
    IFERROR(IF(_xlfn.XLOOKUP($A25, INDIRECT("'" &amp; B$2 &amp; "'!$A:$A"), INDIRECT("'" &amp; B$2 &amp; "'!$B:$B"), "")&lt;&gt;"", "✓", "✗"), "✗")
)</f>
        <v>✓</v>
      </c>
      <c r="C25" t="str" cm="1">
        <f t="array" aca="1" ref="C25" ca="1">IF(
    ISNUMBER(VALUE(LEFT($A25, 1))),
    "",
    IFERROR(IF(_xlfn.XLOOKUP($A25, INDIRECT("'" &amp; C$2 &amp; "'!$A:$A"), INDIRECT("'" &amp; C$2 &amp; "'!$B:$B"), "")&lt;&gt;"", "✓", "✗"), "✗")
)</f>
        <v>✓</v>
      </c>
      <c r="D25" t="str" cm="1">
        <f t="array" aca="1" ref="D25" ca="1">IF(
    ISNUMBER(VALUE(LEFT($A25, 1))),
    "",
    IFERROR(IF(_xlfn.XLOOKUP($A25, INDIRECT("'" &amp; D$2 &amp; "'!$A:$A"), INDIRECT("'" &amp; D$2 &amp; "'!$B:$B"), "")&lt;&gt;"", "✓", "✗"), "✗")
)</f>
        <v>✓</v>
      </c>
      <c r="E25" t="str" cm="1">
        <f t="array" aca="1" ref="E25" ca="1">IF(
    ISNUMBER(VALUE(LEFT($A25, 1))),
    "",
    IFERROR(IF(_xlfn.XLOOKUP($A25, INDIRECT("'" &amp; E$2 &amp; "'!$A:$A"), INDIRECT("'" &amp; E$2 &amp; "'!$B:$B"), "")&lt;&gt;"", "✓", "✗"), "✗")
)</f>
        <v>✓</v>
      </c>
      <c r="F25" t="str" cm="1">
        <f t="array" aca="1" ref="F25" ca="1">IF(
    ISNUMBER(VALUE(LEFT($A25, 1))),
    "",
    IFERROR(IF(_xlfn.XLOOKUP($A25, INDIRECT("'" &amp; F$2 &amp; "'!$A:$A"), INDIRECT("'" &amp; F$2 &amp; "'!$B:$B"), "")&lt;&gt;"", "✓", "✗"), "✗")
)</f>
        <v>✓</v>
      </c>
      <c r="G25" t="str" cm="1">
        <f t="array" aca="1" ref="G25" ca="1">IF(
    ISNUMBER(VALUE(LEFT($A25, 1))),
    "",
    IFERROR(IF(_xlfn.XLOOKUP($A25, INDIRECT("'" &amp; G$2 &amp; "'!$A:$A"), INDIRECT("'" &amp; G$2 &amp; "'!$B:$B"), "")&lt;&gt;"", "✓", "✗"), "✗")
)</f>
        <v>✓</v>
      </c>
      <c r="H25" t="str" cm="1">
        <f t="array" aca="1" ref="H25" ca="1">IF(
    ISNUMBER(VALUE(LEFT($A25, 1))),
    "",
    IFERROR(IF(_xlfn.XLOOKUP($A25, INDIRECT("'" &amp; H$2 &amp; "'!$A:$A"), INDIRECT("'" &amp; H$2 &amp; "'!$B:$B"), "")&lt;&gt;"", "✓", "✗"), "✗")
)</f>
        <v>✓</v>
      </c>
      <c r="I25" t="str" cm="1">
        <f t="array" aca="1" ref="I25" ca="1">IF(
    ISNUMBER(VALUE(LEFT($A25, 1))),
    "",
    IFERROR(IF(_xlfn.XLOOKUP($A25, INDIRECT("'" &amp; I$2 &amp; "'!$A:$A"), INDIRECT("'" &amp; I$2 &amp; "'!$B:$B"), "")&lt;&gt;"", "✓", "✗"), "✗")
)</f>
        <v>✓</v>
      </c>
      <c r="J25" t="str" cm="1">
        <f t="array" aca="1" ref="J25" ca="1">IF(
    ISNUMBER(VALUE(LEFT($A25, 1))),
    "",
    IFERROR(IF(_xlfn.XLOOKUP($A25, INDIRECT("'" &amp; J$2 &amp; "'!$A:$A"), INDIRECT("'" &amp; J$2 &amp; "'!$B:$B"), "")&lt;&gt;"", "✓", "✗"), "✗")
)</f>
        <v>✓</v>
      </c>
      <c r="K25" t="str" cm="1">
        <f t="array" aca="1" ref="K25" ca="1">IF(
    ISNUMBER(VALUE(LEFT($A25, 1))),
    "",
    IFERROR(IF(_xlfn.XLOOKUP($A25, INDIRECT("'" &amp; K$2 &amp; "'!$A:$A"), INDIRECT("'" &amp; K$2 &amp; "'!$B:$B"), "")&lt;&gt;"", "✓", "✗"), "✗")
)</f>
        <v>✓</v>
      </c>
      <c r="L25" t="str" cm="1">
        <f t="array" aca="1" ref="L25" ca="1">IF(
    ISNUMBER(VALUE(LEFT($A25, 1))),
    "",
    IFERROR(IF(_xlfn.XLOOKUP($A25, INDIRECT("'" &amp; L$2 &amp; "'!$A:$A"), INDIRECT("'" &amp; L$2 &amp; "'!$B:$B"), "")&lt;&gt;"", "✓", "✗"), "✗")
)</f>
        <v>✓</v>
      </c>
      <c r="M25" t="str" cm="1">
        <f t="array" aca="1" ref="M25" ca="1">IF(
    ISNUMBER(VALUE(LEFT($A25, 1))),
    "",
    IFERROR(IF(_xlfn.XLOOKUP($A25, INDIRECT("'" &amp; M$2 &amp; "'!$A:$A"), INDIRECT("'" &amp; M$2 &amp; "'!$B:$B"), "")&lt;&gt;"", "✓", "✗"), "✗")
)</f>
        <v>✓</v>
      </c>
      <c r="N25" t="str" cm="1">
        <f t="array" aca="1" ref="N25" ca="1">IF(
    ISNUMBER(VALUE(LEFT($A25, 1))),
    "",
    IFERROR(IF(_xlfn.XLOOKUP($A25, INDIRECT("'" &amp; N$2 &amp; "'!$A:$A"), INDIRECT("'" &amp; N$2 &amp; "'!$B:$B"), "")&lt;&gt;"", "✓", "✗"), "✗")
)</f>
        <v>✓</v>
      </c>
      <c r="O25" t="str" cm="1">
        <f t="array" aca="1" ref="O25" ca="1">IF(
    ISNUMBER(VALUE(LEFT($A25, 1))),
    "",
    IFERROR(IF(_xlfn.XLOOKUP($A25, INDIRECT("'" &amp; O$2 &amp; "'!$A:$A"), INDIRECT("'" &amp; O$2 &amp; "'!$B:$B"), "")&lt;&gt;"", "✓", "✗"), "✗")
)</f>
        <v>✓</v>
      </c>
      <c r="P25" t="str" cm="1">
        <f t="array" aca="1" ref="P25" ca="1">IF(
    ISNUMBER(VALUE(LEFT($A25, 1))),
    "",
    IFERROR(IF(_xlfn.XLOOKUP($A25, INDIRECT("'" &amp; P$2 &amp; "'!$A:$A"), INDIRECT("'" &amp; P$2 &amp; "'!$B:$B"), "")&lt;&gt;"", "✓", "✗"), "✗")
)</f>
        <v>✓</v>
      </c>
      <c r="Q25" t="str" cm="1">
        <f t="array" aca="1" ref="Q25" ca="1">IF(
    ISNUMBER(VALUE(LEFT($A25, 1))),
    "",
    IFERROR(IF(_xlfn.XLOOKUP($A25, INDIRECT("'" &amp; Q$2 &amp; "'!$A:$A"), INDIRECT("'" &amp; Q$2 &amp; "'!$B:$B"), "")&lt;&gt;"", "✓", "✗"), "✗")
)</f>
        <v>✓</v>
      </c>
      <c r="R25" t="str" cm="1">
        <f t="array" aca="1" ref="R25" ca="1">IF(
    ISNUMBER(VALUE(LEFT($A25, 1))),
    "",
    IFERROR(IF(_xlfn.XLOOKUP($A25, INDIRECT("'" &amp; R$2 &amp; "'!$A:$A"), INDIRECT("'" &amp; R$2 &amp; "'!$B:$B"), "")&lt;&gt;"", "✓", "✗"), "✗")
)</f>
        <v>✓</v>
      </c>
      <c r="S25" t="str" cm="1">
        <f t="array" aca="1" ref="S25" ca="1">IF(
    ISNUMBER(VALUE(LEFT($A25, 1))),
    "",
    IFERROR(IF(_xlfn.XLOOKUP($A25, INDIRECT("'" &amp; S$2 &amp; "'!$A:$A"), INDIRECT("'" &amp; S$2 &amp; "'!$B:$B"), "")&lt;&gt;"", "✓", "✗"), "✗")
)</f>
        <v>✓</v>
      </c>
      <c r="T25" t="str" cm="1">
        <f t="array" aca="1" ref="T25" ca="1">IF(
    ISNUMBER(VALUE(LEFT($A25, 1))),
    "",
    IFERROR(IF(_xlfn.XLOOKUP($A25, INDIRECT("'" &amp; T$2 &amp; "'!$A:$A"), INDIRECT("'" &amp; T$2 &amp; "'!$B:$B"), "")&lt;&gt;"", "✓", "✗"), "✗")
)</f>
        <v>✓</v>
      </c>
      <c r="U25" t="str" cm="1">
        <f t="array" aca="1" ref="U25" ca="1">IF(
    ISNUMBER(VALUE(LEFT($A25, 1))),
    "",
    IFERROR(IF(_xlfn.XLOOKUP($A25, INDIRECT("'" &amp; U$2 &amp; "'!$A:$A"), INDIRECT("'" &amp; U$2 &amp; "'!$B:$B"), "")&lt;&gt;"", "✓", "✗"), "✗")
)</f>
        <v>✓</v>
      </c>
      <c r="V25" t="str" cm="1">
        <f t="array" aca="1" ref="V25" ca="1">IF(
    ISNUMBER(VALUE(LEFT($A25, 1))),
    "",
    IFERROR(IF(_xlfn.XLOOKUP($A25, INDIRECT("'" &amp; V$2 &amp; "'!$A:$A"), INDIRECT("'" &amp; V$2 &amp; "'!$B:$B"), "")&lt;&gt;"", "✓", "✗"), "✗")
)</f>
        <v>✓</v>
      </c>
      <c r="W25" t="str" cm="1">
        <f t="array" aca="1" ref="W25" ca="1">IF(
    ISNUMBER(VALUE(LEFT($A25, 1))),
    "",
    IFERROR(IF(_xlfn.XLOOKUP($A25, INDIRECT("'" &amp; W$2 &amp; "'!$A:$A"), INDIRECT("'" &amp; W$2 &amp; "'!$B:$B"), "")&lt;&gt;"", "✓", "✗"), "✗")
)</f>
        <v>✓</v>
      </c>
      <c r="X25" t="str" cm="1">
        <f t="array" aca="1" ref="X25" ca="1">IF(
    ISNUMBER(VALUE(LEFT($A25, 1))),
    "",
    IFERROR(IF(_xlfn.XLOOKUP($A25, INDIRECT("'" &amp; X$2 &amp; "'!$A:$A"), INDIRECT("'" &amp; X$2 &amp; "'!$B:$B"), "")&lt;&gt;"", "✓", "✗"), "✗")
)</f>
        <v>✓</v>
      </c>
      <c r="Y25" t="str" cm="1">
        <f t="array" aca="1" ref="Y25" ca="1">IF(
    ISNUMBER(VALUE(LEFT($A25, 1))),
    "",
    IFERROR(IF(_xlfn.XLOOKUP($A25, INDIRECT("'" &amp; Y$2 &amp; "'!$A:$A"), INDIRECT("'" &amp; Y$2 &amp; "'!$B:$B"), "")&lt;&gt;"", "✓", "✗"), "✗")
)</f>
        <v>✓</v>
      </c>
      <c r="Z25" t="str" cm="1">
        <f t="array" aca="1" ref="Z25" ca="1">IF(
    ISNUMBER(VALUE(LEFT($A25, 1))),
    "",
    IFERROR(IF(_xlfn.XLOOKUP($A25, INDIRECT("'" &amp; Z$2 &amp; "'!$A:$A"), INDIRECT("'" &amp; Z$2 &amp; "'!$B:$B"), "")&lt;&gt;"", "✓", "✗"), "✗")
)</f>
        <v>✓</v>
      </c>
      <c r="AA25" t="str" cm="1">
        <f t="array" aca="1" ref="AA25" ca="1">IF(
    ISNUMBER(VALUE(LEFT($A25, 1))),
    "",
    IFERROR(IF(_xlfn.XLOOKUP($A25, INDIRECT("'" &amp; AA$2 &amp; "'!$A:$A"), INDIRECT("'" &amp; AA$2 &amp; "'!$B:$B"), "")&lt;&gt;"", "✓", "✗"), "✗")
)</f>
        <v>✓</v>
      </c>
      <c r="AB25" t="str" cm="1">
        <f t="array" aca="1" ref="AB25" ca="1">IF(
    ISNUMBER(VALUE(LEFT($A25, 1))),
    "",
    IFERROR(IF(_xlfn.XLOOKUP($A25, INDIRECT("'" &amp; AB$2 &amp; "'!$A:$A"), INDIRECT("'" &amp; AB$2 &amp; "'!$B:$B"), "")&lt;&gt;"", "✓", "✗"), "✗")
)</f>
        <v>✓</v>
      </c>
      <c r="AC25" t="str" cm="1">
        <f t="array" aca="1" ref="AC25" ca="1">IF(
    ISNUMBER(VALUE(LEFT($A25, 1))),
    "",
    IFERROR(IF(_xlfn.XLOOKUP($A25, INDIRECT("'" &amp; AC$2 &amp; "'!$A:$A"), INDIRECT("'" &amp; AC$2 &amp; "'!$B:$B"), "")&lt;&gt;"", "✓", "✗"), "✗")
)</f>
        <v>✗</v>
      </c>
      <c r="AD25" t="str" cm="1">
        <f t="array" aca="1" ref="AD25" ca="1">IF(
    ISNUMBER(VALUE(LEFT($A25, 1))),
    "",
    IFERROR(IF(_xlfn.XLOOKUP($A25, INDIRECT("'" &amp; AD$2 &amp; "'!$A:$A"), INDIRECT("'" &amp; AD$2 &amp; "'!$B:$B"), "")&lt;&gt;"", "✓", "✗"), "✗")
)</f>
        <v>✗</v>
      </c>
      <c r="AE25" t="str" cm="1">
        <f t="array" aca="1" ref="AE25" ca="1">IF(
    ISNUMBER(VALUE(LEFT($A25, 1))),
    "",
    IFERROR(IF(_xlfn.XLOOKUP($A25, INDIRECT("'" &amp; AE$2 &amp; "'!$A:$A"), INDIRECT("'" &amp; AE$2 &amp; "'!$B:$B"), "")&lt;&gt;"", "✓", "✗"), "✗")
)</f>
        <v>✓</v>
      </c>
      <c r="AF25" t="str" cm="1">
        <f t="array" aca="1" ref="AF25" ca="1">IF(
    ISNUMBER(VALUE(LEFT($A25, 1))),
    "",
    IFERROR(IF(_xlfn.XLOOKUP($A25, INDIRECT("'" &amp; AF$2 &amp; "'!$A:$A"), INDIRECT("'" &amp; AF$2 &amp; "'!$B:$B"), "")&lt;&gt;"", "✓", "✗"), "✗")
)</f>
        <v>✓</v>
      </c>
      <c r="AG25" t="str" cm="1">
        <f t="array" aca="1" ref="AG25" ca="1">IF(
    ISNUMBER(VALUE(LEFT($A25, 1))),
    "",
    IFERROR(IF(_xlfn.XLOOKUP($A25, INDIRECT("'" &amp; AG$2 &amp; "'!$A:$A"), INDIRECT("'" &amp; AG$2 &amp; "'!$B:$B"), "")&lt;&gt;"", "✓", "✗"), "✗")
)</f>
        <v>✓</v>
      </c>
    </row>
    <row r="26" spans="1:33" x14ac:dyDescent="0.45">
      <c r="A26" t="str">
        <v xml:space="preserve">Region </v>
      </c>
      <c r="B26" t="str" cm="1">
        <f t="array" aca="1" ref="B26" ca="1">IF(
    ISNUMBER(VALUE(LEFT($A26, 1))),
    "",
    IFERROR(IF(_xlfn.XLOOKUP($A26, INDIRECT("'" &amp; B$2 &amp; "'!$A:$A"), INDIRECT("'" &amp; B$2 &amp; "'!$B:$B"), "")&lt;&gt;"", "✓", "✗"), "✗")
)</f>
        <v>✓</v>
      </c>
      <c r="C26" t="str" cm="1">
        <f t="array" aca="1" ref="C26" ca="1">IF(
    ISNUMBER(VALUE(LEFT($A26, 1))),
    "",
    IFERROR(IF(_xlfn.XLOOKUP($A26, INDIRECT("'" &amp; C$2 &amp; "'!$A:$A"), INDIRECT("'" &amp; C$2 &amp; "'!$B:$B"), "")&lt;&gt;"", "✓", "✗"), "✗")
)</f>
        <v>✓</v>
      </c>
      <c r="D26" t="str" cm="1">
        <f t="array" aca="1" ref="D26" ca="1">IF(
    ISNUMBER(VALUE(LEFT($A26, 1))),
    "",
    IFERROR(IF(_xlfn.XLOOKUP($A26, INDIRECT("'" &amp; D$2 &amp; "'!$A:$A"), INDIRECT("'" &amp; D$2 &amp; "'!$B:$B"), "")&lt;&gt;"", "✓", "✗"), "✗")
)</f>
        <v>✓</v>
      </c>
      <c r="E26" t="str" cm="1">
        <f t="array" aca="1" ref="E26" ca="1">IF(
    ISNUMBER(VALUE(LEFT($A26, 1))),
    "",
    IFERROR(IF(_xlfn.XLOOKUP($A26, INDIRECT("'" &amp; E$2 &amp; "'!$A:$A"), INDIRECT("'" &amp; E$2 &amp; "'!$B:$B"), "")&lt;&gt;"", "✓", "✗"), "✗")
)</f>
        <v>✓</v>
      </c>
      <c r="F26" t="str" cm="1">
        <f t="array" aca="1" ref="F26" ca="1">IF(
    ISNUMBER(VALUE(LEFT($A26, 1))),
    "",
    IFERROR(IF(_xlfn.XLOOKUP($A26, INDIRECT("'" &amp; F$2 &amp; "'!$A:$A"), INDIRECT("'" &amp; F$2 &amp; "'!$B:$B"), "")&lt;&gt;"", "✓", "✗"), "✗")
)</f>
        <v>✓</v>
      </c>
      <c r="G26" t="str" cm="1">
        <f t="array" aca="1" ref="G26" ca="1">IF(
    ISNUMBER(VALUE(LEFT($A26, 1))),
    "",
    IFERROR(IF(_xlfn.XLOOKUP($A26, INDIRECT("'" &amp; G$2 &amp; "'!$A:$A"), INDIRECT("'" &amp; G$2 &amp; "'!$B:$B"), "")&lt;&gt;"", "✓", "✗"), "✗")
)</f>
        <v>✓</v>
      </c>
      <c r="H26" t="str" cm="1">
        <f t="array" aca="1" ref="H26" ca="1">IF(
    ISNUMBER(VALUE(LEFT($A26, 1))),
    "",
    IFERROR(IF(_xlfn.XLOOKUP($A26, INDIRECT("'" &amp; H$2 &amp; "'!$A:$A"), INDIRECT("'" &amp; H$2 &amp; "'!$B:$B"), "")&lt;&gt;"", "✓", "✗"), "✗")
)</f>
        <v>✓</v>
      </c>
      <c r="I26" t="str" cm="1">
        <f t="array" aca="1" ref="I26" ca="1">IF(
    ISNUMBER(VALUE(LEFT($A26, 1))),
    "",
    IFERROR(IF(_xlfn.XLOOKUP($A26, INDIRECT("'" &amp; I$2 &amp; "'!$A:$A"), INDIRECT("'" &amp; I$2 &amp; "'!$B:$B"), "")&lt;&gt;"", "✓", "✗"), "✗")
)</f>
        <v>✓</v>
      </c>
      <c r="J26" t="str" cm="1">
        <f t="array" aca="1" ref="J26" ca="1">IF(
    ISNUMBER(VALUE(LEFT($A26, 1))),
    "",
    IFERROR(IF(_xlfn.XLOOKUP($A26, INDIRECT("'" &amp; J$2 &amp; "'!$A:$A"), INDIRECT("'" &amp; J$2 &amp; "'!$B:$B"), "")&lt;&gt;"", "✓", "✗"), "✗")
)</f>
        <v>✓</v>
      </c>
      <c r="K26" t="str" cm="1">
        <f t="array" aca="1" ref="K26" ca="1">IF(
    ISNUMBER(VALUE(LEFT($A26, 1))),
    "",
    IFERROR(IF(_xlfn.XLOOKUP($A26, INDIRECT("'" &amp; K$2 &amp; "'!$A:$A"), INDIRECT("'" &amp; K$2 &amp; "'!$B:$B"), "")&lt;&gt;"", "✓", "✗"), "✗")
)</f>
        <v>✓</v>
      </c>
      <c r="L26" t="str" cm="1">
        <f t="array" aca="1" ref="L26" ca="1">IF(
    ISNUMBER(VALUE(LEFT($A26, 1))),
    "",
    IFERROR(IF(_xlfn.XLOOKUP($A26, INDIRECT("'" &amp; L$2 &amp; "'!$A:$A"), INDIRECT("'" &amp; L$2 &amp; "'!$B:$B"), "")&lt;&gt;"", "✓", "✗"), "✗")
)</f>
        <v>✓</v>
      </c>
      <c r="M26" t="str" cm="1">
        <f t="array" aca="1" ref="M26" ca="1">IF(
    ISNUMBER(VALUE(LEFT($A26, 1))),
    "",
    IFERROR(IF(_xlfn.XLOOKUP($A26, INDIRECT("'" &amp; M$2 &amp; "'!$A:$A"), INDIRECT("'" &amp; M$2 &amp; "'!$B:$B"), "")&lt;&gt;"", "✓", "✗"), "✗")
)</f>
        <v>✓</v>
      </c>
      <c r="N26" t="str" cm="1">
        <f t="array" aca="1" ref="N26" ca="1">IF(
    ISNUMBER(VALUE(LEFT($A26, 1))),
    "",
    IFERROR(IF(_xlfn.XLOOKUP($A26, INDIRECT("'" &amp; N$2 &amp; "'!$A:$A"), INDIRECT("'" &amp; N$2 &amp; "'!$B:$B"), "")&lt;&gt;"", "✓", "✗"), "✗")
)</f>
        <v>✓</v>
      </c>
      <c r="O26" t="str" cm="1">
        <f t="array" aca="1" ref="O26" ca="1">IF(
    ISNUMBER(VALUE(LEFT($A26, 1))),
    "",
    IFERROR(IF(_xlfn.XLOOKUP($A26, INDIRECT("'" &amp; O$2 &amp; "'!$A:$A"), INDIRECT("'" &amp; O$2 &amp; "'!$B:$B"), "")&lt;&gt;"", "✓", "✗"), "✗")
)</f>
        <v>✓</v>
      </c>
      <c r="P26" t="str" cm="1">
        <f t="array" aca="1" ref="P26" ca="1">IF(
    ISNUMBER(VALUE(LEFT($A26, 1))),
    "",
    IFERROR(IF(_xlfn.XLOOKUP($A26, INDIRECT("'" &amp; P$2 &amp; "'!$A:$A"), INDIRECT("'" &amp; P$2 &amp; "'!$B:$B"), "")&lt;&gt;"", "✓", "✗"), "✗")
)</f>
        <v>✓</v>
      </c>
      <c r="Q26" t="str" cm="1">
        <f t="array" aca="1" ref="Q26" ca="1">IF(
    ISNUMBER(VALUE(LEFT($A26, 1))),
    "",
    IFERROR(IF(_xlfn.XLOOKUP($A26, INDIRECT("'" &amp; Q$2 &amp; "'!$A:$A"), INDIRECT("'" &amp; Q$2 &amp; "'!$B:$B"), "")&lt;&gt;"", "✓", "✗"), "✗")
)</f>
        <v>✓</v>
      </c>
      <c r="R26" t="str" cm="1">
        <f t="array" aca="1" ref="R26" ca="1">IF(
    ISNUMBER(VALUE(LEFT($A26, 1))),
    "",
    IFERROR(IF(_xlfn.XLOOKUP($A26, INDIRECT("'" &amp; R$2 &amp; "'!$A:$A"), INDIRECT("'" &amp; R$2 &amp; "'!$B:$B"), "")&lt;&gt;"", "✓", "✗"), "✗")
)</f>
        <v>✓</v>
      </c>
      <c r="S26" t="str" cm="1">
        <f t="array" aca="1" ref="S26" ca="1">IF(
    ISNUMBER(VALUE(LEFT($A26, 1))),
    "",
    IFERROR(IF(_xlfn.XLOOKUP($A26, INDIRECT("'" &amp; S$2 &amp; "'!$A:$A"), INDIRECT("'" &amp; S$2 &amp; "'!$B:$B"), "")&lt;&gt;"", "✓", "✗"), "✗")
)</f>
        <v>✓</v>
      </c>
      <c r="T26" t="str" cm="1">
        <f t="array" aca="1" ref="T26" ca="1">IF(
    ISNUMBER(VALUE(LEFT($A26, 1))),
    "",
    IFERROR(IF(_xlfn.XLOOKUP($A26, INDIRECT("'" &amp; T$2 &amp; "'!$A:$A"), INDIRECT("'" &amp; T$2 &amp; "'!$B:$B"), "")&lt;&gt;"", "✓", "✗"), "✗")
)</f>
        <v>✓</v>
      </c>
      <c r="U26" t="str" cm="1">
        <f t="array" aca="1" ref="U26" ca="1">IF(
    ISNUMBER(VALUE(LEFT($A26, 1))),
    "",
    IFERROR(IF(_xlfn.XLOOKUP($A26, INDIRECT("'" &amp; U$2 &amp; "'!$A:$A"), INDIRECT("'" &amp; U$2 &amp; "'!$B:$B"), "")&lt;&gt;"", "✓", "✗"), "✗")
)</f>
        <v>✓</v>
      </c>
      <c r="V26" t="str" cm="1">
        <f t="array" aca="1" ref="V26" ca="1">IF(
    ISNUMBER(VALUE(LEFT($A26, 1))),
    "",
    IFERROR(IF(_xlfn.XLOOKUP($A26, INDIRECT("'" &amp; V$2 &amp; "'!$A:$A"), INDIRECT("'" &amp; V$2 &amp; "'!$B:$B"), "")&lt;&gt;"", "✓", "✗"), "✗")
)</f>
        <v>✓</v>
      </c>
      <c r="W26" t="str" cm="1">
        <f t="array" aca="1" ref="W26" ca="1">IF(
    ISNUMBER(VALUE(LEFT($A26, 1))),
    "",
    IFERROR(IF(_xlfn.XLOOKUP($A26, INDIRECT("'" &amp; W$2 &amp; "'!$A:$A"), INDIRECT("'" &amp; W$2 &amp; "'!$B:$B"), "")&lt;&gt;"", "✓", "✗"), "✗")
)</f>
        <v>✓</v>
      </c>
      <c r="X26" t="str" cm="1">
        <f t="array" aca="1" ref="X26" ca="1">IF(
    ISNUMBER(VALUE(LEFT($A26, 1))),
    "",
    IFERROR(IF(_xlfn.XLOOKUP($A26, INDIRECT("'" &amp; X$2 &amp; "'!$A:$A"), INDIRECT("'" &amp; X$2 &amp; "'!$B:$B"), "")&lt;&gt;"", "✓", "✗"), "✗")
)</f>
        <v>✓</v>
      </c>
      <c r="Y26" t="str" cm="1">
        <f t="array" aca="1" ref="Y26" ca="1">IF(
    ISNUMBER(VALUE(LEFT($A26, 1))),
    "",
    IFERROR(IF(_xlfn.XLOOKUP($A26, INDIRECT("'" &amp; Y$2 &amp; "'!$A:$A"), INDIRECT("'" &amp; Y$2 &amp; "'!$B:$B"), "")&lt;&gt;"", "✓", "✗"), "✗")
)</f>
        <v>✓</v>
      </c>
      <c r="Z26" t="str" cm="1">
        <f t="array" aca="1" ref="Z26" ca="1">IF(
    ISNUMBER(VALUE(LEFT($A26, 1))),
    "",
    IFERROR(IF(_xlfn.XLOOKUP($A26, INDIRECT("'" &amp; Z$2 &amp; "'!$A:$A"), INDIRECT("'" &amp; Z$2 &amp; "'!$B:$B"), "")&lt;&gt;"", "✓", "✗"), "✗")
)</f>
        <v>✓</v>
      </c>
      <c r="AA26" t="str" cm="1">
        <f t="array" aca="1" ref="AA26" ca="1">IF(
    ISNUMBER(VALUE(LEFT($A26, 1))),
    "",
    IFERROR(IF(_xlfn.XLOOKUP($A26, INDIRECT("'" &amp; AA$2 &amp; "'!$A:$A"), INDIRECT("'" &amp; AA$2 &amp; "'!$B:$B"), "")&lt;&gt;"", "✓", "✗"), "✗")
)</f>
        <v>✓</v>
      </c>
      <c r="AB26" t="str" cm="1">
        <f t="array" aca="1" ref="AB26" ca="1">IF(
    ISNUMBER(VALUE(LEFT($A26, 1))),
    "",
    IFERROR(IF(_xlfn.XLOOKUP($A26, INDIRECT("'" &amp; AB$2 &amp; "'!$A:$A"), INDIRECT("'" &amp; AB$2 &amp; "'!$B:$B"), "")&lt;&gt;"", "✓", "✗"), "✗")
)</f>
        <v>✓</v>
      </c>
      <c r="AC26" t="str" cm="1">
        <f t="array" aca="1" ref="AC26" ca="1">IF(
    ISNUMBER(VALUE(LEFT($A26, 1))),
    "",
    IFERROR(IF(_xlfn.XLOOKUP($A26, INDIRECT("'" &amp; AC$2 &amp; "'!$A:$A"), INDIRECT("'" &amp; AC$2 &amp; "'!$B:$B"), "")&lt;&gt;"", "✓", "✗"), "✗")
)</f>
        <v>✗</v>
      </c>
      <c r="AD26" t="str" cm="1">
        <f t="array" aca="1" ref="AD26" ca="1">IF(
    ISNUMBER(VALUE(LEFT($A26, 1))),
    "",
    IFERROR(IF(_xlfn.XLOOKUP($A26, INDIRECT("'" &amp; AD$2 &amp; "'!$A:$A"), INDIRECT("'" &amp; AD$2 &amp; "'!$B:$B"), "")&lt;&gt;"", "✓", "✗"), "✗")
)</f>
        <v>✗</v>
      </c>
      <c r="AE26" t="str" cm="1">
        <f t="array" aca="1" ref="AE26" ca="1">IF(
    ISNUMBER(VALUE(LEFT($A26, 1))),
    "",
    IFERROR(IF(_xlfn.XLOOKUP($A26, INDIRECT("'" &amp; AE$2 &amp; "'!$A:$A"), INDIRECT("'" &amp; AE$2 &amp; "'!$B:$B"), "")&lt;&gt;"", "✓", "✗"), "✗")
)</f>
        <v>✓</v>
      </c>
      <c r="AF26" t="str" cm="1">
        <f t="array" aca="1" ref="AF26" ca="1">IF(
    ISNUMBER(VALUE(LEFT($A26, 1))),
    "",
    IFERROR(IF(_xlfn.XLOOKUP($A26, INDIRECT("'" &amp; AF$2 &amp; "'!$A:$A"), INDIRECT("'" &amp; AF$2 &amp; "'!$B:$B"), "")&lt;&gt;"", "✓", "✗"), "✗")
)</f>
        <v>✓</v>
      </c>
      <c r="AG26" t="str" cm="1">
        <f t="array" aca="1" ref="AG26" ca="1">IF(
    ISNUMBER(VALUE(LEFT($A26, 1))),
    "",
    IFERROR(IF(_xlfn.XLOOKUP($A26, INDIRECT("'" &amp; AG$2 &amp; "'!$A:$A"), INDIRECT("'" &amp; AG$2 &amp; "'!$B:$B"), "")&lt;&gt;"", "✓", "✗"), "✗")
)</f>
        <v>✓</v>
      </c>
    </row>
    <row r="27" spans="1:33" x14ac:dyDescent="0.45">
      <c r="A27" t="str">
        <v>3 - Account Identity</v>
      </c>
      <c r="B27" t="str" cm="1">
        <f t="array" aca="1" ref="B27" ca="1">IF(
    ISNUMBER(VALUE(LEFT($A27, 1))),
    "",
    IFERROR(IF(_xlfn.XLOOKUP($A27, INDIRECT("'" &amp; B$2 &amp; "'!$A:$A"), INDIRECT("'" &amp; B$2 &amp; "'!$B:$B"), "")&lt;&gt;"", "✓", "✗"), "✗")
)</f>
        <v/>
      </c>
      <c r="C27" t="str" cm="1">
        <f t="array" aca="1" ref="C27" ca="1">IF(
    ISNUMBER(VALUE(LEFT($A27, 1))),
    "",
    IFERROR(IF(_xlfn.XLOOKUP($A27, INDIRECT("'" &amp; C$2 &amp; "'!$A:$A"), INDIRECT("'" &amp; C$2 &amp; "'!$B:$B"), "")&lt;&gt;"", "✓", "✗"), "✗")
)</f>
        <v/>
      </c>
      <c r="D27" t="str" cm="1">
        <f t="array" aca="1" ref="D27" ca="1">IF(
    ISNUMBER(VALUE(LEFT($A27, 1))),
    "",
    IFERROR(IF(_xlfn.XLOOKUP($A27, INDIRECT("'" &amp; D$2 &amp; "'!$A:$A"), INDIRECT("'" &amp; D$2 &amp; "'!$B:$B"), "")&lt;&gt;"", "✓", "✗"), "✗")
)</f>
        <v/>
      </c>
      <c r="E27" t="str" cm="1">
        <f t="array" aca="1" ref="E27" ca="1">IF(
    ISNUMBER(VALUE(LEFT($A27, 1))),
    "",
    IFERROR(IF(_xlfn.XLOOKUP($A27, INDIRECT("'" &amp; E$2 &amp; "'!$A:$A"), INDIRECT("'" &amp; E$2 &amp; "'!$B:$B"), "")&lt;&gt;"", "✓", "✗"), "✗")
)</f>
        <v/>
      </c>
      <c r="F27" t="str" cm="1">
        <f t="array" aca="1" ref="F27" ca="1">IF(
    ISNUMBER(VALUE(LEFT($A27, 1))),
    "",
    IFERROR(IF(_xlfn.XLOOKUP($A27, INDIRECT("'" &amp; F$2 &amp; "'!$A:$A"), INDIRECT("'" &amp; F$2 &amp; "'!$B:$B"), "")&lt;&gt;"", "✓", "✗"), "✗")
)</f>
        <v/>
      </c>
      <c r="G27" t="str" cm="1">
        <f t="array" aca="1" ref="G27" ca="1">IF(
    ISNUMBER(VALUE(LEFT($A27, 1))),
    "",
    IFERROR(IF(_xlfn.XLOOKUP($A27, INDIRECT("'" &amp; G$2 &amp; "'!$A:$A"), INDIRECT("'" &amp; G$2 &amp; "'!$B:$B"), "")&lt;&gt;"", "✓", "✗"), "✗")
)</f>
        <v/>
      </c>
      <c r="H27" t="str" cm="1">
        <f t="array" aca="1" ref="H27" ca="1">IF(
    ISNUMBER(VALUE(LEFT($A27, 1))),
    "",
    IFERROR(IF(_xlfn.XLOOKUP($A27, INDIRECT("'" &amp; H$2 &amp; "'!$A:$A"), INDIRECT("'" &amp; H$2 &amp; "'!$B:$B"), "")&lt;&gt;"", "✓", "✗"), "✗")
)</f>
        <v/>
      </c>
      <c r="I27" t="str" cm="1">
        <f t="array" aca="1" ref="I27" ca="1">IF(
    ISNUMBER(VALUE(LEFT($A27, 1))),
    "",
    IFERROR(IF(_xlfn.XLOOKUP($A27, INDIRECT("'" &amp; I$2 &amp; "'!$A:$A"), INDIRECT("'" &amp; I$2 &amp; "'!$B:$B"), "")&lt;&gt;"", "✓", "✗"), "✗")
)</f>
        <v/>
      </c>
      <c r="J27" t="str" cm="1">
        <f t="array" aca="1" ref="J27" ca="1">IF(
    ISNUMBER(VALUE(LEFT($A27, 1))),
    "",
    IFERROR(IF(_xlfn.XLOOKUP($A27, INDIRECT("'" &amp; J$2 &amp; "'!$A:$A"), INDIRECT("'" &amp; J$2 &amp; "'!$B:$B"), "")&lt;&gt;"", "✓", "✗"), "✗")
)</f>
        <v/>
      </c>
      <c r="K27" t="str" cm="1">
        <f t="array" aca="1" ref="K27" ca="1">IF(
    ISNUMBER(VALUE(LEFT($A27, 1))),
    "",
    IFERROR(IF(_xlfn.XLOOKUP($A27, INDIRECT("'" &amp; K$2 &amp; "'!$A:$A"), INDIRECT("'" &amp; K$2 &amp; "'!$B:$B"), "")&lt;&gt;"", "✓", "✗"), "✗")
)</f>
        <v/>
      </c>
      <c r="L27" t="str" cm="1">
        <f t="array" aca="1" ref="L27" ca="1">IF(
    ISNUMBER(VALUE(LEFT($A27, 1))),
    "",
    IFERROR(IF(_xlfn.XLOOKUP($A27, INDIRECT("'" &amp; L$2 &amp; "'!$A:$A"), INDIRECT("'" &amp; L$2 &amp; "'!$B:$B"), "")&lt;&gt;"", "✓", "✗"), "✗")
)</f>
        <v/>
      </c>
      <c r="M27" t="str" cm="1">
        <f t="array" aca="1" ref="M27" ca="1">IF(
    ISNUMBER(VALUE(LEFT($A27, 1))),
    "",
    IFERROR(IF(_xlfn.XLOOKUP($A27, INDIRECT("'" &amp; M$2 &amp; "'!$A:$A"), INDIRECT("'" &amp; M$2 &amp; "'!$B:$B"), "")&lt;&gt;"", "✓", "✗"), "✗")
)</f>
        <v/>
      </c>
      <c r="N27" t="str" cm="1">
        <f t="array" aca="1" ref="N27" ca="1">IF(
    ISNUMBER(VALUE(LEFT($A27, 1))),
    "",
    IFERROR(IF(_xlfn.XLOOKUP($A27, INDIRECT("'" &amp; N$2 &amp; "'!$A:$A"), INDIRECT("'" &amp; N$2 &amp; "'!$B:$B"), "")&lt;&gt;"", "✓", "✗"), "✗")
)</f>
        <v/>
      </c>
      <c r="O27" t="str" cm="1">
        <f t="array" aca="1" ref="O27" ca="1">IF(
    ISNUMBER(VALUE(LEFT($A27, 1))),
    "",
    IFERROR(IF(_xlfn.XLOOKUP($A27, INDIRECT("'" &amp; O$2 &amp; "'!$A:$A"), INDIRECT("'" &amp; O$2 &amp; "'!$B:$B"), "")&lt;&gt;"", "✓", "✗"), "✗")
)</f>
        <v/>
      </c>
      <c r="P27" t="str" cm="1">
        <f t="array" aca="1" ref="P27" ca="1">IF(
    ISNUMBER(VALUE(LEFT($A27, 1))),
    "",
    IFERROR(IF(_xlfn.XLOOKUP($A27, INDIRECT("'" &amp; P$2 &amp; "'!$A:$A"), INDIRECT("'" &amp; P$2 &amp; "'!$B:$B"), "")&lt;&gt;"", "✓", "✗"), "✗")
)</f>
        <v/>
      </c>
      <c r="Q27" t="str" cm="1">
        <f t="array" aca="1" ref="Q27" ca="1">IF(
    ISNUMBER(VALUE(LEFT($A27, 1))),
    "",
    IFERROR(IF(_xlfn.XLOOKUP($A27, INDIRECT("'" &amp; Q$2 &amp; "'!$A:$A"), INDIRECT("'" &amp; Q$2 &amp; "'!$B:$B"), "")&lt;&gt;"", "✓", "✗"), "✗")
)</f>
        <v/>
      </c>
      <c r="R27" t="str" cm="1">
        <f t="array" aca="1" ref="R27" ca="1">IF(
    ISNUMBER(VALUE(LEFT($A27, 1))),
    "",
    IFERROR(IF(_xlfn.XLOOKUP($A27, INDIRECT("'" &amp; R$2 &amp; "'!$A:$A"), INDIRECT("'" &amp; R$2 &amp; "'!$B:$B"), "")&lt;&gt;"", "✓", "✗"), "✗")
)</f>
        <v/>
      </c>
      <c r="S27" t="str" cm="1">
        <f t="array" aca="1" ref="S27" ca="1">IF(
    ISNUMBER(VALUE(LEFT($A27, 1))),
    "",
    IFERROR(IF(_xlfn.XLOOKUP($A27, INDIRECT("'" &amp; S$2 &amp; "'!$A:$A"), INDIRECT("'" &amp; S$2 &amp; "'!$B:$B"), "")&lt;&gt;"", "✓", "✗"), "✗")
)</f>
        <v/>
      </c>
      <c r="T27" t="str" cm="1">
        <f t="array" aca="1" ref="T27" ca="1">IF(
    ISNUMBER(VALUE(LEFT($A27, 1))),
    "",
    IFERROR(IF(_xlfn.XLOOKUP($A27, INDIRECT("'" &amp; T$2 &amp; "'!$A:$A"), INDIRECT("'" &amp; T$2 &amp; "'!$B:$B"), "")&lt;&gt;"", "✓", "✗"), "✗")
)</f>
        <v/>
      </c>
      <c r="U27" t="str" cm="1">
        <f t="array" aca="1" ref="U27" ca="1">IF(
    ISNUMBER(VALUE(LEFT($A27, 1))),
    "",
    IFERROR(IF(_xlfn.XLOOKUP($A27, INDIRECT("'" &amp; U$2 &amp; "'!$A:$A"), INDIRECT("'" &amp; U$2 &amp; "'!$B:$B"), "")&lt;&gt;"", "✓", "✗"), "✗")
)</f>
        <v/>
      </c>
      <c r="V27" t="str" cm="1">
        <f t="array" aca="1" ref="V27" ca="1">IF(
    ISNUMBER(VALUE(LEFT($A27, 1))),
    "",
    IFERROR(IF(_xlfn.XLOOKUP($A27, INDIRECT("'" &amp; V$2 &amp; "'!$A:$A"), INDIRECT("'" &amp; V$2 &amp; "'!$B:$B"), "")&lt;&gt;"", "✓", "✗"), "✗")
)</f>
        <v/>
      </c>
      <c r="W27" t="str" cm="1">
        <f t="array" aca="1" ref="W27" ca="1">IF(
    ISNUMBER(VALUE(LEFT($A27, 1))),
    "",
    IFERROR(IF(_xlfn.XLOOKUP($A27, INDIRECT("'" &amp; W$2 &amp; "'!$A:$A"), INDIRECT("'" &amp; W$2 &amp; "'!$B:$B"), "")&lt;&gt;"", "✓", "✗"), "✗")
)</f>
        <v/>
      </c>
      <c r="X27" t="str" cm="1">
        <f t="array" aca="1" ref="X27" ca="1">IF(
    ISNUMBER(VALUE(LEFT($A27, 1))),
    "",
    IFERROR(IF(_xlfn.XLOOKUP($A27, INDIRECT("'" &amp; X$2 &amp; "'!$A:$A"), INDIRECT("'" &amp; X$2 &amp; "'!$B:$B"), "")&lt;&gt;"", "✓", "✗"), "✗")
)</f>
        <v/>
      </c>
      <c r="Y27" t="str" cm="1">
        <f t="array" aca="1" ref="Y27" ca="1">IF(
    ISNUMBER(VALUE(LEFT($A27, 1))),
    "",
    IFERROR(IF(_xlfn.XLOOKUP($A27, INDIRECT("'" &amp; Y$2 &amp; "'!$A:$A"), INDIRECT("'" &amp; Y$2 &amp; "'!$B:$B"), "")&lt;&gt;"", "✓", "✗"), "✗")
)</f>
        <v/>
      </c>
      <c r="Z27" t="str" cm="1">
        <f t="array" aca="1" ref="Z27" ca="1">IF(
    ISNUMBER(VALUE(LEFT($A27, 1))),
    "",
    IFERROR(IF(_xlfn.XLOOKUP($A27, INDIRECT("'" &amp; Z$2 &amp; "'!$A:$A"), INDIRECT("'" &amp; Z$2 &amp; "'!$B:$B"), "")&lt;&gt;"", "✓", "✗"), "✗")
)</f>
        <v/>
      </c>
      <c r="AA27" t="str" cm="1">
        <f t="array" aca="1" ref="AA27" ca="1">IF(
    ISNUMBER(VALUE(LEFT($A27, 1))),
    "",
    IFERROR(IF(_xlfn.XLOOKUP($A27, INDIRECT("'" &amp; AA$2 &amp; "'!$A:$A"), INDIRECT("'" &amp; AA$2 &amp; "'!$B:$B"), "")&lt;&gt;"", "✓", "✗"), "✗")
)</f>
        <v/>
      </c>
      <c r="AB27" t="str" cm="1">
        <f t="array" aca="1" ref="AB27" ca="1">IF(
    ISNUMBER(VALUE(LEFT($A27, 1))),
    "",
    IFERROR(IF(_xlfn.XLOOKUP($A27, INDIRECT("'" &amp; AB$2 &amp; "'!$A:$A"), INDIRECT("'" &amp; AB$2 &amp; "'!$B:$B"), "")&lt;&gt;"", "✓", "✗"), "✗")
)</f>
        <v/>
      </c>
      <c r="AC27" t="str" cm="1">
        <f t="array" aca="1" ref="AC27" ca="1">IF(
    ISNUMBER(VALUE(LEFT($A27, 1))),
    "",
    IFERROR(IF(_xlfn.XLOOKUP($A27, INDIRECT("'" &amp; AC$2 &amp; "'!$A:$A"), INDIRECT("'" &amp; AC$2 &amp; "'!$B:$B"), "")&lt;&gt;"", "✓", "✗"), "✗")
)</f>
        <v/>
      </c>
      <c r="AD27" t="str" cm="1">
        <f t="array" aca="1" ref="AD27" ca="1">IF(
    ISNUMBER(VALUE(LEFT($A27, 1))),
    "",
    IFERROR(IF(_xlfn.XLOOKUP($A27, INDIRECT("'" &amp; AD$2 &amp; "'!$A:$A"), INDIRECT("'" &amp; AD$2 &amp; "'!$B:$B"), "")&lt;&gt;"", "✓", "✗"), "✗")
)</f>
        <v/>
      </c>
      <c r="AE27" t="str" cm="1">
        <f t="array" aca="1" ref="AE27" ca="1">IF(
    ISNUMBER(VALUE(LEFT($A27, 1))),
    "",
    IFERROR(IF(_xlfn.XLOOKUP($A27, INDIRECT("'" &amp; AE$2 &amp; "'!$A:$A"), INDIRECT("'" &amp; AE$2 &amp; "'!$B:$B"), "")&lt;&gt;"", "✓", "✗"), "✗")
)</f>
        <v/>
      </c>
      <c r="AF27" t="str" cm="1">
        <f t="array" aca="1" ref="AF27" ca="1">IF(
    ISNUMBER(VALUE(LEFT($A27, 1))),
    "",
    IFERROR(IF(_xlfn.XLOOKUP($A27, INDIRECT("'" &amp; AF$2 &amp; "'!$A:$A"), INDIRECT("'" &amp; AF$2 &amp; "'!$B:$B"), "")&lt;&gt;"", "✓", "✗"), "✗")
)</f>
        <v/>
      </c>
      <c r="AG27" t="str" cm="1">
        <f t="array" aca="1" ref="AG27" ca="1">IF(
    ISNUMBER(VALUE(LEFT($A27, 1))),
    "",
    IFERROR(IF(_xlfn.XLOOKUP($A27, INDIRECT("'" &amp; AG$2 &amp; "'!$A:$A"), INDIRECT("'" &amp; AG$2 &amp; "'!$B:$B"), "")&lt;&gt;"", "✓", "✗"), "✗")
)</f>
        <v/>
      </c>
    </row>
    <row r="28" spans="1:33" x14ac:dyDescent="0.45">
      <c r="A28" t="str">
        <v>CR Party ID</v>
      </c>
      <c r="B28" t="str" cm="1">
        <f t="array" aca="1" ref="B28" ca="1">IF(
    ISNUMBER(VALUE(LEFT($A28, 1))),
    "",
    IFERROR(IF(_xlfn.XLOOKUP($A28, INDIRECT("'" &amp; B$2 &amp; "'!$A:$A"), INDIRECT("'" &amp; B$2 &amp; "'!$B:$B"), "")&lt;&gt;"", "✓", "✗"), "✗")
)</f>
        <v>✓</v>
      </c>
      <c r="C28" t="str" cm="1">
        <f t="array" aca="1" ref="C28" ca="1">IF(
    ISNUMBER(VALUE(LEFT($A28, 1))),
    "",
    IFERROR(IF(_xlfn.XLOOKUP($A28, INDIRECT("'" &amp; C$2 &amp; "'!$A:$A"), INDIRECT("'" &amp; C$2 &amp; "'!$B:$B"), "")&lt;&gt;"", "✓", "✗"), "✗")
)</f>
        <v>✓</v>
      </c>
      <c r="D28" t="str" cm="1">
        <f t="array" aca="1" ref="D28" ca="1">IF(
    ISNUMBER(VALUE(LEFT($A28, 1))),
    "",
    IFERROR(IF(_xlfn.XLOOKUP($A28, INDIRECT("'" &amp; D$2 &amp; "'!$A:$A"), INDIRECT("'" &amp; D$2 &amp; "'!$B:$B"), "")&lt;&gt;"", "✓", "✗"), "✗")
)</f>
        <v>✓</v>
      </c>
      <c r="E28" t="str" cm="1">
        <f t="array" aca="1" ref="E28" ca="1">IF(
    ISNUMBER(VALUE(LEFT($A28, 1))),
    "",
    IFERROR(IF(_xlfn.XLOOKUP($A28, INDIRECT("'" &amp; E$2 &amp; "'!$A:$A"), INDIRECT("'" &amp; E$2 &amp; "'!$B:$B"), "")&lt;&gt;"", "✓", "✗"), "✗")
)</f>
        <v>✓</v>
      </c>
      <c r="F28" t="str" cm="1">
        <f t="array" aca="1" ref="F28" ca="1">IF(
    ISNUMBER(VALUE(LEFT($A28, 1))),
    "",
    IFERROR(IF(_xlfn.XLOOKUP($A28, INDIRECT("'" &amp; F$2 &amp; "'!$A:$A"), INDIRECT("'" &amp; F$2 &amp; "'!$B:$B"), "")&lt;&gt;"", "✓", "✗"), "✗")
)</f>
        <v>✓</v>
      </c>
      <c r="G28" t="str" cm="1">
        <f t="array" aca="1" ref="G28" ca="1">IF(
    ISNUMBER(VALUE(LEFT($A28, 1))),
    "",
    IFERROR(IF(_xlfn.XLOOKUP($A28, INDIRECT("'" &amp; G$2 &amp; "'!$A:$A"), INDIRECT("'" &amp; G$2 &amp; "'!$B:$B"), "")&lt;&gt;"", "✓", "✗"), "✗")
)</f>
        <v>✓</v>
      </c>
      <c r="H28" t="str" cm="1">
        <f t="array" aca="1" ref="H28" ca="1">IF(
    ISNUMBER(VALUE(LEFT($A28, 1))),
    "",
    IFERROR(IF(_xlfn.XLOOKUP($A28, INDIRECT("'" &amp; H$2 &amp; "'!$A:$A"), INDIRECT("'" &amp; H$2 &amp; "'!$B:$B"), "")&lt;&gt;"", "✓", "✗"), "✗")
)</f>
        <v>✓</v>
      </c>
      <c r="I28" t="str" cm="1">
        <f t="array" aca="1" ref="I28" ca="1">IF(
    ISNUMBER(VALUE(LEFT($A28, 1))),
    "",
    IFERROR(IF(_xlfn.XLOOKUP($A28, INDIRECT("'" &amp; I$2 &amp; "'!$A:$A"), INDIRECT("'" &amp; I$2 &amp; "'!$B:$B"), "")&lt;&gt;"", "✓", "✗"), "✗")
)</f>
        <v>✓</v>
      </c>
      <c r="J28" t="str" cm="1">
        <f t="array" aca="1" ref="J28" ca="1">IF(
    ISNUMBER(VALUE(LEFT($A28, 1))),
    "",
    IFERROR(IF(_xlfn.XLOOKUP($A28, INDIRECT("'" &amp; J$2 &amp; "'!$A:$A"), INDIRECT("'" &amp; J$2 &amp; "'!$B:$B"), "")&lt;&gt;"", "✓", "✗"), "✗")
)</f>
        <v>✓</v>
      </c>
      <c r="K28" t="str" cm="1">
        <f t="array" aca="1" ref="K28" ca="1">IF(
    ISNUMBER(VALUE(LEFT($A28, 1))),
    "",
    IFERROR(IF(_xlfn.XLOOKUP($A28, INDIRECT("'" &amp; K$2 &amp; "'!$A:$A"), INDIRECT("'" &amp; K$2 &amp; "'!$B:$B"), "")&lt;&gt;"", "✓", "✗"), "✗")
)</f>
        <v>✓</v>
      </c>
      <c r="L28" t="str" cm="1">
        <f t="array" aca="1" ref="L28" ca="1">IF(
    ISNUMBER(VALUE(LEFT($A28, 1))),
    "",
    IFERROR(IF(_xlfn.XLOOKUP($A28, INDIRECT("'" &amp; L$2 &amp; "'!$A:$A"), INDIRECT("'" &amp; L$2 &amp; "'!$B:$B"), "")&lt;&gt;"", "✓", "✗"), "✗")
)</f>
        <v>✓</v>
      </c>
      <c r="M28" t="str" cm="1">
        <f t="array" aca="1" ref="M28" ca="1">IF(
    ISNUMBER(VALUE(LEFT($A28, 1))),
    "",
    IFERROR(IF(_xlfn.XLOOKUP($A28, INDIRECT("'" &amp; M$2 &amp; "'!$A:$A"), INDIRECT("'" &amp; M$2 &amp; "'!$B:$B"), "")&lt;&gt;"", "✓", "✗"), "✗")
)</f>
        <v>✓</v>
      </c>
      <c r="N28" t="str" cm="1">
        <f t="array" aca="1" ref="N28" ca="1">IF(
    ISNUMBER(VALUE(LEFT($A28, 1))),
    "",
    IFERROR(IF(_xlfn.XLOOKUP($A28, INDIRECT("'" &amp; N$2 &amp; "'!$A:$A"), INDIRECT("'" &amp; N$2 &amp; "'!$B:$B"), "")&lt;&gt;"", "✓", "✗"), "✗")
)</f>
        <v>✓</v>
      </c>
      <c r="O28" t="str" cm="1">
        <f t="array" aca="1" ref="O28" ca="1">IF(
    ISNUMBER(VALUE(LEFT($A28, 1))),
    "",
    IFERROR(IF(_xlfn.XLOOKUP($A28, INDIRECT("'" &amp; O$2 &amp; "'!$A:$A"), INDIRECT("'" &amp; O$2 &amp; "'!$B:$B"), "")&lt;&gt;"", "✓", "✗"), "✗")
)</f>
        <v>✓</v>
      </c>
      <c r="P28" t="str" cm="1">
        <f t="array" aca="1" ref="P28" ca="1">IF(
    ISNUMBER(VALUE(LEFT($A28, 1))),
    "",
    IFERROR(IF(_xlfn.XLOOKUP($A28, INDIRECT("'" &amp; P$2 &amp; "'!$A:$A"), INDIRECT("'" &amp; P$2 &amp; "'!$B:$B"), "")&lt;&gt;"", "✓", "✗"), "✗")
)</f>
        <v>✓</v>
      </c>
      <c r="Q28" t="str" cm="1">
        <f t="array" aca="1" ref="Q28" ca="1">IF(
    ISNUMBER(VALUE(LEFT($A28, 1))),
    "",
    IFERROR(IF(_xlfn.XLOOKUP($A28, INDIRECT("'" &amp; Q$2 &amp; "'!$A:$A"), INDIRECT("'" &amp; Q$2 &amp; "'!$B:$B"), "")&lt;&gt;"", "✓", "✗"), "✗")
)</f>
        <v>✓</v>
      </c>
      <c r="R28" t="str" cm="1">
        <f t="array" aca="1" ref="R28" ca="1">IF(
    ISNUMBER(VALUE(LEFT($A28, 1))),
    "",
    IFERROR(IF(_xlfn.XLOOKUP($A28, INDIRECT("'" &amp; R$2 &amp; "'!$A:$A"), INDIRECT("'" &amp; R$2 &amp; "'!$B:$B"), "")&lt;&gt;"", "✓", "✗"), "✗")
)</f>
        <v>✓</v>
      </c>
      <c r="S28" t="str" cm="1">
        <f t="array" aca="1" ref="S28" ca="1">IF(
    ISNUMBER(VALUE(LEFT($A28, 1))),
    "",
    IFERROR(IF(_xlfn.XLOOKUP($A28, INDIRECT("'" &amp; S$2 &amp; "'!$A:$A"), INDIRECT("'" &amp; S$2 &amp; "'!$B:$B"), "")&lt;&gt;"", "✓", "✗"), "✗")
)</f>
        <v>✓</v>
      </c>
      <c r="T28" t="str" cm="1">
        <f t="array" aca="1" ref="T28" ca="1">IF(
    ISNUMBER(VALUE(LEFT($A28, 1))),
    "",
    IFERROR(IF(_xlfn.XLOOKUP($A28, INDIRECT("'" &amp; T$2 &amp; "'!$A:$A"), INDIRECT("'" &amp; T$2 &amp; "'!$B:$B"), "")&lt;&gt;"", "✓", "✗"), "✗")
)</f>
        <v>✓</v>
      </c>
      <c r="U28" t="str" cm="1">
        <f t="array" aca="1" ref="U28" ca="1">IF(
    ISNUMBER(VALUE(LEFT($A28, 1))),
    "",
    IFERROR(IF(_xlfn.XLOOKUP($A28, INDIRECT("'" &amp; U$2 &amp; "'!$A:$A"), INDIRECT("'" &amp; U$2 &amp; "'!$B:$B"), "")&lt;&gt;"", "✓", "✗"), "✗")
)</f>
        <v>✓</v>
      </c>
      <c r="V28" t="str" cm="1">
        <f t="array" aca="1" ref="V28" ca="1">IF(
    ISNUMBER(VALUE(LEFT($A28, 1))),
    "",
    IFERROR(IF(_xlfn.XLOOKUP($A28, INDIRECT("'" &amp; V$2 &amp; "'!$A:$A"), INDIRECT("'" &amp; V$2 &amp; "'!$B:$B"), "")&lt;&gt;"", "✓", "✗"), "✗")
)</f>
        <v>✓</v>
      </c>
      <c r="W28" t="str" cm="1">
        <f t="array" aca="1" ref="W28" ca="1">IF(
    ISNUMBER(VALUE(LEFT($A28, 1))),
    "",
    IFERROR(IF(_xlfn.XLOOKUP($A28, INDIRECT("'" &amp; W$2 &amp; "'!$A:$A"), INDIRECT("'" &amp; W$2 &amp; "'!$B:$B"), "")&lt;&gt;"", "✓", "✗"), "✗")
)</f>
        <v>✓</v>
      </c>
      <c r="X28" t="str" cm="1">
        <f t="array" aca="1" ref="X28" ca="1">IF(
    ISNUMBER(VALUE(LEFT($A28, 1))),
    "",
    IFERROR(IF(_xlfn.XLOOKUP($A28, INDIRECT("'" &amp; X$2 &amp; "'!$A:$A"), INDIRECT("'" &amp; X$2 &amp; "'!$B:$B"), "")&lt;&gt;"", "✓", "✗"), "✗")
)</f>
        <v>✓</v>
      </c>
      <c r="Y28" t="str" cm="1">
        <f t="array" aca="1" ref="Y28" ca="1">IF(
    ISNUMBER(VALUE(LEFT($A28, 1))),
    "",
    IFERROR(IF(_xlfn.XLOOKUP($A28, INDIRECT("'" &amp; Y$2 &amp; "'!$A:$A"), INDIRECT("'" &amp; Y$2 &amp; "'!$B:$B"), "")&lt;&gt;"", "✓", "✗"), "✗")
)</f>
        <v>✓</v>
      </c>
      <c r="Z28" t="str" cm="1">
        <f t="array" aca="1" ref="Z28" ca="1">IF(
    ISNUMBER(VALUE(LEFT($A28, 1))),
    "",
    IFERROR(IF(_xlfn.XLOOKUP($A28, INDIRECT("'" &amp; Z$2 &amp; "'!$A:$A"), INDIRECT("'" &amp; Z$2 &amp; "'!$B:$B"), "")&lt;&gt;"", "✓", "✗"), "✗")
)</f>
        <v>✓</v>
      </c>
      <c r="AA28" t="str" cm="1">
        <f t="array" aca="1" ref="AA28" ca="1">IF(
    ISNUMBER(VALUE(LEFT($A28, 1))),
    "",
    IFERROR(IF(_xlfn.XLOOKUP($A28, INDIRECT("'" &amp; AA$2 &amp; "'!$A:$A"), INDIRECT("'" &amp; AA$2 &amp; "'!$B:$B"), "")&lt;&gt;"", "✓", "✗"), "✗")
)</f>
        <v>✓</v>
      </c>
      <c r="AB28" t="str" cm="1">
        <f t="array" aca="1" ref="AB28" ca="1">IF(
    ISNUMBER(VALUE(LEFT($A28, 1))),
    "",
    IFERROR(IF(_xlfn.XLOOKUP($A28, INDIRECT("'" &amp; AB$2 &amp; "'!$A:$A"), INDIRECT("'" &amp; AB$2 &amp; "'!$B:$B"), "")&lt;&gt;"", "✓", "✗"), "✗")
)</f>
        <v>✓</v>
      </c>
      <c r="AC28" t="str" cm="1">
        <f t="array" aca="1" ref="AC28" ca="1">IF(
    ISNUMBER(VALUE(LEFT($A28, 1))),
    "",
    IFERROR(IF(_xlfn.XLOOKUP($A28, INDIRECT("'" &amp; AC$2 &amp; "'!$A:$A"), INDIRECT("'" &amp; AC$2 &amp; "'!$B:$B"), "")&lt;&gt;"", "✓", "✗"), "✗")
)</f>
        <v>✗</v>
      </c>
      <c r="AD28" t="str" cm="1">
        <f t="array" aca="1" ref="AD28" ca="1">IF(
    ISNUMBER(VALUE(LEFT($A28, 1))),
    "",
    IFERROR(IF(_xlfn.XLOOKUP($A28, INDIRECT("'" &amp; AD$2 &amp; "'!$A:$A"), INDIRECT("'" &amp; AD$2 &amp; "'!$B:$B"), "")&lt;&gt;"", "✓", "✗"), "✗")
)</f>
        <v>✗</v>
      </c>
      <c r="AE28" t="str" cm="1">
        <f t="array" aca="1" ref="AE28" ca="1">IF(
    ISNUMBER(VALUE(LEFT($A28, 1))),
    "",
    IFERROR(IF(_xlfn.XLOOKUP($A28, INDIRECT("'" &amp; AE$2 &amp; "'!$A:$A"), INDIRECT("'" &amp; AE$2 &amp; "'!$B:$B"), "")&lt;&gt;"", "✓", "✗"), "✗")
)</f>
        <v>✓</v>
      </c>
      <c r="AF28" t="str" cm="1">
        <f t="array" aca="1" ref="AF28" ca="1">IF(
    ISNUMBER(VALUE(LEFT($A28, 1))),
    "",
    IFERROR(IF(_xlfn.XLOOKUP($A28, INDIRECT("'" &amp; AF$2 &amp; "'!$A:$A"), INDIRECT("'" &amp; AF$2 &amp; "'!$B:$B"), "")&lt;&gt;"", "✓", "✗"), "✗")
)</f>
        <v>✓</v>
      </c>
      <c r="AG28" t="str" cm="1">
        <f t="array" aca="1" ref="AG28" ca="1">IF(
    ISNUMBER(VALUE(LEFT($A28, 1))),
    "",
    IFERROR(IF(_xlfn.XLOOKUP($A28, INDIRECT("'" &amp; AG$2 &amp; "'!$A:$A"), INDIRECT("'" &amp; AG$2 &amp; "'!$B:$B"), "")&lt;&gt;"", "✓", "✗"), "✗")
)</f>
        <v>✓</v>
      </c>
    </row>
    <row r="29" spans="1:33" x14ac:dyDescent="0.45">
      <c r="A29" t="str">
        <v>ORG Party ID</v>
      </c>
      <c r="B29" t="str" cm="1">
        <f t="array" aca="1" ref="B29" ca="1">IF(
    ISNUMBER(VALUE(LEFT($A29, 1))),
    "",
    IFERROR(IF(_xlfn.XLOOKUP($A29, INDIRECT("'" &amp; B$2 &amp; "'!$A:$A"), INDIRECT("'" &amp; B$2 &amp; "'!$B:$B"), "")&lt;&gt;"", "✓", "✗"), "✗")
)</f>
        <v>✓</v>
      </c>
      <c r="C29" t="str" cm="1">
        <f t="array" aca="1" ref="C29" ca="1">IF(
    ISNUMBER(VALUE(LEFT($A29, 1))),
    "",
    IFERROR(IF(_xlfn.XLOOKUP($A29, INDIRECT("'" &amp; C$2 &amp; "'!$A:$A"), INDIRECT("'" &amp; C$2 &amp; "'!$B:$B"), "")&lt;&gt;"", "✓", "✗"), "✗")
)</f>
        <v>✓</v>
      </c>
      <c r="D29" t="str" cm="1">
        <f t="array" aca="1" ref="D29" ca="1">IF(
    ISNUMBER(VALUE(LEFT($A29, 1))),
    "",
    IFERROR(IF(_xlfn.XLOOKUP($A29, INDIRECT("'" &amp; D$2 &amp; "'!$A:$A"), INDIRECT("'" &amp; D$2 &amp; "'!$B:$B"), "")&lt;&gt;"", "✓", "✗"), "✗")
)</f>
        <v>✓</v>
      </c>
      <c r="E29" t="str" cm="1">
        <f t="array" aca="1" ref="E29" ca="1">IF(
    ISNUMBER(VALUE(LEFT($A29, 1))),
    "",
    IFERROR(IF(_xlfn.XLOOKUP($A29, INDIRECT("'" &amp; E$2 &amp; "'!$A:$A"), INDIRECT("'" &amp; E$2 &amp; "'!$B:$B"), "")&lt;&gt;"", "✓", "✗"), "✗")
)</f>
        <v>✓</v>
      </c>
      <c r="F29" t="str" cm="1">
        <f t="array" aca="1" ref="F29" ca="1">IF(
    ISNUMBER(VALUE(LEFT($A29, 1))),
    "",
    IFERROR(IF(_xlfn.XLOOKUP($A29, INDIRECT("'" &amp; F$2 &amp; "'!$A:$A"), INDIRECT("'" &amp; F$2 &amp; "'!$B:$B"), "")&lt;&gt;"", "✓", "✗"), "✗")
)</f>
        <v>✓</v>
      </c>
      <c r="G29" t="str" cm="1">
        <f t="array" aca="1" ref="G29" ca="1">IF(
    ISNUMBER(VALUE(LEFT($A29, 1))),
    "",
    IFERROR(IF(_xlfn.XLOOKUP($A29, INDIRECT("'" &amp; G$2 &amp; "'!$A:$A"), INDIRECT("'" &amp; G$2 &amp; "'!$B:$B"), "")&lt;&gt;"", "✓", "✗"), "✗")
)</f>
        <v>✓</v>
      </c>
      <c r="H29" t="str" cm="1">
        <f t="array" aca="1" ref="H29" ca="1">IF(
    ISNUMBER(VALUE(LEFT($A29, 1))),
    "",
    IFERROR(IF(_xlfn.XLOOKUP($A29, INDIRECT("'" &amp; H$2 &amp; "'!$A:$A"), INDIRECT("'" &amp; H$2 &amp; "'!$B:$B"), "")&lt;&gt;"", "✓", "✗"), "✗")
)</f>
        <v>✓</v>
      </c>
      <c r="I29" t="str" cm="1">
        <f t="array" aca="1" ref="I29" ca="1">IF(
    ISNUMBER(VALUE(LEFT($A29, 1))),
    "",
    IFERROR(IF(_xlfn.XLOOKUP($A29, INDIRECT("'" &amp; I$2 &amp; "'!$A:$A"), INDIRECT("'" &amp; I$2 &amp; "'!$B:$B"), "")&lt;&gt;"", "✓", "✗"), "✗")
)</f>
        <v>✓</v>
      </c>
      <c r="J29" t="str" cm="1">
        <f t="array" aca="1" ref="J29" ca="1">IF(
    ISNUMBER(VALUE(LEFT($A29, 1))),
    "",
    IFERROR(IF(_xlfn.XLOOKUP($A29, INDIRECT("'" &amp; J$2 &amp; "'!$A:$A"), INDIRECT("'" &amp; J$2 &amp; "'!$B:$B"), "")&lt;&gt;"", "✓", "✗"), "✗")
)</f>
        <v>✓</v>
      </c>
      <c r="K29" t="str" cm="1">
        <f t="array" aca="1" ref="K29" ca="1">IF(
    ISNUMBER(VALUE(LEFT($A29, 1))),
    "",
    IFERROR(IF(_xlfn.XLOOKUP($A29, INDIRECT("'" &amp; K$2 &amp; "'!$A:$A"), INDIRECT("'" &amp; K$2 &amp; "'!$B:$B"), "")&lt;&gt;"", "✓", "✗"), "✗")
)</f>
        <v>✓</v>
      </c>
      <c r="L29" t="str" cm="1">
        <f t="array" aca="1" ref="L29" ca="1">IF(
    ISNUMBER(VALUE(LEFT($A29, 1))),
    "",
    IFERROR(IF(_xlfn.XLOOKUP($A29, INDIRECT("'" &amp; L$2 &amp; "'!$A:$A"), INDIRECT("'" &amp; L$2 &amp; "'!$B:$B"), "")&lt;&gt;"", "✓", "✗"), "✗")
)</f>
        <v>✓</v>
      </c>
      <c r="M29" t="str" cm="1">
        <f t="array" aca="1" ref="M29" ca="1">IF(
    ISNUMBER(VALUE(LEFT($A29, 1))),
    "",
    IFERROR(IF(_xlfn.XLOOKUP($A29, INDIRECT("'" &amp; M$2 &amp; "'!$A:$A"), INDIRECT("'" &amp; M$2 &amp; "'!$B:$B"), "")&lt;&gt;"", "✓", "✗"), "✗")
)</f>
        <v>✓</v>
      </c>
      <c r="N29" t="str" cm="1">
        <f t="array" aca="1" ref="N29" ca="1">IF(
    ISNUMBER(VALUE(LEFT($A29, 1))),
    "",
    IFERROR(IF(_xlfn.XLOOKUP($A29, INDIRECT("'" &amp; N$2 &amp; "'!$A:$A"), INDIRECT("'" &amp; N$2 &amp; "'!$B:$B"), "")&lt;&gt;"", "✓", "✗"), "✗")
)</f>
        <v>✓</v>
      </c>
      <c r="O29" t="str" cm="1">
        <f t="array" aca="1" ref="O29" ca="1">IF(
    ISNUMBER(VALUE(LEFT($A29, 1))),
    "",
    IFERROR(IF(_xlfn.XLOOKUP($A29, INDIRECT("'" &amp; O$2 &amp; "'!$A:$A"), INDIRECT("'" &amp; O$2 &amp; "'!$B:$B"), "")&lt;&gt;"", "✓", "✗"), "✗")
)</f>
        <v>✓</v>
      </c>
      <c r="P29" t="str" cm="1">
        <f t="array" aca="1" ref="P29" ca="1">IF(
    ISNUMBER(VALUE(LEFT($A29, 1))),
    "",
    IFERROR(IF(_xlfn.XLOOKUP($A29, INDIRECT("'" &amp; P$2 &amp; "'!$A:$A"), INDIRECT("'" &amp; P$2 &amp; "'!$B:$B"), "")&lt;&gt;"", "✓", "✗"), "✗")
)</f>
        <v>✓</v>
      </c>
      <c r="Q29" t="str" cm="1">
        <f t="array" aca="1" ref="Q29" ca="1">IF(
    ISNUMBER(VALUE(LEFT($A29, 1))),
    "",
    IFERROR(IF(_xlfn.XLOOKUP($A29, INDIRECT("'" &amp; Q$2 &amp; "'!$A:$A"), INDIRECT("'" &amp; Q$2 &amp; "'!$B:$B"), "")&lt;&gt;"", "✓", "✗"), "✗")
)</f>
        <v>✓</v>
      </c>
      <c r="R29" t="str" cm="1">
        <f t="array" aca="1" ref="R29" ca="1">IF(
    ISNUMBER(VALUE(LEFT($A29, 1))),
    "",
    IFERROR(IF(_xlfn.XLOOKUP($A29, INDIRECT("'" &amp; R$2 &amp; "'!$A:$A"), INDIRECT("'" &amp; R$2 &amp; "'!$B:$B"), "")&lt;&gt;"", "✓", "✗"), "✗")
)</f>
        <v>✓</v>
      </c>
      <c r="S29" t="str" cm="1">
        <f t="array" aca="1" ref="S29" ca="1">IF(
    ISNUMBER(VALUE(LEFT($A29, 1))),
    "",
    IFERROR(IF(_xlfn.XLOOKUP($A29, INDIRECT("'" &amp; S$2 &amp; "'!$A:$A"), INDIRECT("'" &amp; S$2 &amp; "'!$B:$B"), "")&lt;&gt;"", "✓", "✗"), "✗")
)</f>
        <v>✓</v>
      </c>
      <c r="T29" t="str" cm="1">
        <f t="array" aca="1" ref="T29" ca="1">IF(
    ISNUMBER(VALUE(LEFT($A29, 1))),
    "",
    IFERROR(IF(_xlfn.XLOOKUP($A29, INDIRECT("'" &amp; T$2 &amp; "'!$A:$A"), INDIRECT("'" &amp; T$2 &amp; "'!$B:$B"), "")&lt;&gt;"", "✓", "✗"), "✗")
)</f>
        <v>✓</v>
      </c>
      <c r="U29" t="str" cm="1">
        <f t="array" aca="1" ref="U29" ca="1">IF(
    ISNUMBER(VALUE(LEFT($A29, 1))),
    "",
    IFERROR(IF(_xlfn.XLOOKUP($A29, INDIRECT("'" &amp; U$2 &amp; "'!$A:$A"), INDIRECT("'" &amp; U$2 &amp; "'!$B:$B"), "")&lt;&gt;"", "✓", "✗"), "✗")
)</f>
        <v>✓</v>
      </c>
      <c r="V29" t="str" cm="1">
        <f t="array" aca="1" ref="V29" ca="1">IF(
    ISNUMBER(VALUE(LEFT($A29, 1))),
    "",
    IFERROR(IF(_xlfn.XLOOKUP($A29, INDIRECT("'" &amp; V$2 &amp; "'!$A:$A"), INDIRECT("'" &amp; V$2 &amp; "'!$B:$B"), "")&lt;&gt;"", "✓", "✗"), "✗")
)</f>
        <v>✓</v>
      </c>
      <c r="W29" t="str" cm="1">
        <f t="array" aca="1" ref="W29" ca="1">IF(
    ISNUMBER(VALUE(LEFT($A29, 1))),
    "",
    IFERROR(IF(_xlfn.XLOOKUP($A29, INDIRECT("'" &amp; W$2 &amp; "'!$A:$A"), INDIRECT("'" &amp; W$2 &amp; "'!$B:$B"), "")&lt;&gt;"", "✓", "✗"), "✗")
)</f>
        <v>✓</v>
      </c>
      <c r="X29" t="str" cm="1">
        <f t="array" aca="1" ref="X29" ca="1">IF(
    ISNUMBER(VALUE(LEFT($A29, 1))),
    "",
    IFERROR(IF(_xlfn.XLOOKUP($A29, INDIRECT("'" &amp; X$2 &amp; "'!$A:$A"), INDIRECT("'" &amp; X$2 &amp; "'!$B:$B"), "")&lt;&gt;"", "✓", "✗"), "✗")
)</f>
        <v>✓</v>
      </c>
      <c r="Y29" t="str" cm="1">
        <f t="array" aca="1" ref="Y29" ca="1">IF(
    ISNUMBER(VALUE(LEFT($A29, 1))),
    "",
    IFERROR(IF(_xlfn.XLOOKUP($A29, INDIRECT("'" &amp; Y$2 &amp; "'!$A:$A"), INDIRECT("'" &amp; Y$2 &amp; "'!$B:$B"), "")&lt;&gt;"", "✓", "✗"), "✗")
)</f>
        <v>✓</v>
      </c>
      <c r="Z29" t="str" cm="1">
        <f t="array" aca="1" ref="Z29" ca="1">IF(
    ISNUMBER(VALUE(LEFT($A29, 1))),
    "",
    IFERROR(IF(_xlfn.XLOOKUP($A29, INDIRECT("'" &amp; Z$2 &amp; "'!$A:$A"), INDIRECT("'" &amp; Z$2 &amp; "'!$B:$B"), "")&lt;&gt;"", "✓", "✗"), "✗")
)</f>
        <v>✓</v>
      </c>
      <c r="AA29" t="str" cm="1">
        <f t="array" aca="1" ref="AA29" ca="1">IF(
    ISNUMBER(VALUE(LEFT($A29, 1))),
    "",
    IFERROR(IF(_xlfn.XLOOKUP($A29, INDIRECT("'" &amp; AA$2 &amp; "'!$A:$A"), INDIRECT("'" &amp; AA$2 &amp; "'!$B:$B"), "")&lt;&gt;"", "✓", "✗"), "✗")
)</f>
        <v>✓</v>
      </c>
      <c r="AB29" t="str" cm="1">
        <f t="array" aca="1" ref="AB29" ca="1">IF(
    ISNUMBER(VALUE(LEFT($A29, 1))),
    "",
    IFERROR(IF(_xlfn.XLOOKUP($A29, INDIRECT("'" &amp; AB$2 &amp; "'!$A:$A"), INDIRECT("'" &amp; AB$2 &amp; "'!$B:$B"), "")&lt;&gt;"", "✓", "✗"), "✗")
)</f>
        <v>✓</v>
      </c>
      <c r="AC29" t="str" cm="1">
        <f t="array" aca="1" ref="AC29" ca="1">IF(
    ISNUMBER(VALUE(LEFT($A29, 1))),
    "",
    IFERROR(IF(_xlfn.XLOOKUP($A29, INDIRECT("'" &amp; AC$2 &amp; "'!$A:$A"), INDIRECT("'" &amp; AC$2 &amp; "'!$B:$B"), "")&lt;&gt;"", "✓", "✗"), "✗")
)</f>
        <v>✗</v>
      </c>
      <c r="AD29" t="str" cm="1">
        <f t="array" aca="1" ref="AD29" ca="1">IF(
    ISNUMBER(VALUE(LEFT($A29, 1))),
    "",
    IFERROR(IF(_xlfn.XLOOKUP($A29, INDIRECT("'" &amp; AD$2 &amp; "'!$A:$A"), INDIRECT("'" &amp; AD$2 &amp; "'!$B:$B"), "")&lt;&gt;"", "✓", "✗"), "✗")
)</f>
        <v>✗</v>
      </c>
      <c r="AE29" t="str" cm="1">
        <f t="array" aca="1" ref="AE29" ca="1">IF(
    ISNUMBER(VALUE(LEFT($A29, 1))),
    "",
    IFERROR(IF(_xlfn.XLOOKUP($A29, INDIRECT("'" &amp; AE$2 &amp; "'!$A:$A"), INDIRECT("'" &amp; AE$2 &amp; "'!$B:$B"), "")&lt;&gt;"", "✓", "✗"), "✗")
)</f>
        <v>✓</v>
      </c>
      <c r="AF29" t="str" cm="1">
        <f t="array" aca="1" ref="AF29" ca="1">IF(
    ISNUMBER(VALUE(LEFT($A29, 1))),
    "",
    IFERROR(IF(_xlfn.XLOOKUP($A29, INDIRECT("'" &amp; AF$2 &amp; "'!$A:$A"), INDIRECT("'" &amp; AF$2 &amp; "'!$B:$B"), "")&lt;&gt;"", "✓", "✗"), "✗")
)</f>
        <v>✓</v>
      </c>
      <c r="AG29" t="str" cm="1">
        <f t="array" aca="1" ref="AG29" ca="1">IF(
    ISNUMBER(VALUE(LEFT($A29, 1))),
    "",
    IFERROR(IF(_xlfn.XLOOKUP($A29, INDIRECT("'" &amp; AG$2 &amp; "'!$A:$A"), INDIRECT("'" &amp; AG$2 &amp; "'!$B:$B"), "")&lt;&gt;"", "✓", "✗"), "✗")
)</f>
        <v>✓</v>
      </c>
    </row>
    <row r="30" spans="1:33" x14ac:dyDescent="0.45">
      <c r="A30" t="str">
        <v>Address Line 1</v>
      </c>
      <c r="B30" t="str" cm="1">
        <f t="array" aca="1" ref="B30" ca="1">IF(
    ISNUMBER(VALUE(LEFT($A30, 1))),
    "",
    IFERROR(IF(_xlfn.XLOOKUP($A30, INDIRECT("'" &amp; B$2 &amp; "'!$A:$A"), INDIRECT("'" &amp; B$2 &amp; "'!$B:$B"), "")&lt;&gt;"", "✓", "✗"), "✗")
)</f>
        <v>✓</v>
      </c>
      <c r="C30" t="str" cm="1">
        <f t="array" aca="1" ref="C30" ca="1">IF(
    ISNUMBER(VALUE(LEFT($A30, 1))),
    "",
    IFERROR(IF(_xlfn.XLOOKUP($A30, INDIRECT("'" &amp; C$2 &amp; "'!$A:$A"), INDIRECT("'" &amp; C$2 &amp; "'!$B:$B"), "")&lt;&gt;"", "✓", "✗"), "✗")
)</f>
        <v>✓</v>
      </c>
      <c r="D30" t="str" cm="1">
        <f t="array" aca="1" ref="D30" ca="1">IF(
    ISNUMBER(VALUE(LEFT($A30, 1))),
    "",
    IFERROR(IF(_xlfn.XLOOKUP($A30, INDIRECT("'" &amp; D$2 &amp; "'!$A:$A"), INDIRECT("'" &amp; D$2 &amp; "'!$B:$B"), "")&lt;&gt;"", "✓", "✗"), "✗")
)</f>
        <v>✓</v>
      </c>
      <c r="E30" t="str" cm="1">
        <f t="array" aca="1" ref="E30" ca="1">IF(
    ISNUMBER(VALUE(LEFT($A30, 1))),
    "",
    IFERROR(IF(_xlfn.XLOOKUP($A30, INDIRECT("'" &amp; E$2 &amp; "'!$A:$A"), INDIRECT("'" &amp; E$2 &amp; "'!$B:$B"), "")&lt;&gt;"", "✓", "✗"), "✗")
)</f>
        <v>✓</v>
      </c>
      <c r="F30" t="str" cm="1">
        <f t="array" aca="1" ref="F30" ca="1">IF(
    ISNUMBER(VALUE(LEFT($A30, 1))),
    "",
    IFERROR(IF(_xlfn.XLOOKUP($A30, INDIRECT("'" &amp; F$2 &amp; "'!$A:$A"), INDIRECT("'" &amp; F$2 &amp; "'!$B:$B"), "")&lt;&gt;"", "✓", "✗"), "✗")
)</f>
        <v>✓</v>
      </c>
      <c r="G30" t="str" cm="1">
        <f t="array" aca="1" ref="G30" ca="1">IF(
    ISNUMBER(VALUE(LEFT($A30, 1))),
    "",
    IFERROR(IF(_xlfn.XLOOKUP($A30, INDIRECT("'" &amp; G$2 &amp; "'!$A:$A"), INDIRECT("'" &amp; G$2 &amp; "'!$B:$B"), "")&lt;&gt;"", "✓", "✗"), "✗")
)</f>
        <v>✓</v>
      </c>
      <c r="H30" t="str" cm="1">
        <f t="array" aca="1" ref="H30" ca="1">IF(
    ISNUMBER(VALUE(LEFT($A30, 1))),
    "",
    IFERROR(IF(_xlfn.XLOOKUP($A30, INDIRECT("'" &amp; H$2 &amp; "'!$A:$A"), INDIRECT("'" &amp; H$2 &amp; "'!$B:$B"), "")&lt;&gt;"", "✓", "✗"), "✗")
)</f>
        <v>✓</v>
      </c>
      <c r="I30" t="str" cm="1">
        <f t="array" aca="1" ref="I30" ca="1">IF(
    ISNUMBER(VALUE(LEFT($A30, 1))),
    "",
    IFERROR(IF(_xlfn.XLOOKUP($A30, INDIRECT("'" &amp; I$2 &amp; "'!$A:$A"), INDIRECT("'" &amp; I$2 &amp; "'!$B:$B"), "")&lt;&gt;"", "✓", "✗"), "✗")
)</f>
        <v>✓</v>
      </c>
      <c r="J30" t="str" cm="1">
        <f t="array" aca="1" ref="J30" ca="1">IF(
    ISNUMBER(VALUE(LEFT($A30, 1))),
    "",
    IFERROR(IF(_xlfn.XLOOKUP($A30, INDIRECT("'" &amp; J$2 &amp; "'!$A:$A"), INDIRECT("'" &amp; J$2 &amp; "'!$B:$B"), "")&lt;&gt;"", "✓", "✗"), "✗")
)</f>
        <v>✓</v>
      </c>
      <c r="K30" t="str" cm="1">
        <f t="array" aca="1" ref="K30" ca="1">IF(
    ISNUMBER(VALUE(LEFT($A30, 1))),
    "",
    IFERROR(IF(_xlfn.XLOOKUP($A30, INDIRECT("'" &amp; K$2 &amp; "'!$A:$A"), INDIRECT("'" &amp; K$2 &amp; "'!$B:$B"), "")&lt;&gt;"", "✓", "✗"), "✗")
)</f>
        <v>✓</v>
      </c>
      <c r="L30" t="str" cm="1">
        <f t="array" aca="1" ref="L30" ca="1">IF(
    ISNUMBER(VALUE(LEFT($A30, 1))),
    "",
    IFERROR(IF(_xlfn.XLOOKUP($A30, INDIRECT("'" &amp; L$2 &amp; "'!$A:$A"), INDIRECT("'" &amp; L$2 &amp; "'!$B:$B"), "")&lt;&gt;"", "✓", "✗"), "✗")
)</f>
        <v>✓</v>
      </c>
      <c r="M30" t="str" cm="1">
        <f t="array" aca="1" ref="M30" ca="1">IF(
    ISNUMBER(VALUE(LEFT($A30, 1))),
    "",
    IFERROR(IF(_xlfn.XLOOKUP($A30, INDIRECT("'" &amp; M$2 &amp; "'!$A:$A"), INDIRECT("'" &amp; M$2 &amp; "'!$B:$B"), "")&lt;&gt;"", "✓", "✗"), "✗")
)</f>
        <v>✓</v>
      </c>
      <c r="N30" t="str" cm="1">
        <f t="array" aca="1" ref="N30" ca="1">IF(
    ISNUMBER(VALUE(LEFT($A30, 1))),
    "",
    IFERROR(IF(_xlfn.XLOOKUP($A30, INDIRECT("'" &amp; N$2 &amp; "'!$A:$A"), INDIRECT("'" &amp; N$2 &amp; "'!$B:$B"), "")&lt;&gt;"", "✓", "✗"), "✗")
)</f>
        <v>✓</v>
      </c>
      <c r="O30" t="str" cm="1">
        <f t="array" aca="1" ref="O30" ca="1">IF(
    ISNUMBER(VALUE(LEFT($A30, 1))),
    "",
    IFERROR(IF(_xlfn.XLOOKUP($A30, INDIRECT("'" &amp; O$2 &amp; "'!$A:$A"), INDIRECT("'" &amp; O$2 &amp; "'!$B:$B"), "")&lt;&gt;"", "✓", "✗"), "✗")
)</f>
        <v>✓</v>
      </c>
      <c r="P30" t="str" cm="1">
        <f t="array" aca="1" ref="P30" ca="1">IF(
    ISNUMBER(VALUE(LEFT($A30, 1))),
    "",
    IFERROR(IF(_xlfn.XLOOKUP($A30, INDIRECT("'" &amp; P$2 &amp; "'!$A:$A"), INDIRECT("'" &amp; P$2 &amp; "'!$B:$B"), "")&lt;&gt;"", "✓", "✗"), "✗")
)</f>
        <v>✓</v>
      </c>
      <c r="Q30" t="str" cm="1">
        <f t="array" aca="1" ref="Q30" ca="1">IF(
    ISNUMBER(VALUE(LEFT($A30, 1))),
    "",
    IFERROR(IF(_xlfn.XLOOKUP($A30, INDIRECT("'" &amp; Q$2 &amp; "'!$A:$A"), INDIRECT("'" &amp; Q$2 &amp; "'!$B:$B"), "")&lt;&gt;"", "✓", "✗"), "✗")
)</f>
        <v>✓</v>
      </c>
      <c r="R30" t="str" cm="1">
        <f t="array" aca="1" ref="R30" ca="1">IF(
    ISNUMBER(VALUE(LEFT($A30, 1))),
    "",
    IFERROR(IF(_xlfn.XLOOKUP($A30, INDIRECT("'" &amp; R$2 &amp; "'!$A:$A"), INDIRECT("'" &amp; R$2 &amp; "'!$B:$B"), "")&lt;&gt;"", "✓", "✗"), "✗")
)</f>
        <v>✓</v>
      </c>
      <c r="S30" t="str" cm="1">
        <f t="array" aca="1" ref="S30" ca="1">IF(
    ISNUMBER(VALUE(LEFT($A30, 1))),
    "",
    IFERROR(IF(_xlfn.XLOOKUP($A30, INDIRECT("'" &amp; S$2 &amp; "'!$A:$A"), INDIRECT("'" &amp; S$2 &amp; "'!$B:$B"), "")&lt;&gt;"", "✓", "✗"), "✗")
)</f>
        <v>✓</v>
      </c>
      <c r="T30" t="str" cm="1">
        <f t="array" aca="1" ref="T30" ca="1">IF(
    ISNUMBER(VALUE(LEFT($A30, 1))),
    "",
    IFERROR(IF(_xlfn.XLOOKUP($A30, INDIRECT("'" &amp; T$2 &amp; "'!$A:$A"), INDIRECT("'" &amp; T$2 &amp; "'!$B:$B"), "")&lt;&gt;"", "✓", "✗"), "✗")
)</f>
        <v>✓</v>
      </c>
      <c r="U30" t="str" cm="1">
        <f t="array" aca="1" ref="U30" ca="1">IF(
    ISNUMBER(VALUE(LEFT($A30, 1))),
    "",
    IFERROR(IF(_xlfn.XLOOKUP($A30, INDIRECT("'" &amp; U$2 &amp; "'!$A:$A"), INDIRECT("'" &amp; U$2 &amp; "'!$B:$B"), "")&lt;&gt;"", "✓", "✗"), "✗")
)</f>
        <v>✓</v>
      </c>
      <c r="V30" t="str" cm="1">
        <f t="array" aca="1" ref="V30" ca="1">IF(
    ISNUMBER(VALUE(LEFT($A30, 1))),
    "",
    IFERROR(IF(_xlfn.XLOOKUP($A30, INDIRECT("'" &amp; V$2 &amp; "'!$A:$A"), INDIRECT("'" &amp; V$2 &amp; "'!$B:$B"), "")&lt;&gt;"", "✓", "✗"), "✗")
)</f>
        <v>✓</v>
      </c>
      <c r="W30" t="str" cm="1">
        <f t="array" aca="1" ref="W30" ca="1">IF(
    ISNUMBER(VALUE(LEFT($A30, 1))),
    "",
    IFERROR(IF(_xlfn.XLOOKUP($A30, INDIRECT("'" &amp; W$2 &amp; "'!$A:$A"), INDIRECT("'" &amp; W$2 &amp; "'!$B:$B"), "")&lt;&gt;"", "✓", "✗"), "✗")
)</f>
        <v>✓</v>
      </c>
      <c r="X30" t="str" cm="1">
        <f t="array" aca="1" ref="X30" ca="1">IF(
    ISNUMBER(VALUE(LEFT($A30, 1))),
    "",
    IFERROR(IF(_xlfn.XLOOKUP($A30, INDIRECT("'" &amp; X$2 &amp; "'!$A:$A"), INDIRECT("'" &amp; X$2 &amp; "'!$B:$B"), "")&lt;&gt;"", "✓", "✗"), "✗")
)</f>
        <v>✓</v>
      </c>
      <c r="Y30" t="str" cm="1">
        <f t="array" aca="1" ref="Y30" ca="1">IF(
    ISNUMBER(VALUE(LEFT($A30, 1))),
    "",
    IFERROR(IF(_xlfn.XLOOKUP($A30, INDIRECT("'" &amp; Y$2 &amp; "'!$A:$A"), INDIRECT("'" &amp; Y$2 &amp; "'!$B:$B"), "")&lt;&gt;"", "✓", "✗"), "✗")
)</f>
        <v>✓</v>
      </c>
      <c r="Z30" t="str" cm="1">
        <f t="array" aca="1" ref="Z30" ca="1">IF(
    ISNUMBER(VALUE(LEFT($A30, 1))),
    "",
    IFERROR(IF(_xlfn.XLOOKUP($A30, INDIRECT("'" &amp; Z$2 &amp; "'!$A:$A"), INDIRECT("'" &amp; Z$2 &amp; "'!$B:$B"), "")&lt;&gt;"", "✓", "✗"), "✗")
)</f>
        <v>✓</v>
      </c>
      <c r="AA30" t="str" cm="1">
        <f t="array" aca="1" ref="AA30" ca="1">IF(
    ISNUMBER(VALUE(LEFT($A30, 1))),
    "",
    IFERROR(IF(_xlfn.XLOOKUP($A30, INDIRECT("'" &amp; AA$2 &amp; "'!$A:$A"), INDIRECT("'" &amp; AA$2 &amp; "'!$B:$B"), "")&lt;&gt;"", "✓", "✗"), "✗")
)</f>
        <v>✓</v>
      </c>
      <c r="AB30" t="str" cm="1">
        <f t="array" aca="1" ref="AB30" ca="1">IF(
    ISNUMBER(VALUE(LEFT($A30, 1))),
    "",
    IFERROR(IF(_xlfn.XLOOKUP($A30, INDIRECT("'" &amp; AB$2 &amp; "'!$A:$A"), INDIRECT("'" &amp; AB$2 &amp; "'!$B:$B"), "")&lt;&gt;"", "✓", "✗"), "✗")
)</f>
        <v>✓</v>
      </c>
      <c r="AC30" t="str" cm="1">
        <f t="array" aca="1" ref="AC30" ca="1">IF(
    ISNUMBER(VALUE(LEFT($A30, 1))),
    "",
    IFERROR(IF(_xlfn.XLOOKUP($A30, INDIRECT("'" &amp; AC$2 &amp; "'!$A:$A"), INDIRECT("'" &amp; AC$2 &amp; "'!$B:$B"), "")&lt;&gt;"", "✓", "✗"), "✗")
)</f>
        <v>✗</v>
      </c>
      <c r="AD30" t="str" cm="1">
        <f t="array" aca="1" ref="AD30" ca="1">IF(
    ISNUMBER(VALUE(LEFT($A30, 1))),
    "",
    IFERROR(IF(_xlfn.XLOOKUP($A30, INDIRECT("'" &amp; AD$2 &amp; "'!$A:$A"), INDIRECT("'" &amp; AD$2 &amp; "'!$B:$B"), "")&lt;&gt;"", "✓", "✗"), "✗")
)</f>
        <v>✗</v>
      </c>
      <c r="AE30" t="str" cm="1">
        <f t="array" aca="1" ref="AE30" ca="1">IF(
    ISNUMBER(VALUE(LEFT($A30, 1))),
    "",
    IFERROR(IF(_xlfn.XLOOKUP($A30, INDIRECT("'" &amp; AE$2 &amp; "'!$A:$A"), INDIRECT("'" &amp; AE$2 &amp; "'!$B:$B"), "")&lt;&gt;"", "✓", "✗"), "✗")
)</f>
        <v>✓</v>
      </c>
      <c r="AF30" t="str" cm="1">
        <f t="array" aca="1" ref="AF30" ca="1">IF(
    ISNUMBER(VALUE(LEFT($A30, 1))),
    "",
    IFERROR(IF(_xlfn.XLOOKUP($A30, INDIRECT("'" &amp; AF$2 &amp; "'!$A:$A"), INDIRECT("'" &amp; AF$2 &amp; "'!$B:$B"), "")&lt;&gt;"", "✓", "✗"), "✗")
)</f>
        <v>✓</v>
      </c>
      <c r="AG30" t="str" cm="1">
        <f t="array" aca="1" ref="AG30" ca="1">IF(
    ISNUMBER(VALUE(LEFT($A30, 1))),
    "",
    IFERROR(IF(_xlfn.XLOOKUP($A30, INDIRECT("'" &amp; AG$2 &amp; "'!$A:$A"), INDIRECT("'" &amp; AG$2 &amp; "'!$B:$B"), "")&lt;&gt;"", "✓", "✗"), "✗")
)</f>
        <v>✓</v>
      </c>
    </row>
    <row r="31" spans="1:33" x14ac:dyDescent="0.45">
      <c r="A31" t="str">
        <v>City</v>
      </c>
      <c r="B31" t="str" cm="1">
        <f t="array" aca="1" ref="B31" ca="1">IF(
    ISNUMBER(VALUE(LEFT($A31, 1))),
    "",
    IFERROR(IF(_xlfn.XLOOKUP($A31, INDIRECT("'" &amp; B$2 &amp; "'!$A:$A"), INDIRECT("'" &amp; B$2 &amp; "'!$B:$B"), "")&lt;&gt;"", "✓", "✗"), "✗")
)</f>
        <v>✓</v>
      </c>
      <c r="C31" t="str" cm="1">
        <f t="array" aca="1" ref="C31" ca="1">IF(
    ISNUMBER(VALUE(LEFT($A31, 1))),
    "",
    IFERROR(IF(_xlfn.XLOOKUP($A31, INDIRECT("'" &amp; C$2 &amp; "'!$A:$A"), INDIRECT("'" &amp; C$2 &amp; "'!$B:$B"), "")&lt;&gt;"", "✓", "✗"), "✗")
)</f>
        <v>✓</v>
      </c>
      <c r="D31" t="str" cm="1">
        <f t="array" aca="1" ref="D31" ca="1">IF(
    ISNUMBER(VALUE(LEFT($A31, 1))),
    "",
    IFERROR(IF(_xlfn.XLOOKUP($A31, INDIRECT("'" &amp; D$2 &amp; "'!$A:$A"), INDIRECT("'" &amp; D$2 &amp; "'!$B:$B"), "")&lt;&gt;"", "✓", "✗"), "✗")
)</f>
        <v>✓</v>
      </c>
      <c r="E31" t="str" cm="1">
        <f t="array" aca="1" ref="E31" ca="1">IF(
    ISNUMBER(VALUE(LEFT($A31, 1))),
    "",
    IFERROR(IF(_xlfn.XLOOKUP($A31, INDIRECT("'" &amp; E$2 &amp; "'!$A:$A"), INDIRECT("'" &amp; E$2 &amp; "'!$B:$B"), "")&lt;&gt;"", "✓", "✗"), "✗")
)</f>
        <v>✓</v>
      </c>
      <c r="F31" t="str" cm="1">
        <f t="array" aca="1" ref="F31" ca="1">IF(
    ISNUMBER(VALUE(LEFT($A31, 1))),
    "",
    IFERROR(IF(_xlfn.XLOOKUP($A31, INDIRECT("'" &amp; F$2 &amp; "'!$A:$A"), INDIRECT("'" &amp; F$2 &amp; "'!$B:$B"), "")&lt;&gt;"", "✓", "✗"), "✗")
)</f>
        <v>✓</v>
      </c>
      <c r="G31" t="str" cm="1">
        <f t="array" aca="1" ref="G31" ca="1">IF(
    ISNUMBER(VALUE(LEFT($A31, 1))),
    "",
    IFERROR(IF(_xlfn.XLOOKUP($A31, INDIRECT("'" &amp; G$2 &amp; "'!$A:$A"), INDIRECT("'" &amp; G$2 &amp; "'!$B:$B"), "")&lt;&gt;"", "✓", "✗"), "✗")
)</f>
        <v>✓</v>
      </c>
      <c r="H31" t="str" cm="1">
        <f t="array" aca="1" ref="H31" ca="1">IF(
    ISNUMBER(VALUE(LEFT($A31, 1))),
    "",
    IFERROR(IF(_xlfn.XLOOKUP($A31, INDIRECT("'" &amp; H$2 &amp; "'!$A:$A"), INDIRECT("'" &amp; H$2 &amp; "'!$B:$B"), "")&lt;&gt;"", "✓", "✗"), "✗")
)</f>
        <v>✓</v>
      </c>
      <c r="I31" t="str" cm="1">
        <f t="array" aca="1" ref="I31" ca="1">IF(
    ISNUMBER(VALUE(LEFT($A31, 1))),
    "",
    IFERROR(IF(_xlfn.XLOOKUP($A31, INDIRECT("'" &amp; I$2 &amp; "'!$A:$A"), INDIRECT("'" &amp; I$2 &amp; "'!$B:$B"), "")&lt;&gt;"", "✓", "✗"), "✗")
)</f>
        <v>✓</v>
      </c>
      <c r="J31" t="str" cm="1">
        <f t="array" aca="1" ref="J31" ca="1">IF(
    ISNUMBER(VALUE(LEFT($A31, 1))),
    "",
    IFERROR(IF(_xlfn.XLOOKUP($A31, INDIRECT("'" &amp; J$2 &amp; "'!$A:$A"), INDIRECT("'" &amp; J$2 &amp; "'!$B:$B"), "")&lt;&gt;"", "✓", "✗"), "✗")
)</f>
        <v>✓</v>
      </c>
      <c r="K31" t="str" cm="1">
        <f t="array" aca="1" ref="K31" ca="1">IF(
    ISNUMBER(VALUE(LEFT($A31, 1))),
    "",
    IFERROR(IF(_xlfn.XLOOKUP($A31, INDIRECT("'" &amp; K$2 &amp; "'!$A:$A"), INDIRECT("'" &amp; K$2 &amp; "'!$B:$B"), "")&lt;&gt;"", "✓", "✗"), "✗")
)</f>
        <v>✓</v>
      </c>
      <c r="L31" t="str" cm="1">
        <f t="array" aca="1" ref="L31" ca="1">IF(
    ISNUMBER(VALUE(LEFT($A31, 1))),
    "",
    IFERROR(IF(_xlfn.XLOOKUP($A31, INDIRECT("'" &amp; L$2 &amp; "'!$A:$A"), INDIRECT("'" &amp; L$2 &amp; "'!$B:$B"), "")&lt;&gt;"", "✓", "✗"), "✗")
)</f>
        <v>✓</v>
      </c>
      <c r="M31" t="str" cm="1">
        <f t="array" aca="1" ref="M31" ca="1">IF(
    ISNUMBER(VALUE(LEFT($A31, 1))),
    "",
    IFERROR(IF(_xlfn.XLOOKUP($A31, INDIRECT("'" &amp; M$2 &amp; "'!$A:$A"), INDIRECT("'" &amp; M$2 &amp; "'!$B:$B"), "")&lt;&gt;"", "✓", "✗"), "✗")
)</f>
        <v>✓</v>
      </c>
      <c r="N31" t="str" cm="1">
        <f t="array" aca="1" ref="N31" ca="1">IF(
    ISNUMBER(VALUE(LEFT($A31, 1))),
    "",
    IFERROR(IF(_xlfn.XLOOKUP($A31, INDIRECT("'" &amp; N$2 &amp; "'!$A:$A"), INDIRECT("'" &amp; N$2 &amp; "'!$B:$B"), "")&lt;&gt;"", "✓", "✗"), "✗")
)</f>
        <v>✓</v>
      </c>
      <c r="O31" t="str" cm="1">
        <f t="array" aca="1" ref="O31" ca="1">IF(
    ISNUMBER(VALUE(LEFT($A31, 1))),
    "",
    IFERROR(IF(_xlfn.XLOOKUP($A31, INDIRECT("'" &amp; O$2 &amp; "'!$A:$A"), INDIRECT("'" &amp; O$2 &amp; "'!$B:$B"), "")&lt;&gt;"", "✓", "✗"), "✗")
)</f>
        <v>✓</v>
      </c>
      <c r="P31" t="str" cm="1">
        <f t="array" aca="1" ref="P31" ca="1">IF(
    ISNUMBER(VALUE(LEFT($A31, 1))),
    "",
    IFERROR(IF(_xlfn.XLOOKUP($A31, INDIRECT("'" &amp; P$2 &amp; "'!$A:$A"), INDIRECT("'" &amp; P$2 &amp; "'!$B:$B"), "")&lt;&gt;"", "✓", "✗"), "✗")
)</f>
        <v>✓</v>
      </c>
      <c r="Q31" t="str" cm="1">
        <f t="array" aca="1" ref="Q31" ca="1">IF(
    ISNUMBER(VALUE(LEFT($A31, 1))),
    "",
    IFERROR(IF(_xlfn.XLOOKUP($A31, INDIRECT("'" &amp; Q$2 &amp; "'!$A:$A"), INDIRECT("'" &amp; Q$2 &amp; "'!$B:$B"), "")&lt;&gt;"", "✓", "✗"), "✗")
)</f>
        <v>✓</v>
      </c>
      <c r="R31" t="str" cm="1">
        <f t="array" aca="1" ref="R31" ca="1">IF(
    ISNUMBER(VALUE(LEFT($A31, 1))),
    "",
    IFERROR(IF(_xlfn.XLOOKUP($A31, INDIRECT("'" &amp; R$2 &amp; "'!$A:$A"), INDIRECT("'" &amp; R$2 &amp; "'!$B:$B"), "")&lt;&gt;"", "✓", "✗"), "✗")
)</f>
        <v>✓</v>
      </c>
      <c r="S31" t="str" cm="1">
        <f t="array" aca="1" ref="S31" ca="1">IF(
    ISNUMBER(VALUE(LEFT($A31, 1))),
    "",
    IFERROR(IF(_xlfn.XLOOKUP($A31, INDIRECT("'" &amp; S$2 &amp; "'!$A:$A"), INDIRECT("'" &amp; S$2 &amp; "'!$B:$B"), "")&lt;&gt;"", "✓", "✗"), "✗")
)</f>
        <v>✓</v>
      </c>
      <c r="T31" t="str" cm="1">
        <f t="array" aca="1" ref="T31" ca="1">IF(
    ISNUMBER(VALUE(LEFT($A31, 1))),
    "",
    IFERROR(IF(_xlfn.XLOOKUP($A31, INDIRECT("'" &amp; T$2 &amp; "'!$A:$A"), INDIRECT("'" &amp; T$2 &amp; "'!$B:$B"), "")&lt;&gt;"", "✓", "✗"), "✗")
)</f>
        <v>✓</v>
      </c>
      <c r="U31" t="str" cm="1">
        <f t="array" aca="1" ref="U31" ca="1">IF(
    ISNUMBER(VALUE(LEFT($A31, 1))),
    "",
    IFERROR(IF(_xlfn.XLOOKUP($A31, INDIRECT("'" &amp; U$2 &amp; "'!$A:$A"), INDIRECT("'" &amp; U$2 &amp; "'!$B:$B"), "")&lt;&gt;"", "✓", "✗"), "✗")
)</f>
        <v>✓</v>
      </c>
      <c r="V31" t="str" cm="1">
        <f t="array" aca="1" ref="V31" ca="1">IF(
    ISNUMBER(VALUE(LEFT($A31, 1))),
    "",
    IFERROR(IF(_xlfn.XLOOKUP($A31, INDIRECT("'" &amp; V$2 &amp; "'!$A:$A"), INDIRECT("'" &amp; V$2 &amp; "'!$B:$B"), "")&lt;&gt;"", "✓", "✗"), "✗")
)</f>
        <v>✓</v>
      </c>
      <c r="W31" t="str" cm="1">
        <f t="array" aca="1" ref="W31" ca="1">IF(
    ISNUMBER(VALUE(LEFT($A31, 1))),
    "",
    IFERROR(IF(_xlfn.XLOOKUP($A31, INDIRECT("'" &amp; W$2 &amp; "'!$A:$A"), INDIRECT("'" &amp; W$2 &amp; "'!$B:$B"), "")&lt;&gt;"", "✓", "✗"), "✗")
)</f>
        <v>✓</v>
      </c>
      <c r="X31" t="str" cm="1">
        <f t="array" aca="1" ref="X31" ca="1">IF(
    ISNUMBER(VALUE(LEFT($A31, 1))),
    "",
    IFERROR(IF(_xlfn.XLOOKUP($A31, INDIRECT("'" &amp; X$2 &amp; "'!$A:$A"), INDIRECT("'" &amp; X$2 &amp; "'!$B:$B"), "")&lt;&gt;"", "✓", "✗"), "✗")
)</f>
        <v>✓</v>
      </c>
      <c r="Y31" t="str" cm="1">
        <f t="array" aca="1" ref="Y31" ca="1">IF(
    ISNUMBER(VALUE(LEFT($A31, 1))),
    "",
    IFERROR(IF(_xlfn.XLOOKUP($A31, INDIRECT("'" &amp; Y$2 &amp; "'!$A:$A"), INDIRECT("'" &amp; Y$2 &amp; "'!$B:$B"), "")&lt;&gt;"", "✓", "✗"), "✗")
)</f>
        <v>✓</v>
      </c>
      <c r="Z31" t="str" cm="1">
        <f t="array" aca="1" ref="Z31" ca="1">IF(
    ISNUMBER(VALUE(LEFT($A31, 1))),
    "",
    IFERROR(IF(_xlfn.XLOOKUP($A31, INDIRECT("'" &amp; Z$2 &amp; "'!$A:$A"), INDIRECT("'" &amp; Z$2 &amp; "'!$B:$B"), "")&lt;&gt;"", "✓", "✗"), "✗")
)</f>
        <v>✓</v>
      </c>
      <c r="AA31" t="str" cm="1">
        <f t="array" aca="1" ref="AA31" ca="1">IF(
    ISNUMBER(VALUE(LEFT($A31, 1))),
    "",
    IFERROR(IF(_xlfn.XLOOKUP($A31, INDIRECT("'" &amp; AA$2 &amp; "'!$A:$A"), INDIRECT("'" &amp; AA$2 &amp; "'!$B:$B"), "")&lt;&gt;"", "✓", "✗"), "✗")
)</f>
        <v>✓</v>
      </c>
      <c r="AB31" t="str" cm="1">
        <f t="array" aca="1" ref="AB31" ca="1">IF(
    ISNUMBER(VALUE(LEFT($A31, 1))),
    "",
    IFERROR(IF(_xlfn.XLOOKUP($A31, INDIRECT("'" &amp; AB$2 &amp; "'!$A:$A"), INDIRECT("'" &amp; AB$2 &amp; "'!$B:$B"), "")&lt;&gt;"", "✓", "✗"), "✗")
)</f>
        <v>✓</v>
      </c>
      <c r="AC31" t="str" cm="1">
        <f t="array" aca="1" ref="AC31" ca="1">IF(
    ISNUMBER(VALUE(LEFT($A31, 1))),
    "",
    IFERROR(IF(_xlfn.XLOOKUP($A31, INDIRECT("'" &amp; AC$2 &amp; "'!$A:$A"), INDIRECT("'" &amp; AC$2 &amp; "'!$B:$B"), "")&lt;&gt;"", "✓", "✗"), "✗")
)</f>
        <v>✗</v>
      </c>
      <c r="AD31" t="str" cm="1">
        <f t="array" aca="1" ref="AD31" ca="1">IF(
    ISNUMBER(VALUE(LEFT($A31, 1))),
    "",
    IFERROR(IF(_xlfn.XLOOKUP($A31, INDIRECT("'" &amp; AD$2 &amp; "'!$A:$A"), INDIRECT("'" &amp; AD$2 &amp; "'!$B:$B"), "")&lt;&gt;"", "✓", "✗"), "✗")
)</f>
        <v>✗</v>
      </c>
      <c r="AE31" t="str" cm="1">
        <f t="array" aca="1" ref="AE31" ca="1">IF(
    ISNUMBER(VALUE(LEFT($A31, 1))),
    "",
    IFERROR(IF(_xlfn.XLOOKUP($A31, INDIRECT("'" &amp; AE$2 &amp; "'!$A:$A"), INDIRECT("'" &amp; AE$2 &amp; "'!$B:$B"), "")&lt;&gt;"", "✓", "✗"), "✗")
)</f>
        <v>✓</v>
      </c>
      <c r="AF31" t="str" cm="1">
        <f t="array" aca="1" ref="AF31" ca="1">IF(
    ISNUMBER(VALUE(LEFT($A31, 1))),
    "",
    IFERROR(IF(_xlfn.XLOOKUP($A31, INDIRECT("'" &amp; AF$2 &amp; "'!$A:$A"), INDIRECT("'" &amp; AF$2 &amp; "'!$B:$B"), "")&lt;&gt;"", "✓", "✗"), "✗")
)</f>
        <v>✓</v>
      </c>
      <c r="AG31" t="str" cm="1">
        <f t="array" aca="1" ref="AG31" ca="1">IF(
    ISNUMBER(VALUE(LEFT($A31, 1))),
    "",
    IFERROR(IF(_xlfn.XLOOKUP($A31, INDIRECT("'" &amp; AG$2 &amp; "'!$A:$A"), INDIRECT("'" &amp; AG$2 &amp; "'!$B:$B"), "")&lt;&gt;"", "✓", "✗"), "✗")
)</f>
        <v>✓</v>
      </c>
    </row>
    <row r="32" spans="1:33" x14ac:dyDescent="0.45">
      <c r="A32" t="str">
        <v>State/County</v>
      </c>
      <c r="B32" t="str" cm="1">
        <f t="array" aca="1" ref="B32" ca="1">IF(
    ISNUMBER(VALUE(LEFT($A32, 1))),
    "",
    IFERROR(IF(_xlfn.XLOOKUP($A32, INDIRECT("'" &amp; B$2 &amp; "'!$A:$A"), INDIRECT("'" &amp; B$2 &amp; "'!$B:$B"), "")&lt;&gt;"", "✓", "✗"), "✗")
)</f>
        <v>✓</v>
      </c>
      <c r="C32" t="str" cm="1">
        <f t="array" aca="1" ref="C32" ca="1">IF(
    ISNUMBER(VALUE(LEFT($A32, 1))),
    "",
    IFERROR(IF(_xlfn.XLOOKUP($A32, INDIRECT("'" &amp; C$2 &amp; "'!$A:$A"), INDIRECT("'" &amp; C$2 &amp; "'!$B:$B"), "")&lt;&gt;"", "✓", "✗"), "✗")
)</f>
        <v>✓</v>
      </c>
      <c r="D32" t="str" cm="1">
        <f t="array" aca="1" ref="D32" ca="1">IF(
    ISNUMBER(VALUE(LEFT($A32, 1))),
    "",
    IFERROR(IF(_xlfn.XLOOKUP($A32, INDIRECT("'" &amp; D$2 &amp; "'!$A:$A"), INDIRECT("'" &amp; D$2 &amp; "'!$B:$B"), "")&lt;&gt;"", "✓", "✗"), "✗")
)</f>
        <v>✓</v>
      </c>
      <c r="E32" t="str" cm="1">
        <f t="array" aca="1" ref="E32" ca="1">IF(
    ISNUMBER(VALUE(LEFT($A32, 1))),
    "",
    IFERROR(IF(_xlfn.XLOOKUP($A32, INDIRECT("'" &amp; E$2 &amp; "'!$A:$A"), INDIRECT("'" &amp; E$2 &amp; "'!$B:$B"), "")&lt;&gt;"", "✓", "✗"), "✗")
)</f>
        <v>✓</v>
      </c>
      <c r="F32" t="str" cm="1">
        <f t="array" aca="1" ref="F32" ca="1">IF(
    ISNUMBER(VALUE(LEFT($A32, 1))),
    "",
    IFERROR(IF(_xlfn.XLOOKUP($A32, INDIRECT("'" &amp; F$2 &amp; "'!$A:$A"), INDIRECT("'" &amp; F$2 &amp; "'!$B:$B"), "")&lt;&gt;"", "✓", "✗"), "✗")
)</f>
        <v>✓</v>
      </c>
      <c r="G32" t="str" cm="1">
        <f t="array" aca="1" ref="G32" ca="1">IF(
    ISNUMBER(VALUE(LEFT($A32, 1))),
    "",
    IFERROR(IF(_xlfn.XLOOKUP($A32, INDIRECT("'" &amp; G$2 &amp; "'!$A:$A"), INDIRECT("'" &amp; G$2 &amp; "'!$B:$B"), "")&lt;&gt;"", "✓", "✗"), "✗")
)</f>
        <v>✓</v>
      </c>
      <c r="H32" t="str" cm="1">
        <f t="array" aca="1" ref="H32" ca="1">IF(
    ISNUMBER(VALUE(LEFT($A32, 1))),
    "",
    IFERROR(IF(_xlfn.XLOOKUP($A32, INDIRECT("'" &amp; H$2 &amp; "'!$A:$A"), INDIRECT("'" &amp; H$2 &amp; "'!$B:$B"), "")&lt;&gt;"", "✓", "✗"), "✗")
)</f>
        <v>✓</v>
      </c>
      <c r="I32" t="str" cm="1">
        <f t="array" aca="1" ref="I32" ca="1">IF(
    ISNUMBER(VALUE(LEFT($A32, 1))),
    "",
    IFERROR(IF(_xlfn.XLOOKUP($A32, INDIRECT("'" &amp; I$2 &amp; "'!$A:$A"), INDIRECT("'" &amp; I$2 &amp; "'!$B:$B"), "")&lt;&gt;"", "✓", "✗"), "✗")
)</f>
        <v>✓</v>
      </c>
      <c r="J32" t="str" cm="1">
        <f t="array" aca="1" ref="J32" ca="1">IF(
    ISNUMBER(VALUE(LEFT($A32, 1))),
    "",
    IFERROR(IF(_xlfn.XLOOKUP($A32, INDIRECT("'" &amp; J$2 &amp; "'!$A:$A"), INDIRECT("'" &amp; J$2 &amp; "'!$B:$B"), "")&lt;&gt;"", "✓", "✗"), "✗")
)</f>
        <v>✓</v>
      </c>
      <c r="K32" t="str" cm="1">
        <f t="array" aca="1" ref="K32" ca="1">IF(
    ISNUMBER(VALUE(LEFT($A32, 1))),
    "",
    IFERROR(IF(_xlfn.XLOOKUP($A32, INDIRECT("'" &amp; K$2 &amp; "'!$A:$A"), INDIRECT("'" &amp; K$2 &amp; "'!$B:$B"), "")&lt;&gt;"", "✓", "✗"), "✗")
)</f>
        <v>✓</v>
      </c>
      <c r="L32" t="str" cm="1">
        <f t="array" aca="1" ref="L32" ca="1">IF(
    ISNUMBER(VALUE(LEFT($A32, 1))),
    "",
    IFERROR(IF(_xlfn.XLOOKUP($A32, INDIRECT("'" &amp; L$2 &amp; "'!$A:$A"), INDIRECT("'" &amp; L$2 &amp; "'!$B:$B"), "")&lt;&gt;"", "✓", "✗"), "✗")
)</f>
        <v>✓</v>
      </c>
      <c r="M32" t="str" cm="1">
        <f t="array" aca="1" ref="M32" ca="1">IF(
    ISNUMBER(VALUE(LEFT($A32, 1))),
    "",
    IFERROR(IF(_xlfn.XLOOKUP($A32, INDIRECT("'" &amp; M$2 &amp; "'!$A:$A"), INDIRECT("'" &amp; M$2 &amp; "'!$B:$B"), "")&lt;&gt;"", "✓", "✗"), "✗")
)</f>
        <v>✓</v>
      </c>
      <c r="N32" t="str" cm="1">
        <f t="array" aca="1" ref="N32" ca="1">IF(
    ISNUMBER(VALUE(LEFT($A32, 1))),
    "",
    IFERROR(IF(_xlfn.XLOOKUP($A32, INDIRECT("'" &amp; N$2 &amp; "'!$A:$A"), INDIRECT("'" &amp; N$2 &amp; "'!$B:$B"), "")&lt;&gt;"", "✓", "✗"), "✗")
)</f>
        <v>✓</v>
      </c>
      <c r="O32" t="str" cm="1">
        <f t="array" aca="1" ref="O32" ca="1">IF(
    ISNUMBER(VALUE(LEFT($A32, 1))),
    "",
    IFERROR(IF(_xlfn.XLOOKUP($A32, INDIRECT("'" &amp; O$2 &amp; "'!$A:$A"), INDIRECT("'" &amp; O$2 &amp; "'!$B:$B"), "")&lt;&gt;"", "✓", "✗"), "✗")
)</f>
        <v>✓</v>
      </c>
      <c r="P32" t="str" cm="1">
        <f t="array" aca="1" ref="P32" ca="1">IF(
    ISNUMBER(VALUE(LEFT($A32, 1))),
    "",
    IFERROR(IF(_xlfn.XLOOKUP($A32, INDIRECT("'" &amp; P$2 &amp; "'!$A:$A"), INDIRECT("'" &amp; P$2 &amp; "'!$B:$B"), "")&lt;&gt;"", "✓", "✗"), "✗")
)</f>
        <v>✓</v>
      </c>
      <c r="Q32" t="str" cm="1">
        <f t="array" aca="1" ref="Q32" ca="1">IF(
    ISNUMBER(VALUE(LEFT($A32, 1))),
    "",
    IFERROR(IF(_xlfn.XLOOKUP($A32, INDIRECT("'" &amp; Q$2 &amp; "'!$A:$A"), INDIRECT("'" &amp; Q$2 &amp; "'!$B:$B"), "")&lt;&gt;"", "✓", "✗"), "✗")
)</f>
        <v>✓</v>
      </c>
      <c r="R32" t="str" cm="1">
        <f t="array" aca="1" ref="R32" ca="1">IF(
    ISNUMBER(VALUE(LEFT($A32, 1))),
    "",
    IFERROR(IF(_xlfn.XLOOKUP($A32, INDIRECT("'" &amp; R$2 &amp; "'!$A:$A"), INDIRECT("'" &amp; R$2 &amp; "'!$B:$B"), "")&lt;&gt;"", "✓", "✗"), "✗")
)</f>
        <v>✓</v>
      </c>
      <c r="S32" t="str" cm="1">
        <f t="array" aca="1" ref="S32" ca="1">IF(
    ISNUMBER(VALUE(LEFT($A32, 1))),
    "",
    IFERROR(IF(_xlfn.XLOOKUP($A32, INDIRECT("'" &amp; S$2 &amp; "'!$A:$A"), INDIRECT("'" &amp; S$2 &amp; "'!$B:$B"), "")&lt;&gt;"", "✓", "✗"), "✗")
)</f>
        <v>✓</v>
      </c>
      <c r="T32" t="str" cm="1">
        <f t="array" aca="1" ref="T32" ca="1">IF(
    ISNUMBER(VALUE(LEFT($A32, 1))),
    "",
    IFERROR(IF(_xlfn.XLOOKUP($A32, INDIRECT("'" &amp; T$2 &amp; "'!$A:$A"), INDIRECT("'" &amp; T$2 &amp; "'!$B:$B"), "")&lt;&gt;"", "✓", "✗"), "✗")
)</f>
        <v>✓</v>
      </c>
      <c r="U32" t="str" cm="1">
        <f t="array" aca="1" ref="U32" ca="1">IF(
    ISNUMBER(VALUE(LEFT($A32, 1))),
    "",
    IFERROR(IF(_xlfn.XLOOKUP($A32, INDIRECT("'" &amp; U$2 &amp; "'!$A:$A"), INDIRECT("'" &amp; U$2 &amp; "'!$B:$B"), "")&lt;&gt;"", "✓", "✗"), "✗")
)</f>
        <v>✓</v>
      </c>
      <c r="V32" t="str" cm="1">
        <f t="array" aca="1" ref="V32" ca="1">IF(
    ISNUMBER(VALUE(LEFT($A32, 1))),
    "",
    IFERROR(IF(_xlfn.XLOOKUP($A32, INDIRECT("'" &amp; V$2 &amp; "'!$A:$A"), INDIRECT("'" &amp; V$2 &amp; "'!$B:$B"), "")&lt;&gt;"", "✓", "✗"), "✗")
)</f>
        <v>✓</v>
      </c>
      <c r="W32" t="str" cm="1">
        <f t="array" aca="1" ref="W32" ca="1">IF(
    ISNUMBER(VALUE(LEFT($A32, 1))),
    "",
    IFERROR(IF(_xlfn.XLOOKUP($A32, INDIRECT("'" &amp; W$2 &amp; "'!$A:$A"), INDIRECT("'" &amp; W$2 &amp; "'!$B:$B"), "")&lt;&gt;"", "✓", "✗"), "✗")
)</f>
        <v>✓</v>
      </c>
      <c r="X32" t="str" cm="1">
        <f t="array" aca="1" ref="X32" ca="1">IF(
    ISNUMBER(VALUE(LEFT($A32, 1))),
    "",
    IFERROR(IF(_xlfn.XLOOKUP($A32, INDIRECT("'" &amp; X$2 &amp; "'!$A:$A"), INDIRECT("'" &amp; X$2 &amp; "'!$B:$B"), "")&lt;&gt;"", "✓", "✗"), "✗")
)</f>
        <v>✓</v>
      </c>
      <c r="Y32" t="str" cm="1">
        <f t="array" aca="1" ref="Y32" ca="1">IF(
    ISNUMBER(VALUE(LEFT($A32, 1))),
    "",
    IFERROR(IF(_xlfn.XLOOKUP($A32, INDIRECT("'" &amp; Y$2 &amp; "'!$A:$A"), INDIRECT("'" &amp; Y$2 &amp; "'!$B:$B"), "")&lt;&gt;"", "✓", "✗"), "✗")
)</f>
        <v>✓</v>
      </c>
      <c r="Z32" t="str" cm="1">
        <f t="array" aca="1" ref="Z32" ca="1">IF(
    ISNUMBER(VALUE(LEFT($A32, 1))),
    "",
    IFERROR(IF(_xlfn.XLOOKUP($A32, INDIRECT("'" &amp; Z$2 &amp; "'!$A:$A"), INDIRECT("'" &amp; Z$2 &amp; "'!$B:$B"), "")&lt;&gt;"", "✓", "✗"), "✗")
)</f>
        <v>✓</v>
      </c>
      <c r="AA32" t="str" cm="1">
        <f t="array" aca="1" ref="AA32" ca="1">IF(
    ISNUMBER(VALUE(LEFT($A32, 1))),
    "",
    IFERROR(IF(_xlfn.XLOOKUP($A32, INDIRECT("'" &amp; AA$2 &amp; "'!$A:$A"), INDIRECT("'" &amp; AA$2 &amp; "'!$B:$B"), "")&lt;&gt;"", "✓", "✗"), "✗")
)</f>
        <v>✓</v>
      </c>
      <c r="AB32" t="str" cm="1">
        <f t="array" aca="1" ref="AB32" ca="1">IF(
    ISNUMBER(VALUE(LEFT($A32, 1))),
    "",
    IFERROR(IF(_xlfn.XLOOKUP($A32, INDIRECT("'" &amp; AB$2 &amp; "'!$A:$A"), INDIRECT("'" &amp; AB$2 &amp; "'!$B:$B"), "")&lt;&gt;"", "✓", "✗"), "✗")
)</f>
        <v>✓</v>
      </c>
      <c r="AC32" t="str" cm="1">
        <f t="array" aca="1" ref="AC32" ca="1">IF(
    ISNUMBER(VALUE(LEFT($A32, 1))),
    "",
    IFERROR(IF(_xlfn.XLOOKUP($A32, INDIRECT("'" &amp; AC$2 &amp; "'!$A:$A"), INDIRECT("'" &amp; AC$2 &amp; "'!$B:$B"), "")&lt;&gt;"", "✓", "✗"), "✗")
)</f>
        <v>✗</v>
      </c>
      <c r="AD32" t="str" cm="1">
        <f t="array" aca="1" ref="AD32" ca="1">IF(
    ISNUMBER(VALUE(LEFT($A32, 1))),
    "",
    IFERROR(IF(_xlfn.XLOOKUP($A32, INDIRECT("'" &amp; AD$2 &amp; "'!$A:$A"), INDIRECT("'" &amp; AD$2 &amp; "'!$B:$B"), "")&lt;&gt;"", "✓", "✗"), "✗")
)</f>
        <v>✗</v>
      </c>
      <c r="AE32" t="str" cm="1">
        <f t="array" aca="1" ref="AE32" ca="1">IF(
    ISNUMBER(VALUE(LEFT($A32, 1))),
    "",
    IFERROR(IF(_xlfn.XLOOKUP($A32, INDIRECT("'" &amp; AE$2 &amp; "'!$A:$A"), INDIRECT("'" &amp; AE$2 &amp; "'!$B:$B"), "")&lt;&gt;"", "✓", "✗"), "✗")
)</f>
        <v>✓</v>
      </c>
      <c r="AF32" t="str" cm="1">
        <f t="array" aca="1" ref="AF32" ca="1">IF(
    ISNUMBER(VALUE(LEFT($A32, 1))),
    "",
    IFERROR(IF(_xlfn.XLOOKUP($A32, INDIRECT("'" &amp; AF$2 &amp; "'!$A:$A"), INDIRECT("'" &amp; AF$2 &amp; "'!$B:$B"), "")&lt;&gt;"", "✓", "✗"), "✗")
)</f>
        <v>✓</v>
      </c>
      <c r="AG32" t="str" cm="1">
        <f t="array" aca="1" ref="AG32" ca="1">IF(
    ISNUMBER(VALUE(LEFT($A32, 1))),
    "",
    IFERROR(IF(_xlfn.XLOOKUP($A32, INDIRECT("'" &amp; AG$2 &amp; "'!$A:$A"), INDIRECT("'" &amp; AG$2 &amp; "'!$B:$B"), "")&lt;&gt;"", "✓", "✗"), "✗")
)</f>
        <v>✓</v>
      </c>
    </row>
    <row r="33" spans="1:33" x14ac:dyDescent="0.45">
      <c r="A33" t="str">
        <v>Postal/Zip Code</v>
      </c>
      <c r="B33" t="str" cm="1">
        <f t="array" aca="1" ref="B33" ca="1">IF(
    ISNUMBER(VALUE(LEFT($A33, 1))),
    "",
    IFERROR(IF(_xlfn.XLOOKUP($A33, INDIRECT("'" &amp; B$2 &amp; "'!$A:$A"), INDIRECT("'" &amp; B$2 &amp; "'!$B:$B"), "")&lt;&gt;"", "✓", "✗"), "✗")
)</f>
        <v>✓</v>
      </c>
      <c r="C33" t="str" cm="1">
        <f t="array" aca="1" ref="C33" ca="1">IF(
    ISNUMBER(VALUE(LEFT($A33, 1))),
    "",
    IFERROR(IF(_xlfn.XLOOKUP($A33, INDIRECT("'" &amp; C$2 &amp; "'!$A:$A"), INDIRECT("'" &amp; C$2 &amp; "'!$B:$B"), "")&lt;&gt;"", "✓", "✗"), "✗")
)</f>
        <v>✓</v>
      </c>
      <c r="D33" t="str" cm="1">
        <f t="array" aca="1" ref="D33" ca="1">IF(
    ISNUMBER(VALUE(LEFT($A33, 1))),
    "",
    IFERROR(IF(_xlfn.XLOOKUP($A33, INDIRECT("'" &amp; D$2 &amp; "'!$A:$A"), INDIRECT("'" &amp; D$2 &amp; "'!$B:$B"), "")&lt;&gt;"", "✓", "✗"), "✗")
)</f>
        <v>✓</v>
      </c>
      <c r="E33" t="str" cm="1">
        <f t="array" aca="1" ref="E33" ca="1">IF(
    ISNUMBER(VALUE(LEFT($A33, 1))),
    "",
    IFERROR(IF(_xlfn.XLOOKUP($A33, INDIRECT("'" &amp; E$2 &amp; "'!$A:$A"), INDIRECT("'" &amp; E$2 &amp; "'!$B:$B"), "")&lt;&gt;"", "✓", "✗"), "✗")
)</f>
        <v>✓</v>
      </c>
      <c r="F33" t="str" cm="1">
        <f t="array" aca="1" ref="F33" ca="1">IF(
    ISNUMBER(VALUE(LEFT($A33, 1))),
    "",
    IFERROR(IF(_xlfn.XLOOKUP($A33, INDIRECT("'" &amp; F$2 &amp; "'!$A:$A"), INDIRECT("'" &amp; F$2 &amp; "'!$B:$B"), "")&lt;&gt;"", "✓", "✗"), "✗")
)</f>
        <v>✓</v>
      </c>
      <c r="G33" t="str" cm="1">
        <f t="array" aca="1" ref="G33" ca="1">IF(
    ISNUMBER(VALUE(LEFT($A33, 1))),
    "",
    IFERROR(IF(_xlfn.XLOOKUP($A33, INDIRECT("'" &amp; G$2 &amp; "'!$A:$A"), INDIRECT("'" &amp; G$2 &amp; "'!$B:$B"), "")&lt;&gt;"", "✓", "✗"), "✗")
)</f>
        <v>✓</v>
      </c>
      <c r="H33" t="str" cm="1">
        <f t="array" aca="1" ref="H33" ca="1">IF(
    ISNUMBER(VALUE(LEFT($A33, 1))),
    "",
    IFERROR(IF(_xlfn.XLOOKUP($A33, INDIRECT("'" &amp; H$2 &amp; "'!$A:$A"), INDIRECT("'" &amp; H$2 &amp; "'!$B:$B"), "")&lt;&gt;"", "✓", "✗"), "✗")
)</f>
        <v>✓</v>
      </c>
      <c r="I33" t="str" cm="1">
        <f t="array" aca="1" ref="I33" ca="1">IF(
    ISNUMBER(VALUE(LEFT($A33, 1))),
    "",
    IFERROR(IF(_xlfn.XLOOKUP($A33, INDIRECT("'" &amp; I$2 &amp; "'!$A:$A"), INDIRECT("'" &amp; I$2 &amp; "'!$B:$B"), "")&lt;&gt;"", "✓", "✗"), "✗")
)</f>
        <v>✓</v>
      </c>
      <c r="J33" t="str" cm="1">
        <f t="array" aca="1" ref="J33" ca="1">IF(
    ISNUMBER(VALUE(LEFT($A33, 1))),
    "",
    IFERROR(IF(_xlfn.XLOOKUP($A33, INDIRECT("'" &amp; J$2 &amp; "'!$A:$A"), INDIRECT("'" &amp; J$2 &amp; "'!$B:$B"), "")&lt;&gt;"", "✓", "✗"), "✗")
)</f>
        <v>✓</v>
      </c>
      <c r="K33" t="str" cm="1">
        <f t="array" aca="1" ref="K33" ca="1">IF(
    ISNUMBER(VALUE(LEFT($A33, 1))),
    "",
    IFERROR(IF(_xlfn.XLOOKUP($A33, INDIRECT("'" &amp; K$2 &amp; "'!$A:$A"), INDIRECT("'" &amp; K$2 &amp; "'!$B:$B"), "")&lt;&gt;"", "✓", "✗"), "✗")
)</f>
        <v>✓</v>
      </c>
      <c r="L33" t="str" cm="1">
        <f t="array" aca="1" ref="L33" ca="1">IF(
    ISNUMBER(VALUE(LEFT($A33, 1))),
    "",
    IFERROR(IF(_xlfn.XLOOKUP($A33, INDIRECT("'" &amp; L$2 &amp; "'!$A:$A"), INDIRECT("'" &amp; L$2 &amp; "'!$B:$B"), "")&lt;&gt;"", "✓", "✗"), "✗")
)</f>
        <v>✓</v>
      </c>
      <c r="M33" t="str" cm="1">
        <f t="array" aca="1" ref="M33" ca="1">IF(
    ISNUMBER(VALUE(LEFT($A33, 1))),
    "",
    IFERROR(IF(_xlfn.XLOOKUP($A33, INDIRECT("'" &amp; M$2 &amp; "'!$A:$A"), INDIRECT("'" &amp; M$2 &amp; "'!$B:$B"), "")&lt;&gt;"", "✓", "✗"), "✗")
)</f>
        <v>✓</v>
      </c>
      <c r="N33" t="str" cm="1">
        <f t="array" aca="1" ref="N33" ca="1">IF(
    ISNUMBER(VALUE(LEFT($A33, 1))),
    "",
    IFERROR(IF(_xlfn.XLOOKUP($A33, INDIRECT("'" &amp; N$2 &amp; "'!$A:$A"), INDIRECT("'" &amp; N$2 &amp; "'!$B:$B"), "")&lt;&gt;"", "✓", "✗"), "✗")
)</f>
        <v>✓</v>
      </c>
      <c r="O33" t="str" cm="1">
        <f t="array" aca="1" ref="O33" ca="1">IF(
    ISNUMBER(VALUE(LEFT($A33, 1))),
    "",
    IFERROR(IF(_xlfn.XLOOKUP($A33, INDIRECT("'" &amp; O$2 &amp; "'!$A:$A"), INDIRECT("'" &amp; O$2 &amp; "'!$B:$B"), "")&lt;&gt;"", "✓", "✗"), "✗")
)</f>
        <v>✓</v>
      </c>
      <c r="P33" t="str" cm="1">
        <f t="array" aca="1" ref="P33" ca="1">IF(
    ISNUMBER(VALUE(LEFT($A33, 1))),
    "",
    IFERROR(IF(_xlfn.XLOOKUP($A33, INDIRECT("'" &amp; P$2 &amp; "'!$A:$A"), INDIRECT("'" &amp; P$2 &amp; "'!$B:$B"), "")&lt;&gt;"", "✓", "✗"), "✗")
)</f>
        <v>✓</v>
      </c>
      <c r="Q33" t="str" cm="1">
        <f t="array" aca="1" ref="Q33" ca="1">IF(
    ISNUMBER(VALUE(LEFT($A33, 1))),
    "",
    IFERROR(IF(_xlfn.XLOOKUP($A33, INDIRECT("'" &amp; Q$2 &amp; "'!$A:$A"), INDIRECT("'" &amp; Q$2 &amp; "'!$B:$B"), "")&lt;&gt;"", "✓", "✗"), "✗")
)</f>
        <v>✓</v>
      </c>
      <c r="R33" t="str" cm="1">
        <f t="array" aca="1" ref="R33" ca="1">IF(
    ISNUMBER(VALUE(LEFT($A33, 1))),
    "",
    IFERROR(IF(_xlfn.XLOOKUP($A33, INDIRECT("'" &amp; R$2 &amp; "'!$A:$A"), INDIRECT("'" &amp; R$2 &amp; "'!$B:$B"), "")&lt;&gt;"", "✓", "✗"), "✗")
)</f>
        <v>✓</v>
      </c>
      <c r="S33" t="str" cm="1">
        <f t="array" aca="1" ref="S33" ca="1">IF(
    ISNUMBER(VALUE(LEFT($A33, 1))),
    "",
    IFERROR(IF(_xlfn.XLOOKUP($A33, INDIRECT("'" &amp; S$2 &amp; "'!$A:$A"), INDIRECT("'" &amp; S$2 &amp; "'!$B:$B"), "")&lt;&gt;"", "✓", "✗"), "✗")
)</f>
        <v>✓</v>
      </c>
      <c r="T33" t="str" cm="1">
        <f t="array" aca="1" ref="T33" ca="1">IF(
    ISNUMBER(VALUE(LEFT($A33, 1))),
    "",
    IFERROR(IF(_xlfn.XLOOKUP($A33, INDIRECT("'" &amp; T$2 &amp; "'!$A:$A"), INDIRECT("'" &amp; T$2 &amp; "'!$B:$B"), "")&lt;&gt;"", "✓", "✗"), "✗")
)</f>
        <v>✓</v>
      </c>
      <c r="U33" t="str" cm="1">
        <f t="array" aca="1" ref="U33" ca="1">IF(
    ISNUMBER(VALUE(LEFT($A33, 1))),
    "",
    IFERROR(IF(_xlfn.XLOOKUP($A33, INDIRECT("'" &amp; U$2 &amp; "'!$A:$A"), INDIRECT("'" &amp; U$2 &amp; "'!$B:$B"), "")&lt;&gt;"", "✓", "✗"), "✗")
)</f>
        <v>✓</v>
      </c>
      <c r="V33" t="str" cm="1">
        <f t="array" aca="1" ref="V33" ca="1">IF(
    ISNUMBER(VALUE(LEFT($A33, 1))),
    "",
    IFERROR(IF(_xlfn.XLOOKUP($A33, INDIRECT("'" &amp; V$2 &amp; "'!$A:$A"), INDIRECT("'" &amp; V$2 &amp; "'!$B:$B"), "")&lt;&gt;"", "✓", "✗"), "✗")
)</f>
        <v>✓</v>
      </c>
      <c r="W33" t="str" cm="1">
        <f t="array" aca="1" ref="W33" ca="1">IF(
    ISNUMBER(VALUE(LEFT($A33, 1))),
    "",
    IFERROR(IF(_xlfn.XLOOKUP($A33, INDIRECT("'" &amp; W$2 &amp; "'!$A:$A"), INDIRECT("'" &amp; W$2 &amp; "'!$B:$B"), "")&lt;&gt;"", "✓", "✗"), "✗")
)</f>
        <v>✓</v>
      </c>
      <c r="X33" t="str" cm="1">
        <f t="array" aca="1" ref="X33" ca="1">IF(
    ISNUMBER(VALUE(LEFT($A33, 1))),
    "",
    IFERROR(IF(_xlfn.XLOOKUP($A33, INDIRECT("'" &amp; X$2 &amp; "'!$A:$A"), INDIRECT("'" &amp; X$2 &amp; "'!$B:$B"), "")&lt;&gt;"", "✓", "✗"), "✗")
)</f>
        <v>✓</v>
      </c>
      <c r="Y33" t="str" cm="1">
        <f t="array" aca="1" ref="Y33" ca="1">IF(
    ISNUMBER(VALUE(LEFT($A33, 1))),
    "",
    IFERROR(IF(_xlfn.XLOOKUP($A33, INDIRECT("'" &amp; Y$2 &amp; "'!$A:$A"), INDIRECT("'" &amp; Y$2 &amp; "'!$B:$B"), "")&lt;&gt;"", "✓", "✗"), "✗")
)</f>
        <v>✓</v>
      </c>
      <c r="Z33" t="str" cm="1">
        <f t="array" aca="1" ref="Z33" ca="1">IF(
    ISNUMBER(VALUE(LEFT($A33, 1))),
    "",
    IFERROR(IF(_xlfn.XLOOKUP($A33, INDIRECT("'" &amp; Z$2 &amp; "'!$A:$A"), INDIRECT("'" &amp; Z$2 &amp; "'!$B:$B"), "")&lt;&gt;"", "✓", "✗"), "✗")
)</f>
        <v>✓</v>
      </c>
      <c r="AA33" t="str" cm="1">
        <f t="array" aca="1" ref="AA33" ca="1">IF(
    ISNUMBER(VALUE(LEFT($A33, 1))),
    "",
    IFERROR(IF(_xlfn.XLOOKUP($A33, INDIRECT("'" &amp; AA$2 &amp; "'!$A:$A"), INDIRECT("'" &amp; AA$2 &amp; "'!$B:$B"), "")&lt;&gt;"", "✓", "✗"), "✗")
)</f>
        <v>✓</v>
      </c>
      <c r="AB33" t="str" cm="1">
        <f t="array" aca="1" ref="AB33" ca="1">IF(
    ISNUMBER(VALUE(LEFT($A33, 1))),
    "",
    IFERROR(IF(_xlfn.XLOOKUP($A33, INDIRECT("'" &amp; AB$2 &amp; "'!$A:$A"), INDIRECT("'" &amp; AB$2 &amp; "'!$B:$B"), "")&lt;&gt;"", "✓", "✗"), "✗")
)</f>
        <v>✓</v>
      </c>
      <c r="AC33" t="str" cm="1">
        <f t="array" aca="1" ref="AC33" ca="1">IF(
    ISNUMBER(VALUE(LEFT($A33, 1))),
    "",
    IFERROR(IF(_xlfn.XLOOKUP($A33, INDIRECT("'" &amp; AC$2 &amp; "'!$A:$A"), INDIRECT("'" &amp; AC$2 &amp; "'!$B:$B"), "")&lt;&gt;"", "✓", "✗"), "✗")
)</f>
        <v>✗</v>
      </c>
      <c r="AD33" t="str" cm="1">
        <f t="array" aca="1" ref="AD33" ca="1">IF(
    ISNUMBER(VALUE(LEFT($A33, 1))),
    "",
    IFERROR(IF(_xlfn.XLOOKUP($A33, INDIRECT("'" &amp; AD$2 &amp; "'!$A:$A"), INDIRECT("'" &amp; AD$2 &amp; "'!$B:$B"), "")&lt;&gt;"", "✓", "✗"), "✗")
)</f>
        <v>✗</v>
      </c>
      <c r="AE33" t="str" cm="1">
        <f t="array" aca="1" ref="AE33" ca="1">IF(
    ISNUMBER(VALUE(LEFT($A33, 1))),
    "",
    IFERROR(IF(_xlfn.XLOOKUP($A33, INDIRECT("'" &amp; AE$2 &amp; "'!$A:$A"), INDIRECT("'" &amp; AE$2 &amp; "'!$B:$B"), "")&lt;&gt;"", "✓", "✗"), "✗")
)</f>
        <v>✓</v>
      </c>
      <c r="AF33" t="str" cm="1">
        <f t="array" aca="1" ref="AF33" ca="1">IF(
    ISNUMBER(VALUE(LEFT($A33, 1))),
    "",
    IFERROR(IF(_xlfn.XLOOKUP($A33, INDIRECT("'" &amp; AF$2 &amp; "'!$A:$A"), INDIRECT("'" &amp; AF$2 &amp; "'!$B:$B"), "")&lt;&gt;"", "✓", "✗"), "✗")
)</f>
        <v>✓</v>
      </c>
      <c r="AG33" t="str" cm="1">
        <f t="array" aca="1" ref="AG33" ca="1">IF(
    ISNUMBER(VALUE(LEFT($A33, 1))),
    "",
    IFERROR(IF(_xlfn.XLOOKUP($A33, INDIRECT("'" &amp; AG$2 &amp; "'!$A:$A"), INDIRECT("'" &amp; AG$2 &amp; "'!$B:$B"), "")&lt;&gt;"", "✓", "✗"), "✗")
)</f>
        <v>✓</v>
      </c>
    </row>
    <row r="34" spans="1:33" x14ac:dyDescent="0.45">
      <c r="A34" t="str">
        <v>Country</v>
      </c>
      <c r="B34" t="str" cm="1">
        <f t="array" aca="1" ref="B34" ca="1">IF(
    ISNUMBER(VALUE(LEFT($A34, 1))),
    "",
    IFERROR(IF(_xlfn.XLOOKUP($A34, INDIRECT("'" &amp; B$2 &amp; "'!$A:$A"), INDIRECT("'" &amp; B$2 &amp; "'!$B:$B"), "")&lt;&gt;"", "✓", "✗"), "✗")
)</f>
        <v>✓</v>
      </c>
      <c r="C34" t="str" cm="1">
        <f t="array" aca="1" ref="C34" ca="1">IF(
    ISNUMBER(VALUE(LEFT($A34, 1))),
    "",
    IFERROR(IF(_xlfn.XLOOKUP($A34, INDIRECT("'" &amp; C$2 &amp; "'!$A:$A"), INDIRECT("'" &amp; C$2 &amp; "'!$B:$B"), "")&lt;&gt;"", "✓", "✗"), "✗")
)</f>
        <v>✓</v>
      </c>
      <c r="D34" t="str" cm="1">
        <f t="array" aca="1" ref="D34" ca="1">IF(
    ISNUMBER(VALUE(LEFT($A34, 1))),
    "",
    IFERROR(IF(_xlfn.XLOOKUP($A34, INDIRECT("'" &amp; D$2 &amp; "'!$A:$A"), INDIRECT("'" &amp; D$2 &amp; "'!$B:$B"), "")&lt;&gt;"", "✓", "✗"), "✗")
)</f>
        <v>✓</v>
      </c>
      <c r="E34" t="str" cm="1">
        <f t="array" aca="1" ref="E34" ca="1">IF(
    ISNUMBER(VALUE(LEFT($A34, 1))),
    "",
    IFERROR(IF(_xlfn.XLOOKUP($A34, INDIRECT("'" &amp; E$2 &amp; "'!$A:$A"), INDIRECT("'" &amp; E$2 &amp; "'!$B:$B"), "")&lt;&gt;"", "✓", "✗"), "✗")
)</f>
        <v>✓</v>
      </c>
      <c r="F34" t="str" cm="1">
        <f t="array" aca="1" ref="F34" ca="1">IF(
    ISNUMBER(VALUE(LEFT($A34, 1))),
    "",
    IFERROR(IF(_xlfn.XLOOKUP($A34, INDIRECT("'" &amp; F$2 &amp; "'!$A:$A"), INDIRECT("'" &amp; F$2 &amp; "'!$B:$B"), "")&lt;&gt;"", "✓", "✗"), "✗")
)</f>
        <v>✓</v>
      </c>
      <c r="G34" t="str" cm="1">
        <f t="array" aca="1" ref="G34" ca="1">IF(
    ISNUMBER(VALUE(LEFT($A34, 1))),
    "",
    IFERROR(IF(_xlfn.XLOOKUP($A34, INDIRECT("'" &amp; G$2 &amp; "'!$A:$A"), INDIRECT("'" &amp; G$2 &amp; "'!$B:$B"), "")&lt;&gt;"", "✓", "✗"), "✗")
)</f>
        <v>✓</v>
      </c>
      <c r="H34" t="str" cm="1">
        <f t="array" aca="1" ref="H34" ca="1">IF(
    ISNUMBER(VALUE(LEFT($A34, 1))),
    "",
    IFERROR(IF(_xlfn.XLOOKUP($A34, INDIRECT("'" &amp; H$2 &amp; "'!$A:$A"), INDIRECT("'" &amp; H$2 &amp; "'!$B:$B"), "")&lt;&gt;"", "✓", "✗"), "✗")
)</f>
        <v>✓</v>
      </c>
      <c r="I34" t="str" cm="1">
        <f t="array" aca="1" ref="I34" ca="1">IF(
    ISNUMBER(VALUE(LEFT($A34, 1))),
    "",
    IFERROR(IF(_xlfn.XLOOKUP($A34, INDIRECT("'" &amp; I$2 &amp; "'!$A:$A"), INDIRECT("'" &amp; I$2 &amp; "'!$B:$B"), "")&lt;&gt;"", "✓", "✗"), "✗")
)</f>
        <v>✓</v>
      </c>
      <c r="J34" t="str" cm="1">
        <f t="array" aca="1" ref="J34" ca="1">IF(
    ISNUMBER(VALUE(LEFT($A34, 1))),
    "",
    IFERROR(IF(_xlfn.XLOOKUP($A34, INDIRECT("'" &amp; J$2 &amp; "'!$A:$A"), INDIRECT("'" &amp; J$2 &amp; "'!$B:$B"), "")&lt;&gt;"", "✓", "✗"), "✗")
)</f>
        <v>✓</v>
      </c>
      <c r="K34" t="str" cm="1">
        <f t="array" aca="1" ref="K34" ca="1">IF(
    ISNUMBER(VALUE(LEFT($A34, 1))),
    "",
    IFERROR(IF(_xlfn.XLOOKUP($A34, INDIRECT("'" &amp; K$2 &amp; "'!$A:$A"), INDIRECT("'" &amp; K$2 &amp; "'!$B:$B"), "")&lt;&gt;"", "✓", "✗"), "✗")
)</f>
        <v>✓</v>
      </c>
      <c r="L34" t="str" cm="1">
        <f t="array" aca="1" ref="L34" ca="1">IF(
    ISNUMBER(VALUE(LEFT($A34, 1))),
    "",
    IFERROR(IF(_xlfn.XLOOKUP($A34, INDIRECT("'" &amp; L$2 &amp; "'!$A:$A"), INDIRECT("'" &amp; L$2 &amp; "'!$B:$B"), "")&lt;&gt;"", "✓", "✗"), "✗")
)</f>
        <v>✓</v>
      </c>
      <c r="M34" t="str" cm="1">
        <f t="array" aca="1" ref="M34" ca="1">IF(
    ISNUMBER(VALUE(LEFT($A34, 1))),
    "",
    IFERROR(IF(_xlfn.XLOOKUP($A34, INDIRECT("'" &amp; M$2 &amp; "'!$A:$A"), INDIRECT("'" &amp; M$2 &amp; "'!$B:$B"), "")&lt;&gt;"", "✓", "✗"), "✗")
)</f>
        <v>✓</v>
      </c>
      <c r="N34" t="str" cm="1">
        <f t="array" aca="1" ref="N34" ca="1">IF(
    ISNUMBER(VALUE(LEFT($A34, 1))),
    "",
    IFERROR(IF(_xlfn.XLOOKUP($A34, INDIRECT("'" &amp; N$2 &amp; "'!$A:$A"), INDIRECT("'" &amp; N$2 &amp; "'!$B:$B"), "")&lt;&gt;"", "✓", "✗"), "✗")
)</f>
        <v>✓</v>
      </c>
      <c r="O34" t="str" cm="1">
        <f t="array" aca="1" ref="O34" ca="1">IF(
    ISNUMBER(VALUE(LEFT($A34, 1))),
    "",
    IFERROR(IF(_xlfn.XLOOKUP($A34, INDIRECT("'" &amp; O$2 &amp; "'!$A:$A"), INDIRECT("'" &amp; O$2 &amp; "'!$B:$B"), "")&lt;&gt;"", "✓", "✗"), "✗")
)</f>
        <v>✓</v>
      </c>
      <c r="P34" t="str" cm="1">
        <f t="array" aca="1" ref="P34" ca="1">IF(
    ISNUMBER(VALUE(LEFT($A34, 1))),
    "",
    IFERROR(IF(_xlfn.XLOOKUP($A34, INDIRECT("'" &amp; P$2 &amp; "'!$A:$A"), INDIRECT("'" &amp; P$2 &amp; "'!$B:$B"), "")&lt;&gt;"", "✓", "✗"), "✗")
)</f>
        <v>✓</v>
      </c>
      <c r="Q34" t="str" cm="1">
        <f t="array" aca="1" ref="Q34" ca="1">IF(
    ISNUMBER(VALUE(LEFT($A34, 1))),
    "",
    IFERROR(IF(_xlfn.XLOOKUP($A34, INDIRECT("'" &amp; Q$2 &amp; "'!$A:$A"), INDIRECT("'" &amp; Q$2 &amp; "'!$B:$B"), "")&lt;&gt;"", "✓", "✗"), "✗")
)</f>
        <v>✓</v>
      </c>
      <c r="R34" t="str" cm="1">
        <f t="array" aca="1" ref="R34" ca="1">IF(
    ISNUMBER(VALUE(LEFT($A34, 1))),
    "",
    IFERROR(IF(_xlfn.XLOOKUP($A34, INDIRECT("'" &amp; R$2 &amp; "'!$A:$A"), INDIRECT("'" &amp; R$2 &amp; "'!$B:$B"), "")&lt;&gt;"", "✓", "✗"), "✗")
)</f>
        <v>✓</v>
      </c>
      <c r="S34" t="str" cm="1">
        <f t="array" aca="1" ref="S34" ca="1">IF(
    ISNUMBER(VALUE(LEFT($A34, 1))),
    "",
    IFERROR(IF(_xlfn.XLOOKUP($A34, INDIRECT("'" &amp; S$2 &amp; "'!$A:$A"), INDIRECT("'" &amp; S$2 &amp; "'!$B:$B"), "")&lt;&gt;"", "✓", "✗"), "✗")
)</f>
        <v>✓</v>
      </c>
      <c r="T34" t="str" cm="1">
        <f t="array" aca="1" ref="T34" ca="1">IF(
    ISNUMBER(VALUE(LEFT($A34, 1))),
    "",
    IFERROR(IF(_xlfn.XLOOKUP($A34, INDIRECT("'" &amp; T$2 &amp; "'!$A:$A"), INDIRECT("'" &amp; T$2 &amp; "'!$B:$B"), "")&lt;&gt;"", "✓", "✗"), "✗")
)</f>
        <v>✓</v>
      </c>
      <c r="U34" t="str" cm="1">
        <f t="array" aca="1" ref="U34" ca="1">IF(
    ISNUMBER(VALUE(LEFT($A34, 1))),
    "",
    IFERROR(IF(_xlfn.XLOOKUP($A34, INDIRECT("'" &amp; U$2 &amp; "'!$A:$A"), INDIRECT("'" &amp; U$2 &amp; "'!$B:$B"), "")&lt;&gt;"", "✓", "✗"), "✗")
)</f>
        <v>✓</v>
      </c>
      <c r="V34" t="str" cm="1">
        <f t="array" aca="1" ref="V34" ca="1">IF(
    ISNUMBER(VALUE(LEFT($A34, 1))),
    "",
    IFERROR(IF(_xlfn.XLOOKUP($A34, INDIRECT("'" &amp; V$2 &amp; "'!$A:$A"), INDIRECT("'" &amp; V$2 &amp; "'!$B:$B"), "")&lt;&gt;"", "✓", "✗"), "✗")
)</f>
        <v>✓</v>
      </c>
      <c r="W34" t="str" cm="1">
        <f t="array" aca="1" ref="W34" ca="1">IF(
    ISNUMBER(VALUE(LEFT($A34, 1))),
    "",
    IFERROR(IF(_xlfn.XLOOKUP($A34, INDIRECT("'" &amp; W$2 &amp; "'!$A:$A"), INDIRECT("'" &amp; W$2 &amp; "'!$B:$B"), "")&lt;&gt;"", "✓", "✗"), "✗")
)</f>
        <v>✓</v>
      </c>
      <c r="X34" t="str" cm="1">
        <f t="array" aca="1" ref="X34" ca="1">IF(
    ISNUMBER(VALUE(LEFT($A34, 1))),
    "",
    IFERROR(IF(_xlfn.XLOOKUP($A34, INDIRECT("'" &amp; X$2 &amp; "'!$A:$A"), INDIRECT("'" &amp; X$2 &amp; "'!$B:$B"), "")&lt;&gt;"", "✓", "✗"), "✗")
)</f>
        <v>✓</v>
      </c>
      <c r="Y34" t="str" cm="1">
        <f t="array" aca="1" ref="Y34" ca="1">IF(
    ISNUMBER(VALUE(LEFT($A34, 1))),
    "",
    IFERROR(IF(_xlfn.XLOOKUP($A34, INDIRECT("'" &amp; Y$2 &amp; "'!$A:$A"), INDIRECT("'" &amp; Y$2 &amp; "'!$B:$B"), "")&lt;&gt;"", "✓", "✗"), "✗")
)</f>
        <v>✓</v>
      </c>
      <c r="Z34" t="str" cm="1">
        <f t="array" aca="1" ref="Z34" ca="1">IF(
    ISNUMBER(VALUE(LEFT($A34, 1))),
    "",
    IFERROR(IF(_xlfn.XLOOKUP($A34, INDIRECT("'" &amp; Z$2 &amp; "'!$A:$A"), INDIRECT("'" &amp; Z$2 &amp; "'!$B:$B"), "")&lt;&gt;"", "✓", "✗"), "✗")
)</f>
        <v>✓</v>
      </c>
      <c r="AA34" t="str" cm="1">
        <f t="array" aca="1" ref="AA34" ca="1">IF(
    ISNUMBER(VALUE(LEFT($A34, 1))),
    "",
    IFERROR(IF(_xlfn.XLOOKUP($A34, INDIRECT("'" &amp; AA$2 &amp; "'!$A:$A"), INDIRECT("'" &amp; AA$2 &amp; "'!$B:$B"), "")&lt;&gt;"", "✓", "✗"), "✗")
)</f>
        <v>✓</v>
      </c>
      <c r="AB34" t="str" cm="1">
        <f t="array" aca="1" ref="AB34" ca="1">IF(
    ISNUMBER(VALUE(LEFT($A34, 1))),
    "",
    IFERROR(IF(_xlfn.XLOOKUP($A34, INDIRECT("'" &amp; AB$2 &amp; "'!$A:$A"), INDIRECT("'" &amp; AB$2 &amp; "'!$B:$B"), "")&lt;&gt;"", "✓", "✗"), "✗")
)</f>
        <v>✓</v>
      </c>
      <c r="AC34" t="str" cm="1">
        <f t="array" aca="1" ref="AC34" ca="1">IF(
    ISNUMBER(VALUE(LEFT($A34, 1))),
    "",
    IFERROR(IF(_xlfn.XLOOKUP($A34, INDIRECT("'" &amp; AC$2 &amp; "'!$A:$A"), INDIRECT("'" &amp; AC$2 &amp; "'!$B:$B"), "")&lt;&gt;"", "✓", "✗"), "✗")
)</f>
        <v>✗</v>
      </c>
      <c r="AD34" t="str" cm="1">
        <f t="array" aca="1" ref="AD34" ca="1">IF(
    ISNUMBER(VALUE(LEFT($A34, 1))),
    "",
    IFERROR(IF(_xlfn.XLOOKUP($A34, INDIRECT("'" &amp; AD$2 &amp; "'!$A:$A"), INDIRECT("'" &amp; AD$2 &amp; "'!$B:$B"), "")&lt;&gt;"", "✓", "✗"), "✗")
)</f>
        <v>✗</v>
      </c>
      <c r="AE34" t="str" cm="1">
        <f t="array" aca="1" ref="AE34" ca="1">IF(
    ISNUMBER(VALUE(LEFT($A34, 1))),
    "",
    IFERROR(IF(_xlfn.XLOOKUP($A34, INDIRECT("'" &amp; AE$2 &amp; "'!$A:$A"), INDIRECT("'" &amp; AE$2 &amp; "'!$B:$B"), "")&lt;&gt;"", "✓", "✗"), "✗")
)</f>
        <v>✓</v>
      </c>
      <c r="AF34" t="str" cm="1">
        <f t="array" aca="1" ref="AF34" ca="1">IF(
    ISNUMBER(VALUE(LEFT($A34, 1))),
    "",
    IFERROR(IF(_xlfn.XLOOKUP($A34, INDIRECT("'" &amp; AF$2 &amp; "'!$A:$A"), INDIRECT("'" &amp; AF$2 &amp; "'!$B:$B"), "")&lt;&gt;"", "✓", "✗"), "✗")
)</f>
        <v>✓</v>
      </c>
      <c r="AG34" t="str" cm="1">
        <f t="array" aca="1" ref="AG34" ca="1">IF(
    ISNUMBER(VALUE(LEFT($A34, 1))),
    "",
    IFERROR(IF(_xlfn.XLOOKUP($A34, INDIRECT("'" &amp; AG$2 &amp; "'!$A:$A"), INDIRECT("'" &amp; AG$2 &amp; "'!$B:$B"), "")&lt;&gt;"", "✓", "✗"), "✗")
)</f>
        <v>✓</v>
      </c>
    </row>
    <row r="35" spans="1:33" x14ac:dyDescent="0.45">
      <c r="A35" t="str">
        <v>Named Account Flag</v>
      </c>
      <c r="B35" t="str" cm="1">
        <f t="array" aca="1" ref="B35" ca="1">IF(
    ISNUMBER(VALUE(LEFT($A35, 1))),
    "",
    IFERROR(IF(_xlfn.XLOOKUP($A35, INDIRECT("'" &amp; B$2 &amp; "'!$A:$A"), INDIRECT("'" &amp; B$2 &amp; "'!$B:$B"), "")&lt;&gt;"", "✓", "✗"), "✗")
)</f>
        <v>✓</v>
      </c>
      <c r="C35" t="str" cm="1">
        <f t="array" aca="1" ref="C35" ca="1">IF(
    ISNUMBER(VALUE(LEFT($A35, 1))),
    "",
    IFERROR(IF(_xlfn.XLOOKUP($A35, INDIRECT("'" &amp; C$2 &amp; "'!$A:$A"), INDIRECT("'" &amp; C$2 &amp; "'!$B:$B"), "")&lt;&gt;"", "✓", "✗"), "✗")
)</f>
        <v>✓</v>
      </c>
      <c r="D35" t="str" cm="1">
        <f t="array" aca="1" ref="D35" ca="1">IF(
    ISNUMBER(VALUE(LEFT($A35, 1))),
    "",
    IFERROR(IF(_xlfn.XLOOKUP($A35, INDIRECT("'" &amp; D$2 &amp; "'!$A:$A"), INDIRECT("'" &amp; D$2 &amp; "'!$B:$B"), "")&lt;&gt;"", "✓", "✗"), "✗")
)</f>
        <v>✓</v>
      </c>
      <c r="E35" t="str" cm="1">
        <f t="array" aca="1" ref="E35" ca="1">IF(
    ISNUMBER(VALUE(LEFT($A35, 1))),
    "",
    IFERROR(IF(_xlfn.XLOOKUP($A35, INDIRECT("'" &amp; E$2 &amp; "'!$A:$A"), INDIRECT("'" &amp; E$2 &amp; "'!$B:$B"), "")&lt;&gt;"", "✓", "✗"), "✗")
)</f>
        <v>✓</v>
      </c>
      <c r="F35" t="str" cm="1">
        <f t="array" aca="1" ref="F35" ca="1">IF(
    ISNUMBER(VALUE(LEFT($A35, 1))),
    "",
    IFERROR(IF(_xlfn.XLOOKUP($A35, INDIRECT("'" &amp; F$2 &amp; "'!$A:$A"), INDIRECT("'" &amp; F$2 &amp; "'!$B:$B"), "")&lt;&gt;"", "✓", "✗"), "✗")
)</f>
        <v>✓</v>
      </c>
      <c r="G35" t="str" cm="1">
        <f t="array" aca="1" ref="G35" ca="1">IF(
    ISNUMBER(VALUE(LEFT($A35, 1))),
    "",
    IFERROR(IF(_xlfn.XLOOKUP($A35, INDIRECT("'" &amp; G$2 &amp; "'!$A:$A"), INDIRECT("'" &amp; G$2 &amp; "'!$B:$B"), "")&lt;&gt;"", "✓", "✗"), "✗")
)</f>
        <v>✓</v>
      </c>
      <c r="H35" t="str" cm="1">
        <f t="array" aca="1" ref="H35" ca="1">IF(
    ISNUMBER(VALUE(LEFT($A35, 1))),
    "",
    IFERROR(IF(_xlfn.XLOOKUP($A35, INDIRECT("'" &amp; H$2 &amp; "'!$A:$A"), INDIRECT("'" &amp; H$2 &amp; "'!$B:$B"), "")&lt;&gt;"", "✓", "✗"), "✗")
)</f>
        <v>✓</v>
      </c>
      <c r="I35" t="str" cm="1">
        <f t="array" aca="1" ref="I35" ca="1">IF(
    ISNUMBER(VALUE(LEFT($A35, 1))),
    "",
    IFERROR(IF(_xlfn.XLOOKUP($A35, INDIRECT("'" &amp; I$2 &amp; "'!$A:$A"), INDIRECT("'" &amp; I$2 &amp; "'!$B:$B"), "")&lt;&gt;"", "✓", "✗"), "✗")
)</f>
        <v>✓</v>
      </c>
      <c r="J35" t="str" cm="1">
        <f t="array" aca="1" ref="J35" ca="1">IF(
    ISNUMBER(VALUE(LEFT($A35, 1))),
    "",
    IFERROR(IF(_xlfn.XLOOKUP($A35, INDIRECT("'" &amp; J$2 &amp; "'!$A:$A"), INDIRECT("'" &amp; J$2 &amp; "'!$B:$B"), "")&lt;&gt;"", "✓", "✗"), "✗")
)</f>
        <v>✓</v>
      </c>
      <c r="K35" t="str" cm="1">
        <f t="array" aca="1" ref="K35" ca="1">IF(
    ISNUMBER(VALUE(LEFT($A35, 1))),
    "",
    IFERROR(IF(_xlfn.XLOOKUP($A35, INDIRECT("'" &amp; K$2 &amp; "'!$A:$A"), INDIRECT("'" &amp; K$2 &amp; "'!$B:$B"), "")&lt;&gt;"", "✓", "✗"), "✗")
)</f>
        <v>✓</v>
      </c>
      <c r="L35" t="str" cm="1">
        <f t="array" aca="1" ref="L35" ca="1">IF(
    ISNUMBER(VALUE(LEFT($A35, 1))),
    "",
    IFERROR(IF(_xlfn.XLOOKUP($A35, INDIRECT("'" &amp; L$2 &amp; "'!$A:$A"), INDIRECT("'" &amp; L$2 &amp; "'!$B:$B"), "")&lt;&gt;"", "✓", "✗"), "✗")
)</f>
        <v>✓</v>
      </c>
      <c r="M35" t="str" cm="1">
        <f t="array" aca="1" ref="M35" ca="1">IF(
    ISNUMBER(VALUE(LEFT($A35, 1))),
    "",
    IFERROR(IF(_xlfn.XLOOKUP($A35, INDIRECT("'" &amp; M$2 &amp; "'!$A:$A"), INDIRECT("'" &amp; M$2 &amp; "'!$B:$B"), "")&lt;&gt;"", "✓", "✗"), "✗")
)</f>
        <v>✓</v>
      </c>
      <c r="N35" t="str" cm="1">
        <f t="array" aca="1" ref="N35" ca="1">IF(
    ISNUMBER(VALUE(LEFT($A35, 1))),
    "",
    IFERROR(IF(_xlfn.XLOOKUP($A35, INDIRECT("'" &amp; N$2 &amp; "'!$A:$A"), INDIRECT("'" &amp; N$2 &amp; "'!$B:$B"), "")&lt;&gt;"", "✓", "✗"), "✗")
)</f>
        <v>✓</v>
      </c>
      <c r="O35" t="str" cm="1">
        <f t="array" aca="1" ref="O35" ca="1">IF(
    ISNUMBER(VALUE(LEFT($A35, 1))),
    "",
    IFERROR(IF(_xlfn.XLOOKUP($A35, INDIRECT("'" &amp; O$2 &amp; "'!$A:$A"), INDIRECT("'" &amp; O$2 &amp; "'!$B:$B"), "")&lt;&gt;"", "✓", "✗"), "✗")
)</f>
        <v>✓</v>
      </c>
      <c r="P35" t="str" cm="1">
        <f t="array" aca="1" ref="P35" ca="1">IF(
    ISNUMBER(VALUE(LEFT($A35, 1))),
    "",
    IFERROR(IF(_xlfn.XLOOKUP($A35, INDIRECT("'" &amp; P$2 &amp; "'!$A:$A"), INDIRECT("'" &amp; P$2 &amp; "'!$B:$B"), "")&lt;&gt;"", "✓", "✗"), "✗")
)</f>
        <v>✓</v>
      </c>
      <c r="Q35" t="str" cm="1">
        <f t="array" aca="1" ref="Q35" ca="1">IF(
    ISNUMBER(VALUE(LEFT($A35, 1))),
    "",
    IFERROR(IF(_xlfn.XLOOKUP($A35, INDIRECT("'" &amp; Q$2 &amp; "'!$A:$A"), INDIRECT("'" &amp; Q$2 &amp; "'!$B:$B"), "")&lt;&gt;"", "✓", "✗"), "✗")
)</f>
        <v>✓</v>
      </c>
      <c r="R35" t="str" cm="1">
        <f t="array" aca="1" ref="R35" ca="1">IF(
    ISNUMBER(VALUE(LEFT($A35, 1))),
    "",
    IFERROR(IF(_xlfn.XLOOKUP($A35, INDIRECT("'" &amp; R$2 &amp; "'!$A:$A"), INDIRECT("'" &amp; R$2 &amp; "'!$B:$B"), "")&lt;&gt;"", "✓", "✗"), "✗")
)</f>
        <v>✓</v>
      </c>
      <c r="S35" t="str" cm="1">
        <f t="array" aca="1" ref="S35" ca="1">IF(
    ISNUMBER(VALUE(LEFT($A35, 1))),
    "",
    IFERROR(IF(_xlfn.XLOOKUP($A35, INDIRECT("'" &amp; S$2 &amp; "'!$A:$A"), INDIRECT("'" &amp; S$2 &amp; "'!$B:$B"), "")&lt;&gt;"", "✓", "✗"), "✗")
)</f>
        <v>✓</v>
      </c>
      <c r="T35" t="str" cm="1">
        <f t="array" aca="1" ref="T35" ca="1">IF(
    ISNUMBER(VALUE(LEFT($A35, 1))),
    "",
    IFERROR(IF(_xlfn.XLOOKUP($A35, INDIRECT("'" &amp; T$2 &amp; "'!$A:$A"), INDIRECT("'" &amp; T$2 &amp; "'!$B:$B"), "")&lt;&gt;"", "✓", "✗"), "✗")
)</f>
        <v>✓</v>
      </c>
      <c r="U35" t="str" cm="1">
        <f t="array" aca="1" ref="U35" ca="1">IF(
    ISNUMBER(VALUE(LEFT($A35, 1))),
    "",
    IFERROR(IF(_xlfn.XLOOKUP($A35, INDIRECT("'" &amp; U$2 &amp; "'!$A:$A"), INDIRECT("'" &amp; U$2 &amp; "'!$B:$B"), "")&lt;&gt;"", "✓", "✗"), "✗")
)</f>
        <v>✓</v>
      </c>
      <c r="V35" t="str" cm="1">
        <f t="array" aca="1" ref="V35" ca="1">IF(
    ISNUMBER(VALUE(LEFT($A35, 1))),
    "",
    IFERROR(IF(_xlfn.XLOOKUP($A35, INDIRECT("'" &amp; V$2 &amp; "'!$A:$A"), INDIRECT("'" &amp; V$2 &amp; "'!$B:$B"), "")&lt;&gt;"", "✓", "✗"), "✗")
)</f>
        <v>✓</v>
      </c>
      <c r="W35" t="str" cm="1">
        <f t="array" aca="1" ref="W35" ca="1">IF(
    ISNUMBER(VALUE(LEFT($A35, 1))),
    "",
    IFERROR(IF(_xlfn.XLOOKUP($A35, INDIRECT("'" &amp; W$2 &amp; "'!$A:$A"), INDIRECT("'" &amp; W$2 &amp; "'!$B:$B"), "")&lt;&gt;"", "✓", "✗"), "✗")
)</f>
        <v>✓</v>
      </c>
      <c r="X35" t="str" cm="1">
        <f t="array" aca="1" ref="X35" ca="1">IF(
    ISNUMBER(VALUE(LEFT($A35, 1))),
    "",
    IFERROR(IF(_xlfn.XLOOKUP($A35, INDIRECT("'" &amp; X$2 &amp; "'!$A:$A"), INDIRECT("'" &amp; X$2 &amp; "'!$B:$B"), "")&lt;&gt;"", "✓", "✗"), "✗")
)</f>
        <v>✓</v>
      </c>
      <c r="Y35" t="str" cm="1">
        <f t="array" aca="1" ref="Y35" ca="1">IF(
    ISNUMBER(VALUE(LEFT($A35, 1))),
    "",
    IFERROR(IF(_xlfn.XLOOKUP($A35, INDIRECT("'" &amp; Y$2 &amp; "'!$A:$A"), INDIRECT("'" &amp; Y$2 &amp; "'!$B:$B"), "")&lt;&gt;"", "✓", "✗"), "✗")
)</f>
        <v>✓</v>
      </c>
      <c r="Z35" t="str" cm="1">
        <f t="array" aca="1" ref="Z35" ca="1">IF(
    ISNUMBER(VALUE(LEFT($A35, 1))),
    "",
    IFERROR(IF(_xlfn.XLOOKUP($A35, INDIRECT("'" &amp; Z$2 &amp; "'!$A:$A"), INDIRECT("'" &amp; Z$2 &amp; "'!$B:$B"), "")&lt;&gt;"", "✓", "✗"), "✗")
)</f>
        <v>✓</v>
      </c>
      <c r="AA35" t="str" cm="1">
        <f t="array" aca="1" ref="AA35" ca="1">IF(
    ISNUMBER(VALUE(LEFT($A35, 1))),
    "",
    IFERROR(IF(_xlfn.XLOOKUP($A35, INDIRECT("'" &amp; AA$2 &amp; "'!$A:$A"), INDIRECT("'" &amp; AA$2 &amp; "'!$B:$B"), "")&lt;&gt;"", "✓", "✗"), "✗")
)</f>
        <v>✓</v>
      </c>
      <c r="AB35" t="str" cm="1">
        <f t="array" aca="1" ref="AB35" ca="1">IF(
    ISNUMBER(VALUE(LEFT($A35, 1))),
    "",
    IFERROR(IF(_xlfn.XLOOKUP($A35, INDIRECT("'" &amp; AB$2 &amp; "'!$A:$A"), INDIRECT("'" &amp; AB$2 &amp; "'!$B:$B"), "")&lt;&gt;"", "✓", "✗"), "✗")
)</f>
        <v>✓</v>
      </c>
      <c r="AC35" t="str" cm="1">
        <f t="array" aca="1" ref="AC35" ca="1">IF(
    ISNUMBER(VALUE(LEFT($A35, 1))),
    "",
    IFERROR(IF(_xlfn.XLOOKUP($A35, INDIRECT("'" &amp; AC$2 &amp; "'!$A:$A"), INDIRECT("'" &amp; AC$2 &amp; "'!$B:$B"), "")&lt;&gt;"", "✓", "✗"), "✗")
)</f>
        <v>✗</v>
      </c>
      <c r="AD35" t="str" cm="1">
        <f t="array" aca="1" ref="AD35" ca="1">IF(
    ISNUMBER(VALUE(LEFT($A35, 1))),
    "",
    IFERROR(IF(_xlfn.XLOOKUP($A35, INDIRECT("'" &amp; AD$2 &amp; "'!$A:$A"), INDIRECT("'" &amp; AD$2 &amp; "'!$B:$B"), "")&lt;&gt;"", "✓", "✗"), "✗")
)</f>
        <v>✗</v>
      </c>
      <c r="AE35" t="str" cm="1">
        <f t="array" aca="1" ref="AE35" ca="1">IF(
    ISNUMBER(VALUE(LEFT($A35, 1))),
    "",
    IFERROR(IF(_xlfn.XLOOKUP($A35, INDIRECT("'" &amp; AE$2 &amp; "'!$A:$A"), INDIRECT("'" &amp; AE$2 &amp; "'!$B:$B"), "")&lt;&gt;"", "✓", "✗"), "✗")
)</f>
        <v>✓</v>
      </c>
      <c r="AF35" t="str" cm="1">
        <f t="array" aca="1" ref="AF35" ca="1">IF(
    ISNUMBER(VALUE(LEFT($A35, 1))),
    "",
    IFERROR(IF(_xlfn.XLOOKUP($A35, INDIRECT("'" &amp; AF$2 &amp; "'!$A:$A"), INDIRECT("'" &amp; AF$2 &amp; "'!$B:$B"), "")&lt;&gt;"", "✓", "✗"), "✗")
)</f>
        <v>✓</v>
      </c>
      <c r="AG35" t="str" cm="1">
        <f t="array" aca="1" ref="AG35" ca="1">IF(
    ISNUMBER(VALUE(LEFT($A35, 1))),
    "",
    IFERROR(IF(_xlfn.XLOOKUP($A35, INDIRECT("'" &amp; AG$2 &amp; "'!$A:$A"), INDIRECT("'" &amp; AG$2 &amp; "'!$B:$B"), "")&lt;&gt;"", "✓", "✗"), "✗")
)</f>
        <v>✓</v>
      </c>
    </row>
    <row r="36" spans="1:33" x14ac:dyDescent="0.45">
      <c r="A36" t="str">
        <v>Number of Employees</v>
      </c>
      <c r="B36" t="str" cm="1">
        <f t="array" aca="1" ref="B36" ca="1">IF(
    ISNUMBER(VALUE(LEFT($A36, 1))),
    "",
    IFERROR(IF(_xlfn.XLOOKUP($A36, INDIRECT("'" &amp; B$2 &amp; "'!$A:$A"), INDIRECT("'" &amp; B$2 &amp; "'!$B:$B"), "")&lt;&gt;"", "✓", "✗"), "✗")
)</f>
        <v>✓</v>
      </c>
      <c r="C36" t="str" cm="1">
        <f t="array" aca="1" ref="C36" ca="1">IF(
    ISNUMBER(VALUE(LEFT($A36, 1))),
    "",
    IFERROR(IF(_xlfn.XLOOKUP($A36, INDIRECT("'" &amp; C$2 &amp; "'!$A:$A"), INDIRECT("'" &amp; C$2 &amp; "'!$B:$B"), "")&lt;&gt;"", "✓", "✗"), "✗")
)</f>
        <v>✓</v>
      </c>
      <c r="D36" t="str" cm="1">
        <f t="array" aca="1" ref="D36" ca="1">IF(
    ISNUMBER(VALUE(LEFT($A36, 1))),
    "",
    IFERROR(IF(_xlfn.XLOOKUP($A36, INDIRECT("'" &amp; D$2 &amp; "'!$A:$A"), INDIRECT("'" &amp; D$2 &amp; "'!$B:$B"), "")&lt;&gt;"", "✓", "✗"), "✗")
)</f>
        <v>✓</v>
      </c>
      <c r="E36" t="str" cm="1">
        <f t="array" aca="1" ref="E36" ca="1">IF(
    ISNUMBER(VALUE(LEFT($A36, 1))),
    "",
    IFERROR(IF(_xlfn.XLOOKUP($A36, INDIRECT("'" &amp; E$2 &amp; "'!$A:$A"), INDIRECT("'" &amp; E$2 &amp; "'!$B:$B"), "")&lt;&gt;"", "✓", "✗"), "✗")
)</f>
        <v>✓</v>
      </c>
      <c r="F36" t="str" cm="1">
        <f t="array" aca="1" ref="F36" ca="1">IF(
    ISNUMBER(VALUE(LEFT($A36, 1))),
    "",
    IFERROR(IF(_xlfn.XLOOKUP($A36, INDIRECT("'" &amp; F$2 &amp; "'!$A:$A"), INDIRECT("'" &amp; F$2 &amp; "'!$B:$B"), "")&lt;&gt;"", "✓", "✗"), "✗")
)</f>
        <v>✓</v>
      </c>
      <c r="G36" t="str" cm="1">
        <f t="array" aca="1" ref="G36" ca="1">IF(
    ISNUMBER(VALUE(LEFT($A36, 1))),
    "",
    IFERROR(IF(_xlfn.XLOOKUP($A36, INDIRECT("'" &amp; G$2 &amp; "'!$A:$A"), INDIRECT("'" &amp; G$2 &amp; "'!$B:$B"), "")&lt;&gt;"", "✓", "✗"), "✗")
)</f>
        <v>✓</v>
      </c>
      <c r="H36" t="str" cm="1">
        <f t="array" aca="1" ref="H36" ca="1">IF(
    ISNUMBER(VALUE(LEFT($A36, 1))),
    "",
    IFERROR(IF(_xlfn.XLOOKUP($A36, INDIRECT("'" &amp; H$2 &amp; "'!$A:$A"), INDIRECT("'" &amp; H$2 &amp; "'!$B:$B"), "")&lt;&gt;"", "✓", "✗"), "✗")
)</f>
        <v>✓</v>
      </c>
      <c r="I36" t="str" cm="1">
        <f t="array" aca="1" ref="I36" ca="1">IF(
    ISNUMBER(VALUE(LEFT($A36, 1))),
    "",
    IFERROR(IF(_xlfn.XLOOKUP($A36, INDIRECT("'" &amp; I$2 &amp; "'!$A:$A"), INDIRECT("'" &amp; I$2 &amp; "'!$B:$B"), "")&lt;&gt;"", "✓", "✗"), "✗")
)</f>
        <v>✓</v>
      </c>
      <c r="J36" t="str" cm="1">
        <f t="array" aca="1" ref="J36" ca="1">IF(
    ISNUMBER(VALUE(LEFT($A36, 1))),
    "",
    IFERROR(IF(_xlfn.XLOOKUP($A36, INDIRECT("'" &amp; J$2 &amp; "'!$A:$A"), INDIRECT("'" &amp; J$2 &amp; "'!$B:$B"), "")&lt;&gt;"", "✓", "✗"), "✗")
)</f>
        <v>✓</v>
      </c>
      <c r="K36" t="str" cm="1">
        <f t="array" aca="1" ref="K36" ca="1">IF(
    ISNUMBER(VALUE(LEFT($A36, 1))),
    "",
    IFERROR(IF(_xlfn.XLOOKUP($A36, INDIRECT("'" &amp; K$2 &amp; "'!$A:$A"), INDIRECT("'" &amp; K$2 &amp; "'!$B:$B"), "")&lt;&gt;"", "✓", "✗"), "✗")
)</f>
        <v>✓</v>
      </c>
      <c r="L36" t="str" cm="1">
        <f t="array" aca="1" ref="L36" ca="1">IF(
    ISNUMBER(VALUE(LEFT($A36, 1))),
    "",
    IFERROR(IF(_xlfn.XLOOKUP($A36, INDIRECT("'" &amp; L$2 &amp; "'!$A:$A"), INDIRECT("'" &amp; L$2 &amp; "'!$B:$B"), "")&lt;&gt;"", "✓", "✗"), "✗")
)</f>
        <v>✓</v>
      </c>
      <c r="M36" t="str" cm="1">
        <f t="array" aca="1" ref="M36" ca="1">IF(
    ISNUMBER(VALUE(LEFT($A36, 1))),
    "",
    IFERROR(IF(_xlfn.XLOOKUP($A36, INDIRECT("'" &amp; M$2 &amp; "'!$A:$A"), INDIRECT("'" &amp; M$2 &amp; "'!$B:$B"), "")&lt;&gt;"", "✓", "✗"), "✗")
)</f>
        <v>✓</v>
      </c>
      <c r="N36" t="str" cm="1">
        <f t="array" aca="1" ref="N36" ca="1">IF(
    ISNUMBER(VALUE(LEFT($A36, 1))),
    "",
    IFERROR(IF(_xlfn.XLOOKUP($A36, INDIRECT("'" &amp; N$2 &amp; "'!$A:$A"), INDIRECT("'" &amp; N$2 &amp; "'!$B:$B"), "")&lt;&gt;"", "✓", "✗"), "✗")
)</f>
        <v>✓</v>
      </c>
      <c r="O36" t="str" cm="1">
        <f t="array" aca="1" ref="O36" ca="1">IF(
    ISNUMBER(VALUE(LEFT($A36, 1))),
    "",
    IFERROR(IF(_xlfn.XLOOKUP($A36, INDIRECT("'" &amp; O$2 &amp; "'!$A:$A"), INDIRECT("'" &amp; O$2 &amp; "'!$B:$B"), "")&lt;&gt;"", "✓", "✗"), "✗")
)</f>
        <v>✓</v>
      </c>
      <c r="P36" t="str" cm="1">
        <f t="array" aca="1" ref="P36" ca="1">IF(
    ISNUMBER(VALUE(LEFT($A36, 1))),
    "",
    IFERROR(IF(_xlfn.XLOOKUP($A36, INDIRECT("'" &amp; P$2 &amp; "'!$A:$A"), INDIRECT("'" &amp; P$2 &amp; "'!$B:$B"), "")&lt;&gt;"", "✓", "✗"), "✗")
)</f>
        <v>✓</v>
      </c>
      <c r="Q36" t="str" cm="1">
        <f t="array" aca="1" ref="Q36" ca="1">IF(
    ISNUMBER(VALUE(LEFT($A36, 1))),
    "",
    IFERROR(IF(_xlfn.XLOOKUP($A36, INDIRECT("'" &amp; Q$2 &amp; "'!$A:$A"), INDIRECT("'" &amp; Q$2 &amp; "'!$B:$B"), "")&lt;&gt;"", "✓", "✗"), "✗")
)</f>
        <v>✓</v>
      </c>
      <c r="R36" t="str" cm="1">
        <f t="array" aca="1" ref="R36" ca="1">IF(
    ISNUMBER(VALUE(LEFT($A36, 1))),
    "",
    IFERROR(IF(_xlfn.XLOOKUP($A36, INDIRECT("'" &amp; R$2 &amp; "'!$A:$A"), INDIRECT("'" &amp; R$2 &amp; "'!$B:$B"), "")&lt;&gt;"", "✓", "✗"), "✗")
)</f>
        <v>✓</v>
      </c>
      <c r="S36" t="str" cm="1">
        <f t="array" aca="1" ref="S36" ca="1">IF(
    ISNUMBER(VALUE(LEFT($A36, 1))),
    "",
    IFERROR(IF(_xlfn.XLOOKUP($A36, INDIRECT("'" &amp; S$2 &amp; "'!$A:$A"), INDIRECT("'" &amp; S$2 &amp; "'!$B:$B"), "")&lt;&gt;"", "✓", "✗"), "✗")
)</f>
        <v>✓</v>
      </c>
      <c r="T36" t="str" cm="1">
        <f t="array" aca="1" ref="T36" ca="1">IF(
    ISNUMBER(VALUE(LEFT($A36, 1))),
    "",
    IFERROR(IF(_xlfn.XLOOKUP($A36, INDIRECT("'" &amp; T$2 &amp; "'!$A:$A"), INDIRECT("'" &amp; T$2 &amp; "'!$B:$B"), "")&lt;&gt;"", "✓", "✗"), "✗")
)</f>
        <v>✓</v>
      </c>
      <c r="U36" t="str" cm="1">
        <f t="array" aca="1" ref="U36" ca="1">IF(
    ISNUMBER(VALUE(LEFT($A36, 1))),
    "",
    IFERROR(IF(_xlfn.XLOOKUP($A36, INDIRECT("'" &amp; U$2 &amp; "'!$A:$A"), INDIRECT("'" &amp; U$2 &amp; "'!$B:$B"), "")&lt;&gt;"", "✓", "✗"), "✗")
)</f>
        <v>✓</v>
      </c>
      <c r="V36" t="str" cm="1">
        <f t="array" aca="1" ref="V36" ca="1">IF(
    ISNUMBER(VALUE(LEFT($A36, 1))),
    "",
    IFERROR(IF(_xlfn.XLOOKUP($A36, INDIRECT("'" &amp; V$2 &amp; "'!$A:$A"), INDIRECT("'" &amp; V$2 &amp; "'!$B:$B"), "")&lt;&gt;"", "✓", "✗"), "✗")
)</f>
        <v>✓</v>
      </c>
      <c r="W36" t="str" cm="1">
        <f t="array" aca="1" ref="W36" ca="1">IF(
    ISNUMBER(VALUE(LEFT($A36, 1))),
    "",
    IFERROR(IF(_xlfn.XLOOKUP($A36, INDIRECT("'" &amp; W$2 &amp; "'!$A:$A"), INDIRECT("'" &amp; W$2 &amp; "'!$B:$B"), "")&lt;&gt;"", "✓", "✗"), "✗")
)</f>
        <v>✓</v>
      </c>
      <c r="X36" t="str" cm="1">
        <f t="array" aca="1" ref="X36" ca="1">IF(
    ISNUMBER(VALUE(LEFT($A36, 1))),
    "",
    IFERROR(IF(_xlfn.XLOOKUP($A36, INDIRECT("'" &amp; X$2 &amp; "'!$A:$A"), INDIRECT("'" &amp; X$2 &amp; "'!$B:$B"), "")&lt;&gt;"", "✓", "✗"), "✗")
)</f>
        <v>✓</v>
      </c>
      <c r="Y36" t="str" cm="1">
        <f t="array" aca="1" ref="Y36" ca="1">IF(
    ISNUMBER(VALUE(LEFT($A36, 1))),
    "",
    IFERROR(IF(_xlfn.XLOOKUP($A36, INDIRECT("'" &amp; Y$2 &amp; "'!$A:$A"), INDIRECT("'" &amp; Y$2 &amp; "'!$B:$B"), "")&lt;&gt;"", "✓", "✗"), "✗")
)</f>
        <v>✓</v>
      </c>
      <c r="Z36" t="str" cm="1">
        <f t="array" aca="1" ref="Z36" ca="1">IF(
    ISNUMBER(VALUE(LEFT($A36, 1))),
    "",
    IFERROR(IF(_xlfn.XLOOKUP($A36, INDIRECT("'" &amp; Z$2 &amp; "'!$A:$A"), INDIRECT("'" &amp; Z$2 &amp; "'!$B:$B"), "")&lt;&gt;"", "✓", "✗"), "✗")
)</f>
        <v>✓</v>
      </c>
      <c r="AA36" t="str" cm="1">
        <f t="array" aca="1" ref="AA36" ca="1">IF(
    ISNUMBER(VALUE(LEFT($A36, 1))),
    "",
    IFERROR(IF(_xlfn.XLOOKUP($A36, INDIRECT("'" &amp; AA$2 &amp; "'!$A:$A"), INDIRECT("'" &amp; AA$2 &amp; "'!$B:$B"), "")&lt;&gt;"", "✓", "✗"), "✗")
)</f>
        <v>✓</v>
      </c>
      <c r="AB36" t="str" cm="1">
        <f t="array" aca="1" ref="AB36" ca="1">IF(
    ISNUMBER(VALUE(LEFT($A36, 1))),
    "",
    IFERROR(IF(_xlfn.XLOOKUP($A36, INDIRECT("'" &amp; AB$2 &amp; "'!$A:$A"), INDIRECT("'" &amp; AB$2 &amp; "'!$B:$B"), "")&lt;&gt;"", "✓", "✗"), "✗")
)</f>
        <v>✓</v>
      </c>
      <c r="AC36" t="str" cm="1">
        <f t="array" aca="1" ref="AC36" ca="1">IF(
    ISNUMBER(VALUE(LEFT($A36, 1))),
    "",
    IFERROR(IF(_xlfn.XLOOKUP($A36, INDIRECT("'" &amp; AC$2 &amp; "'!$A:$A"), INDIRECT("'" &amp; AC$2 &amp; "'!$B:$B"), "")&lt;&gt;"", "✓", "✗"), "✗")
)</f>
        <v>✗</v>
      </c>
      <c r="AD36" t="str" cm="1">
        <f t="array" aca="1" ref="AD36" ca="1">IF(
    ISNUMBER(VALUE(LEFT($A36, 1))),
    "",
    IFERROR(IF(_xlfn.XLOOKUP($A36, INDIRECT("'" &amp; AD$2 &amp; "'!$A:$A"), INDIRECT("'" &amp; AD$2 &amp; "'!$B:$B"), "")&lt;&gt;"", "✓", "✗"), "✗")
)</f>
        <v>✗</v>
      </c>
      <c r="AE36" t="str" cm="1">
        <f t="array" aca="1" ref="AE36" ca="1">IF(
    ISNUMBER(VALUE(LEFT($A36, 1))),
    "",
    IFERROR(IF(_xlfn.XLOOKUP($A36, INDIRECT("'" &amp; AE$2 &amp; "'!$A:$A"), INDIRECT("'" &amp; AE$2 &amp; "'!$B:$B"), "")&lt;&gt;"", "✓", "✗"), "✗")
)</f>
        <v>✓</v>
      </c>
      <c r="AF36" t="str" cm="1">
        <f t="array" aca="1" ref="AF36" ca="1">IF(
    ISNUMBER(VALUE(LEFT($A36, 1))),
    "",
    IFERROR(IF(_xlfn.XLOOKUP($A36, INDIRECT("'" &amp; AF$2 &amp; "'!$A:$A"), INDIRECT("'" &amp; AF$2 &amp; "'!$B:$B"), "")&lt;&gt;"", "✓", "✗"), "✗")
)</f>
        <v>✓</v>
      </c>
      <c r="AG36" t="str" cm="1">
        <f t="array" aca="1" ref="AG36" ca="1">IF(
    ISNUMBER(VALUE(LEFT($A36, 1))),
    "",
    IFERROR(IF(_xlfn.XLOOKUP($A36, INDIRECT("'" &amp; AG$2 &amp; "'!$A:$A"), INDIRECT("'" &amp; AG$2 &amp; "'!$B:$B"), "")&lt;&gt;"", "✓", "✗"), "✗")
)</f>
        <v>✓</v>
      </c>
    </row>
    <row r="37" spans="1:33" x14ac:dyDescent="0.45">
      <c r="A37" t="str">
        <v>SAVM Account Manager Email</v>
      </c>
      <c r="B37" t="str" cm="1">
        <f t="array" aca="1" ref="B37" ca="1">IF(
    ISNUMBER(VALUE(LEFT($A37, 1))),
    "",
    IFERROR(IF(_xlfn.XLOOKUP($A37, INDIRECT("'" &amp; B$2 &amp; "'!$A:$A"), INDIRECT("'" &amp; B$2 &amp; "'!$B:$B"), "")&lt;&gt;"", "✓", "✗"), "✗")
)</f>
        <v>✓</v>
      </c>
      <c r="C37" t="str" cm="1">
        <f t="array" aca="1" ref="C37" ca="1">IF(
    ISNUMBER(VALUE(LEFT($A37, 1))),
    "",
    IFERROR(IF(_xlfn.XLOOKUP($A37, INDIRECT("'" &amp; C$2 &amp; "'!$A:$A"), INDIRECT("'" &amp; C$2 &amp; "'!$B:$B"), "")&lt;&gt;"", "✓", "✗"), "✗")
)</f>
        <v>✓</v>
      </c>
      <c r="D37" t="str" cm="1">
        <f t="array" aca="1" ref="D37" ca="1">IF(
    ISNUMBER(VALUE(LEFT($A37, 1))),
    "",
    IFERROR(IF(_xlfn.XLOOKUP($A37, INDIRECT("'" &amp; D$2 &amp; "'!$A:$A"), INDIRECT("'" &amp; D$2 &amp; "'!$B:$B"), "")&lt;&gt;"", "✓", "✗"), "✗")
)</f>
        <v>✓</v>
      </c>
      <c r="E37" t="str" cm="1">
        <f t="array" aca="1" ref="E37" ca="1">IF(
    ISNUMBER(VALUE(LEFT($A37, 1))),
    "",
    IFERROR(IF(_xlfn.XLOOKUP($A37, INDIRECT("'" &amp; E$2 &amp; "'!$A:$A"), INDIRECT("'" &amp; E$2 &amp; "'!$B:$B"), "")&lt;&gt;"", "✓", "✗"), "✗")
)</f>
        <v>✓</v>
      </c>
      <c r="F37" t="str" cm="1">
        <f t="array" aca="1" ref="F37" ca="1">IF(
    ISNUMBER(VALUE(LEFT($A37, 1))),
    "",
    IFERROR(IF(_xlfn.XLOOKUP($A37, INDIRECT("'" &amp; F$2 &amp; "'!$A:$A"), INDIRECT("'" &amp; F$2 &amp; "'!$B:$B"), "")&lt;&gt;"", "✓", "✗"), "✗")
)</f>
        <v>✓</v>
      </c>
      <c r="G37" t="str" cm="1">
        <f t="array" aca="1" ref="G37" ca="1">IF(
    ISNUMBER(VALUE(LEFT($A37, 1))),
    "",
    IFERROR(IF(_xlfn.XLOOKUP($A37, INDIRECT("'" &amp; G$2 &amp; "'!$A:$A"), INDIRECT("'" &amp; G$2 &amp; "'!$B:$B"), "")&lt;&gt;"", "✓", "✗"), "✗")
)</f>
        <v>✓</v>
      </c>
      <c r="H37" t="str" cm="1">
        <f t="array" aca="1" ref="H37" ca="1">IF(
    ISNUMBER(VALUE(LEFT($A37, 1))),
    "",
    IFERROR(IF(_xlfn.XLOOKUP($A37, INDIRECT("'" &amp; H$2 &amp; "'!$A:$A"), INDIRECT("'" &amp; H$2 &amp; "'!$B:$B"), "")&lt;&gt;"", "✓", "✗"), "✗")
)</f>
        <v>✓</v>
      </c>
      <c r="I37" t="str" cm="1">
        <f t="array" aca="1" ref="I37" ca="1">IF(
    ISNUMBER(VALUE(LEFT($A37, 1))),
    "",
    IFERROR(IF(_xlfn.XLOOKUP($A37, INDIRECT("'" &amp; I$2 &amp; "'!$A:$A"), INDIRECT("'" &amp; I$2 &amp; "'!$B:$B"), "")&lt;&gt;"", "✓", "✗"), "✗")
)</f>
        <v>✓</v>
      </c>
      <c r="J37" t="str" cm="1">
        <f t="array" aca="1" ref="J37" ca="1">IF(
    ISNUMBER(VALUE(LEFT($A37, 1))),
    "",
    IFERROR(IF(_xlfn.XLOOKUP($A37, INDIRECT("'" &amp; J$2 &amp; "'!$A:$A"), INDIRECT("'" &amp; J$2 &amp; "'!$B:$B"), "")&lt;&gt;"", "✓", "✗"), "✗")
)</f>
        <v>✓</v>
      </c>
      <c r="K37" t="str" cm="1">
        <f t="array" aca="1" ref="K37" ca="1">IF(
    ISNUMBER(VALUE(LEFT($A37, 1))),
    "",
    IFERROR(IF(_xlfn.XLOOKUP($A37, INDIRECT("'" &amp; K$2 &amp; "'!$A:$A"), INDIRECT("'" &amp; K$2 &amp; "'!$B:$B"), "")&lt;&gt;"", "✓", "✗"), "✗")
)</f>
        <v>✓</v>
      </c>
      <c r="L37" t="str" cm="1">
        <f t="array" aca="1" ref="L37" ca="1">IF(
    ISNUMBER(VALUE(LEFT($A37, 1))),
    "",
    IFERROR(IF(_xlfn.XLOOKUP($A37, INDIRECT("'" &amp; L$2 &amp; "'!$A:$A"), INDIRECT("'" &amp; L$2 &amp; "'!$B:$B"), "")&lt;&gt;"", "✓", "✗"), "✗")
)</f>
        <v>✓</v>
      </c>
      <c r="M37" t="str" cm="1">
        <f t="array" aca="1" ref="M37" ca="1">IF(
    ISNUMBER(VALUE(LEFT($A37, 1))),
    "",
    IFERROR(IF(_xlfn.XLOOKUP($A37, INDIRECT("'" &amp; M$2 &amp; "'!$A:$A"), INDIRECT("'" &amp; M$2 &amp; "'!$B:$B"), "")&lt;&gt;"", "✓", "✗"), "✗")
)</f>
        <v>✓</v>
      </c>
      <c r="N37" t="str" cm="1">
        <f t="array" aca="1" ref="N37" ca="1">IF(
    ISNUMBER(VALUE(LEFT($A37, 1))),
    "",
    IFERROR(IF(_xlfn.XLOOKUP($A37, INDIRECT("'" &amp; N$2 &amp; "'!$A:$A"), INDIRECT("'" &amp; N$2 &amp; "'!$B:$B"), "")&lt;&gt;"", "✓", "✗"), "✗")
)</f>
        <v>✓</v>
      </c>
      <c r="O37" t="str" cm="1">
        <f t="array" aca="1" ref="O37" ca="1">IF(
    ISNUMBER(VALUE(LEFT($A37, 1))),
    "",
    IFERROR(IF(_xlfn.XLOOKUP($A37, INDIRECT("'" &amp; O$2 &amp; "'!$A:$A"), INDIRECT("'" &amp; O$2 &amp; "'!$B:$B"), "")&lt;&gt;"", "✓", "✗"), "✗")
)</f>
        <v>✓</v>
      </c>
      <c r="P37" t="str" cm="1">
        <f t="array" aca="1" ref="P37" ca="1">IF(
    ISNUMBER(VALUE(LEFT($A37, 1))),
    "",
    IFERROR(IF(_xlfn.XLOOKUP($A37, INDIRECT("'" &amp; P$2 &amp; "'!$A:$A"), INDIRECT("'" &amp; P$2 &amp; "'!$B:$B"), "")&lt;&gt;"", "✓", "✗"), "✗")
)</f>
        <v>✓</v>
      </c>
      <c r="Q37" t="str" cm="1">
        <f t="array" aca="1" ref="Q37" ca="1">IF(
    ISNUMBER(VALUE(LEFT($A37, 1))),
    "",
    IFERROR(IF(_xlfn.XLOOKUP($A37, INDIRECT("'" &amp; Q$2 &amp; "'!$A:$A"), INDIRECT("'" &amp; Q$2 &amp; "'!$B:$B"), "")&lt;&gt;"", "✓", "✗"), "✗")
)</f>
        <v>✓</v>
      </c>
      <c r="R37" t="str" cm="1">
        <f t="array" aca="1" ref="R37" ca="1">IF(
    ISNUMBER(VALUE(LEFT($A37, 1))),
    "",
    IFERROR(IF(_xlfn.XLOOKUP($A37, INDIRECT("'" &amp; R$2 &amp; "'!$A:$A"), INDIRECT("'" &amp; R$2 &amp; "'!$B:$B"), "")&lt;&gt;"", "✓", "✗"), "✗")
)</f>
        <v>✓</v>
      </c>
      <c r="S37" t="str" cm="1">
        <f t="array" aca="1" ref="S37" ca="1">IF(
    ISNUMBER(VALUE(LEFT($A37, 1))),
    "",
    IFERROR(IF(_xlfn.XLOOKUP($A37, INDIRECT("'" &amp; S$2 &amp; "'!$A:$A"), INDIRECT("'" &amp; S$2 &amp; "'!$B:$B"), "")&lt;&gt;"", "✓", "✗"), "✗")
)</f>
        <v>✓</v>
      </c>
      <c r="T37" t="str" cm="1">
        <f t="array" aca="1" ref="T37" ca="1">IF(
    ISNUMBER(VALUE(LEFT($A37, 1))),
    "",
    IFERROR(IF(_xlfn.XLOOKUP($A37, INDIRECT("'" &amp; T$2 &amp; "'!$A:$A"), INDIRECT("'" &amp; T$2 &amp; "'!$B:$B"), "")&lt;&gt;"", "✓", "✗"), "✗")
)</f>
        <v>✓</v>
      </c>
      <c r="U37" t="str" cm="1">
        <f t="array" aca="1" ref="U37" ca="1">IF(
    ISNUMBER(VALUE(LEFT($A37, 1))),
    "",
    IFERROR(IF(_xlfn.XLOOKUP($A37, INDIRECT("'" &amp; U$2 &amp; "'!$A:$A"), INDIRECT("'" &amp; U$2 &amp; "'!$B:$B"), "")&lt;&gt;"", "✓", "✗"), "✗")
)</f>
        <v>✓</v>
      </c>
      <c r="V37" t="str" cm="1">
        <f t="array" aca="1" ref="V37" ca="1">IF(
    ISNUMBER(VALUE(LEFT($A37, 1))),
    "",
    IFERROR(IF(_xlfn.XLOOKUP($A37, INDIRECT("'" &amp; V$2 &amp; "'!$A:$A"), INDIRECT("'" &amp; V$2 &amp; "'!$B:$B"), "")&lt;&gt;"", "✓", "✗"), "✗")
)</f>
        <v>✓</v>
      </c>
      <c r="W37" t="str" cm="1">
        <f t="array" aca="1" ref="W37" ca="1">IF(
    ISNUMBER(VALUE(LEFT($A37, 1))),
    "",
    IFERROR(IF(_xlfn.XLOOKUP($A37, INDIRECT("'" &amp; W$2 &amp; "'!$A:$A"), INDIRECT("'" &amp; W$2 &amp; "'!$B:$B"), "")&lt;&gt;"", "✓", "✗"), "✗")
)</f>
        <v>✓</v>
      </c>
      <c r="X37" t="str" cm="1">
        <f t="array" aca="1" ref="X37" ca="1">IF(
    ISNUMBER(VALUE(LEFT($A37, 1))),
    "",
    IFERROR(IF(_xlfn.XLOOKUP($A37, INDIRECT("'" &amp; X$2 &amp; "'!$A:$A"), INDIRECT("'" &amp; X$2 &amp; "'!$B:$B"), "")&lt;&gt;"", "✓", "✗"), "✗")
)</f>
        <v>✓</v>
      </c>
      <c r="Y37" t="str" cm="1">
        <f t="array" aca="1" ref="Y37" ca="1">IF(
    ISNUMBER(VALUE(LEFT($A37, 1))),
    "",
    IFERROR(IF(_xlfn.XLOOKUP($A37, INDIRECT("'" &amp; Y$2 &amp; "'!$A:$A"), INDIRECT("'" &amp; Y$2 &amp; "'!$B:$B"), "")&lt;&gt;"", "✓", "✗"), "✗")
)</f>
        <v>✓</v>
      </c>
      <c r="Z37" t="str" cm="1">
        <f t="array" aca="1" ref="Z37" ca="1">IF(
    ISNUMBER(VALUE(LEFT($A37, 1))),
    "",
    IFERROR(IF(_xlfn.XLOOKUP($A37, INDIRECT("'" &amp; Z$2 &amp; "'!$A:$A"), INDIRECT("'" &amp; Z$2 &amp; "'!$B:$B"), "")&lt;&gt;"", "✓", "✗"), "✗")
)</f>
        <v>✓</v>
      </c>
      <c r="AA37" t="str" cm="1">
        <f t="array" aca="1" ref="AA37" ca="1">IF(
    ISNUMBER(VALUE(LEFT($A37, 1))),
    "",
    IFERROR(IF(_xlfn.XLOOKUP($A37, INDIRECT("'" &amp; AA$2 &amp; "'!$A:$A"), INDIRECT("'" &amp; AA$2 &amp; "'!$B:$B"), "")&lt;&gt;"", "✓", "✗"), "✗")
)</f>
        <v>✓</v>
      </c>
      <c r="AB37" t="str" cm="1">
        <f t="array" aca="1" ref="AB37" ca="1">IF(
    ISNUMBER(VALUE(LEFT($A37, 1))),
    "",
    IFERROR(IF(_xlfn.XLOOKUP($A37, INDIRECT("'" &amp; AB$2 &amp; "'!$A:$A"), INDIRECT("'" &amp; AB$2 &amp; "'!$B:$B"), "")&lt;&gt;"", "✓", "✗"), "✗")
)</f>
        <v>✓</v>
      </c>
      <c r="AC37" t="str" cm="1">
        <f t="array" aca="1" ref="AC37" ca="1">IF(
    ISNUMBER(VALUE(LEFT($A37, 1))),
    "",
    IFERROR(IF(_xlfn.XLOOKUP($A37, INDIRECT("'" &amp; AC$2 &amp; "'!$A:$A"), INDIRECT("'" &amp; AC$2 &amp; "'!$B:$B"), "")&lt;&gt;"", "✓", "✗"), "✗")
)</f>
        <v>✗</v>
      </c>
      <c r="AD37" t="str" cm="1">
        <f t="array" aca="1" ref="AD37" ca="1">IF(
    ISNUMBER(VALUE(LEFT($A37, 1))),
    "",
    IFERROR(IF(_xlfn.XLOOKUP($A37, INDIRECT("'" &amp; AD$2 &amp; "'!$A:$A"), INDIRECT("'" &amp; AD$2 &amp; "'!$B:$B"), "")&lt;&gt;"", "✓", "✗"), "✗")
)</f>
        <v>✗</v>
      </c>
      <c r="AE37" t="str" cm="1">
        <f t="array" aca="1" ref="AE37" ca="1">IF(
    ISNUMBER(VALUE(LEFT($A37, 1))),
    "",
    IFERROR(IF(_xlfn.XLOOKUP($A37, INDIRECT("'" &amp; AE$2 &amp; "'!$A:$A"), INDIRECT("'" &amp; AE$2 &amp; "'!$B:$B"), "")&lt;&gt;"", "✓", "✗"), "✗")
)</f>
        <v>✓</v>
      </c>
      <c r="AF37" t="str" cm="1">
        <f t="array" aca="1" ref="AF37" ca="1">IF(
    ISNUMBER(VALUE(LEFT($A37, 1))),
    "",
    IFERROR(IF(_xlfn.XLOOKUP($A37, INDIRECT("'" &amp; AF$2 &amp; "'!$A:$A"), INDIRECT("'" &amp; AF$2 &amp; "'!$B:$B"), "")&lt;&gt;"", "✓", "✗"), "✗")
)</f>
        <v>✓</v>
      </c>
      <c r="AG37" t="str" cm="1">
        <f t="array" aca="1" ref="AG37" ca="1">IF(
    ISNUMBER(VALUE(LEFT($A37, 1))),
    "",
    IFERROR(IF(_xlfn.XLOOKUP($A37, INDIRECT("'" &amp; AG$2 &amp; "'!$A:$A"), INDIRECT("'" &amp; AG$2 &amp; "'!$B:$B"), "")&lt;&gt;"", "✓", "✗"), "✗")
)</f>
        <v>✓</v>
      </c>
    </row>
    <row r="38" spans="1:33" x14ac:dyDescent="0.45">
      <c r="A38" t="str">
        <v>SAVM Sales Coverage Code</v>
      </c>
      <c r="B38" t="str" cm="1">
        <f t="array" aca="1" ref="B38" ca="1">IF(
    ISNUMBER(VALUE(LEFT($A38, 1))),
    "",
    IFERROR(IF(_xlfn.XLOOKUP($A38, INDIRECT("'" &amp; B$2 &amp; "'!$A:$A"), INDIRECT("'" &amp; B$2 &amp; "'!$B:$B"), "")&lt;&gt;"", "✓", "✗"), "✗")
)</f>
        <v>✓</v>
      </c>
      <c r="C38" t="str" cm="1">
        <f t="array" aca="1" ref="C38" ca="1">IF(
    ISNUMBER(VALUE(LEFT($A38, 1))),
    "",
    IFERROR(IF(_xlfn.XLOOKUP($A38, INDIRECT("'" &amp; C$2 &amp; "'!$A:$A"), INDIRECT("'" &amp; C$2 &amp; "'!$B:$B"), "")&lt;&gt;"", "✓", "✗"), "✗")
)</f>
        <v>✓</v>
      </c>
      <c r="D38" t="str" cm="1">
        <f t="array" aca="1" ref="D38" ca="1">IF(
    ISNUMBER(VALUE(LEFT($A38, 1))),
    "",
    IFERROR(IF(_xlfn.XLOOKUP($A38, INDIRECT("'" &amp; D$2 &amp; "'!$A:$A"), INDIRECT("'" &amp; D$2 &amp; "'!$B:$B"), "")&lt;&gt;"", "✓", "✗"), "✗")
)</f>
        <v>✓</v>
      </c>
      <c r="E38" t="str" cm="1">
        <f t="array" aca="1" ref="E38" ca="1">IF(
    ISNUMBER(VALUE(LEFT($A38, 1))),
    "",
    IFERROR(IF(_xlfn.XLOOKUP($A38, INDIRECT("'" &amp; E$2 &amp; "'!$A:$A"), INDIRECT("'" &amp; E$2 &amp; "'!$B:$B"), "")&lt;&gt;"", "✓", "✗"), "✗")
)</f>
        <v>✓</v>
      </c>
      <c r="F38" t="str" cm="1">
        <f t="array" aca="1" ref="F38" ca="1">IF(
    ISNUMBER(VALUE(LEFT($A38, 1))),
    "",
    IFERROR(IF(_xlfn.XLOOKUP($A38, INDIRECT("'" &amp; F$2 &amp; "'!$A:$A"), INDIRECT("'" &amp; F$2 &amp; "'!$B:$B"), "")&lt;&gt;"", "✓", "✗"), "✗")
)</f>
        <v>✓</v>
      </c>
      <c r="G38" t="str" cm="1">
        <f t="array" aca="1" ref="G38" ca="1">IF(
    ISNUMBER(VALUE(LEFT($A38, 1))),
    "",
    IFERROR(IF(_xlfn.XLOOKUP($A38, INDIRECT("'" &amp; G$2 &amp; "'!$A:$A"), INDIRECT("'" &amp; G$2 &amp; "'!$B:$B"), "")&lt;&gt;"", "✓", "✗"), "✗")
)</f>
        <v>✓</v>
      </c>
      <c r="H38" t="str" cm="1">
        <f t="array" aca="1" ref="H38" ca="1">IF(
    ISNUMBER(VALUE(LEFT($A38, 1))),
    "",
    IFERROR(IF(_xlfn.XLOOKUP($A38, INDIRECT("'" &amp; H$2 &amp; "'!$A:$A"), INDIRECT("'" &amp; H$2 &amp; "'!$B:$B"), "")&lt;&gt;"", "✓", "✗"), "✗")
)</f>
        <v>✓</v>
      </c>
      <c r="I38" t="str" cm="1">
        <f t="array" aca="1" ref="I38" ca="1">IF(
    ISNUMBER(VALUE(LEFT($A38, 1))),
    "",
    IFERROR(IF(_xlfn.XLOOKUP($A38, INDIRECT("'" &amp; I$2 &amp; "'!$A:$A"), INDIRECT("'" &amp; I$2 &amp; "'!$B:$B"), "")&lt;&gt;"", "✓", "✗"), "✗")
)</f>
        <v>✓</v>
      </c>
      <c r="J38" t="str" cm="1">
        <f t="array" aca="1" ref="J38" ca="1">IF(
    ISNUMBER(VALUE(LEFT($A38, 1))),
    "",
    IFERROR(IF(_xlfn.XLOOKUP($A38, INDIRECT("'" &amp; J$2 &amp; "'!$A:$A"), INDIRECT("'" &amp; J$2 &amp; "'!$B:$B"), "")&lt;&gt;"", "✓", "✗"), "✗")
)</f>
        <v>✓</v>
      </c>
      <c r="K38" t="str" cm="1">
        <f t="array" aca="1" ref="K38" ca="1">IF(
    ISNUMBER(VALUE(LEFT($A38, 1))),
    "",
    IFERROR(IF(_xlfn.XLOOKUP($A38, INDIRECT("'" &amp; K$2 &amp; "'!$A:$A"), INDIRECT("'" &amp; K$2 &amp; "'!$B:$B"), "")&lt;&gt;"", "✓", "✗"), "✗")
)</f>
        <v>✓</v>
      </c>
      <c r="L38" t="str" cm="1">
        <f t="array" aca="1" ref="L38" ca="1">IF(
    ISNUMBER(VALUE(LEFT($A38, 1))),
    "",
    IFERROR(IF(_xlfn.XLOOKUP($A38, INDIRECT("'" &amp; L$2 &amp; "'!$A:$A"), INDIRECT("'" &amp; L$2 &amp; "'!$B:$B"), "")&lt;&gt;"", "✓", "✗"), "✗")
)</f>
        <v>✓</v>
      </c>
      <c r="M38" t="str" cm="1">
        <f t="array" aca="1" ref="M38" ca="1">IF(
    ISNUMBER(VALUE(LEFT($A38, 1))),
    "",
    IFERROR(IF(_xlfn.XLOOKUP($A38, INDIRECT("'" &amp; M$2 &amp; "'!$A:$A"), INDIRECT("'" &amp; M$2 &amp; "'!$B:$B"), "")&lt;&gt;"", "✓", "✗"), "✗")
)</f>
        <v>✓</v>
      </c>
      <c r="N38" t="str" cm="1">
        <f t="array" aca="1" ref="N38" ca="1">IF(
    ISNUMBER(VALUE(LEFT($A38, 1))),
    "",
    IFERROR(IF(_xlfn.XLOOKUP($A38, INDIRECT("'" &amp; N$2 &amp; "'!$A:$A"), INDIRECT("'" &amp; N$2 &amp; "'!$B:$B"), "")&lt;&gt;"", "✓", "✗"), "✗")
)</f>
        <v>✓</v>
      </c>
      <c r="O38" t="str" cm="1">
        <f t="array" aca="1" ref="O38" ca="1">IF(
    ISNUMBER(VALUE(LEFT($A38, 1))),
    "",
    IFERROR(IF(_xlfn.XLOOKUP($A38, INDIRECT("'" &amp; O$2 &amp; "'!$A:$A"), INDIRECT("'" &amp; O$2 &amp; "'!$B:$B"), "")&lt;&gt;"", "✓", "✗"), "✗")
)</f>
        <v>✓</v>
      </c>
      <c r="P38" t="str" cm="1">
        <f t="array" aca="1" ref="P38" ca="1">IF(
    ISNUMBER(VALUE(LEFT($A38, 1))),
    "",
    IFERROR(IF(_xlfn.XLOOKUP($A38, INDIRECT("'" &amp; P$2 &amp; "'!$A:$A"), INDIRECT("'" &amp; P$2 &amp; "'!$B:$B"), "")&lt;&gt;"", "✓", "✗"), "✗")
)</f>
        <v>✓</v>
      </c>
      <c r="Q38" t="str" cm="1">
        <f t="array" aca="1" ref="Q38" ca="1">IF(
    ISNUMBER(VALUE(LEFT($A38, 1))),
    "",
    IFERROR(IF(_xlfn.XLOOKUP($A38, INDIRECT("'" &amp; Q$2 &amp; "'!$A:$A"), INDIRECT("'" &amp; Q$2 &amp; "'!$B:$B"), "")&lt;&gt;"", "✓", "✗"), "✗")
)</f>
        <v>✓</v>
      </c>
      <c r="R38" t="str" cm="1">
        <f t="array" aca="1" ref="R38" ca="1">IF(
    ISNUMBER(VALUE(LEFT($A38, 1))),
    "",
    IFERROR(IF(_xlfn.XLOOKUP($A38, INDIRECT("'" &amp; R$2 &amp; "'!$A:$A"), INDIRECT("'" &amp; R$2 &amp; "'!$B:$B"), "")&lt;&gt;"", "✓", "✗"), "✗")
)</f>
        <v>✓</v>
      </c>
      <c r="S38" t="str" cm="1">
        <f t="array" aca="1" ref="S38" ca="1">IF(
    ISNUMBER(VALUE(LEFT($A38, 1))),
    "",
    IFERROR(IF(_xlfn.XLOOKUP($A38, INDIRECT("'" &amp; S$2 &amp; "'!$A:$A"), INDIRECT("'" &amp; S$2 &amp; "'!$B:$B"), "")&lt;&gt;"", "✓", "✗"), "✗")
)</f>
        <v>✓</v>
      </c>
      <c r="T38" t="str" cm="1">
        <f t="array" aca="1" ref="T38" ca="1">IF(
    ISNUMBER(VALUE(LEFT($A38, 1))),
    "",
    IFERROR(IF(_xlfn.XLOOKUP($A38, INDIRECT("'" &amp; T$2 &amp; "'!$A:$A"), INDIRECT("'" &amp; T$2 &amp; "'!$B:$B"), "")&lt;&gt;"", "✓", "✗"), "✗")
)</f>
        <v>✓</v>
      </c>
      <c r="U38" t="str" cm="1">
        <f t="array" aca="1" ref="U38" ca="1">IF(
    ISNUMBER(VALUE(LEFT($A38, 1))),
    "",
    IFERROR(IF(_xlfn.XLOOKUP($A38, INDIRECT("'" &amp; U$2 &amp; "'!$A:$A"), INDIRECT("'" &amp; U$2 &amp; "'!$B:$B"), "")&lt;&gt;"", "✓", "✗"), "✗")
)</f>
        <v>✓</v>
      </c>
      <c r="V38" t="str" cm="1">
        <f t="array" aca="1" ref="V38" ca="1">IF(
    ISNUMBER(VALUE(LEFT($A38, 1))),
    "",
    IFERROR(IF(_xlfn.XLOOKUP($A38, INDIRECT("'" &amp; V$2 &amp; "'!$A:$A"), INDIRECT("'" &amp; V$2 &amp; "'!$B:$B"), "")&lt;&gt;"", "✓", "✗"), "✗")
)</f>
        <v>✓</v>
      </c>
      <c r="W38" t="str" cm="1">
        <f t="array" aca="1" ref="W38" ca="1">IF(
    ISNUMBER(VALUE(LEFT($A38, 1))),
    "",
    IFERROR(IF(_xlfn.XLOOKUP($A38, INDIRECT("'" &amp; W$2 &amp; "'!$A:$A"), INDIRECT("'" &amp; W$2 &amp; "'!$B:$B"), "")&lt;&gt;"", "✓", "✗"), "✗")
)</f>
        <v>✓</v>
      </c>
      <c r="X38" t="str" cm="1">
        <f t="array" aca="1" ref="X38" ca="1">IF(
    ISNUMBER(VALUE(LEFT($A38, 1))),
    "",
    IFERROR(IF(_xlfn.XLOOKUP($A38, INDIRECT("'" &amp; X$2 &amp; "'!$A:$A"), INDIRECT("'" &amp; X$2 &amp; "'!$B:$B"), "")&lt;&gt;"", "✓", "✗"), "✗")
)</f>
        <v>✓</v>
      </c>
      <c r="Y38" t="str" cm="1">
        <f t="array" aca="1" ref="Y38" ca="1">IF(
    ISNUMBER(VALUE(LEFT($A38, 1))),
    "",
    IFERROR(IF(_xlfn.XLOOKUP($A38, INDIRECT("'" &amp; Y$2 &amp; "'!$A:$A"), INDIRECT("'" &amp; Y$2 &amp; "'!$B:$B"), "")&lt;&gt;"", "✓", "✗"), "✗")
)</f>
        <v>✓</v>
      </c>
      <c r="Z38" t="str" cm="1">
        <f t="array" aca="1" ref="Z38" ca="1">IF(
    ISNUMBER(VALUE(LEFT($A38, 1))),
    "",
    IFERROR(IF(_xlfn.XLOOKUP($A38, INDIRECT("'" &amp; Z$2 &amp; "'!$A:$A"), INDIRECT("'" &amp; Z$2 &amp; "'!$B:$B"), "")&lt;&gt;"", "✓", "✗"), "✗")
)</f>
        <v>✓</v>
      </c>
      <c r="AA38" t="str" cm="1">
        <f t="array" aca="1" ref="AA38" ca="1">IF(
    ISNUMBER(VALUE(LEFT($A38, 1))),
    "",
    IFERROR(IF(_xlfn.XLOOKUP($A38, INDIRECT("'" &amp; AA$2 &amp; "'!$A:$A"), INDIRECT("'" &amp; AA$2 &amp; "'!$B:$B"), "")&lt;&gt;"", "✓", "✗"), "✗")
)</f>
        <v>✓</v>
      </c>
      <c r="AB38" t="str" cm="1">
        <f t="array" aca="1" ref="AB38" ca="1">IF(
    ISNUMBER(VALUE(LEFT($A38, 1))),
    "",
    IFERROR(IF(_xlfn.XLOOKUP($A38, INDIRECT("'" &amp; AB$2 &amp; "'!$A:$A"), INDIRECT("'" &amp; AB$2 &amp; "'!$B:$B"), "")&lt;&gt;"", "✓", "✗"), "✗")
)</f>
        <v>✓</v>
      </c>
      <c r="AC38" t="str" cm="1">
        <f t="array" aca="1" ref="AC38" ca="1">IF(
    ISNUMBER(VALUE(LEFT($A38, 1))),
    "",
    IFERROR(IF(_xlfn.XLOOKUP($A38, INDIRECT("'" &amp; AC$2 &amp; "'!$A:$A"), INDIRECT("'" &amp; AC$2 &amp; "'!$B:$B"), "")&lt;&gt;"", "✓", "✗"), "✗")
)</f>
        <v>✗</v>
      </c>
      <c r="AD38" t="str" cm="1">
        <f t="array" aca="1" ref="AD38" ca="1">IF(
    ISNUMBER(VALUE(LEFT($A38, 1))),
    "",
    IFERROR(IF(_xlfn.XLOOKUP($A38, INDIRECT("'" &amp; AD$2 &amp; "'!$A:$A"), INDIRECT("'" &amp; AD$2 &amp; "'!$B:$B"), "")&lt;&gt;"", "✓", "✗"), "✗")
)</f>
        <v>✗</v>
      </c>
      <c r="AE38" t="str" cm="1">
        <f t="array" aca="1" ref="AE38" ca="1">IF(
    ISNUMBER(VALUE(LEFT($A38, 1))),
    "",
    IFERROR(IF(_xlfn.XLOOKUP($A38, INDIRECT("'" &amp; AE$2 &amp; "'!$A:$A"), INDIRECT("'" &amp; AE$2 &amp; "'!$B:$B"), "")&lt;&gt;"", "✓", "✗"), "✗")
)</f>
        <v>✓</v>
      </c>
      <c r="AF38" t="str" cm="1">
        <f t="array" aca="1" ref="AF38" ca="1">IF(
    ISNUMBER(VALUE(LEFT($A38, 1))),
    "",
    IFERROR(IF(_xlfn.XLOOKUP($A38, INDIRECT("'" &amp; AF$2 &amp; "'!$A:$A"), INDIRECT("'" &amp; AF$2 &amp; "'!$B:$B"), "")&lt;&gt;"", "✓", "✗"), "✗")
)</f>
        <v>✓</v>
      </c>
      <c r="AG38" t="str" cm="1">
        <f t="array" aca="1" ref="AG38" ca="1">IF(
    ISNUMBER(VALUE(LEFT($A38, 1))),
    "",
    IFERROR(IF(_xlfn.XLOOKUP($A38, INDIRECT("'" &amp; AG$2 &amp; "'!$A:$A"), INDIRECT("'" &amp; AG$2 &amp; "'!$B:$B"), "")&lt;&gt;"", "✓", "✗"), "✗")
)</f>
        <v>✓</v>
      </c>
    </row>
    <row r="39" spans="1:33" x14ac:dyDescent="0.45">
      <c r="A39" t="str">
        <v>SAVM Sales Level 1</v>
      </c>
      <c r="B39" t="str" cm="1">
        <f t="array" aca="1" ref="B39" ca="1">IF(
    ISNUMBER(VALUE(LEFT($A39, 1))),
    "",
    IFERROR(IF(_xlfn.XLOOKUP($A39, INDIRECT("'" &amp; B$2 &amp; "'!$A:$A"), INDIRECT("'" &amp; B$2 &amp; "'!$B:$B"), "")&lt;&gt;"", "✓", "✗"), "✗")
)</f>
        <v>✓</v>
      </c>
      <c r="C39" t="str" cm="1">
        <f t="array" aca="1" ref="C39" ca="1">IF(
    ISNUMBER(VALUE(LEFT($A39, 1))),
    "",
    IFERROR(IF(_xlfn.XLOOKUP($A39, INDIRECT("'" &amp; C$2 &amp; "'!$A:$A"), INDIRECT("'" &amp; C$2 &amp; "'!$B:$B"), "")&lt;&gt;"", "✓", "✗"), "✗")
)</f>
        <v>✓</v>
      </c>
      <c r="D39" t="str" cm="1">
        <f t="array" aca="1" ref="D39" ca="1">IF(
    ISNUMBER(VALUE(LEFT($A39, 1))),
    "",
    IFERROR(IF(_xlfn.XLOOKUP($A39, INDIRECT("'" &amp; D$2 &amp; "'!$A:$A"), INDIRECT("'" &amp; D$2 &amp; "'!$B:$B"), "")&lt;&gt;"", "✓", "✗"), "✗")
)</f>
        <v>✓</v>
      </c>
      <c r="E39" t="str" cm="1">
        <f t="array" aca="1" ref="E39" ca="1">IF(
    ISNUMBER(VALUE(LEFT($A39, 1))),
    "",
    IFERROR(IF(_xlfn.XLOOKUP($A39, INDIRECT("'" &amp; E$2 &amp; "'!$A:$A"), INDIRECT("'" &amp; E$2 &amp; "'!$B:$B"), "")&lt;&gt;"", "✓", "✗"), "✗")
)</f>
        <v>✓</v>
      </c>
      <c r="F39" t="str" cm="1">
        <f t="array" aca="1" ref="F39" ca="1">IF(
    ISNUMBER(VALUE(LEFT($A39, 1))),
    "",
    IFERROR(IF(_xlfn.XLOOKUP($A39, INDIRECT("'" &amp; F$2 &amp; "'!$A:$A"), INDIRECT("'" &amp; F$2 &amp; "'!$B:$B"), "")&lt;&gt;"", "✓", "✗"), "✗")
)</f>
        <v>✓</v>
      </c>
      <c r="G39" t="str" cm="1">
        <f t="array" aca="1" ref="G39" ca="1">IF(
    ISNUMBER(VALUE(LEFT($A39, 1))),
    "",
    IFERROR(IF(_xlfn.XLOOKUP($A39, INDIRECT("'" &amp; G$2 &amp; "'!$A:$A"), INDIRECT("'" &amp; G$2 &amp; "'!$B:$B"), "")&lt;&gt;"", "✓", "✗"), "✗")
)</f>
        <v>✓</v>
      </c>
      <c r="H39" t="str" cm="1">
        <f t="array" aca="1" ref="H39" ca="1">IF(
    ISNUMBER(VALUE(LEFT($A39, 1))),
    "",
    IFERROR(IF(_xlfn.XLOOKUP($A39, INDIRECT("'" &amp; H$2 &amp; "'!$A:$A"), INDIRECT("'" &amp; H$2 &amp; "'!$B:$B"), "")&lt;&gt;"", "✓", "✗"), "✗")
)</f>
        <v>✓</v>
      </c>
      <c r="I39" t="str" cm="1">
        <f t="array" aca="1" ref="I39" ca="1">IF(
    ISNUMBER(VALUE(LEFT($A39, 1))),
    "",
    IFERROR(IF(_xlfn.XLOOKUP($A39, INDIRECT("'" &amp; I$2 &amp; "'!$A:$A"), INDIRECT("'" &amp; I$2 &amp; "'!$B:$B"), "")&lt;&gt;"", "✓", "✗"), "✗")
)</f>
        <v>✓</v>
      </c>
      <c r="J39" t="str" cm="1">
        <f t="array" aca="1" ref="J39" ca="1">IF(
    ISNUMBER(VALUE(LEFT($A39, 1))),
    "",
    IFERROR(IF(_xlfn.XLOOKUP($A39, INDIRECT("'" &amp; J$2 &amp; "'!$A:$A"), INDIRECT("'" &amp; J$2 &amp; "'!$B:$B"), "")&lt;&gt;"", "✓", "✗"), "✗")
)</f>
        <v>✓</v>
      </c>
      <c r="K39" t="str" cm="1">
        <f t="array" aca="1" ref="K39" ca="1">IF(
    ISNUMBER(VALUE(LEFT($A39, 1))),
    "",
    IFERROR(IF(_xlfn.XLOOKUP($A39, INDIRECT("'" &amp; K$2 &amp; "'!$A:$A"), INDIRECT("'" &amp; K$2 &amp; "'!$B:$B"), "")&lt;&gt;"", "✓", "✗"), "✗")
)</f>
        <v>✓</v>
      </c>
      <c r="L39" t="str" cm="1">
        <f t="array" aca="1" ref="L39" ca="1">IF(
    ISNUMBER(VALUE(LEFT($A39, 1))),
    "",
    IFERROR(IF(_xlfn.XLOOKUP($A39, INDIRECT("'" &amp; L$2 &amp; "'!$A:$A"), INDIRECT("'" &amp; L$2 &amp; "'!$B:$B"), "")&lt;&gt;"", "✓", "✗"), "✗")
)</f>
        <v>✓</v>
      </c>
      <c r="M39" t="str" cm="1">
        <f t="array" aca="1" ref="M39" ca="1">IF(
    ISNUMBER(VALUE(LEFT($A39, 1))),
    "",
    IFERROR(IF(_xlfn.XLOOKUP($A39, INDIRECT("'" &amp; M$2 &amp; "'!$A:$A"), INDIRECT("'" &amp; M$2 &amp; "'!$B:$B"), "")&lt;&gt;"", "✓", "✗"), "✗")
)</f>
        <v>✓</v>
      </c>
      <c r="N39" t="str" cm="1">
        <f t="array" aca="1" ref="N39" ca="1">IF(
    ISNUMBER(VALUE(LEFT($A39, 1))),
    "",
    IFERROR(IF(_xlfn.XLOOKUP($A39, INDIRECT("'" &amp; N$2 &amp; "'!$A:$A"), INDIRECT("'" &amp; N$2 &amp; "'!$B:$B"), "")&lt;&gt;"", "✓", "✗"), "✗")
)</f>
        <v>✓</v>
      </c>
      <c r="O39" t="str" cm="1">
        <f t="array" aca="1" ref="O39" ca="1">IF(
    ISNUMBER(VALUE(LEFT($A39, 1))),
    "",
    IFERROR(IF(_xlfn.XLOOKUP($A39, INDIRECT("'" &amp; O$2 &amp; "'!$A:$A"), INDIRECT("'" &amp; O$2 &amp; "'!$B:$B"), "")&lt;&gt;"", "✓", "✗"), "✗")
)</f>
        <v>✓</v>
      </c>
      <c r="P39" t="str" cm="1">
        <f t="array" aca="1" ref="P39" ca="1">IF(
    ISNUMBER(VALUE(LEFT($A39, 1))),
    "",
    IFERROR(IF(_xlfn.XLOOKUP($A39, INDIRECT("'" &amp; P$2 &amp; "'!$A:$A"), INDIRECT("'" &amp; P$2 &amp; "'!$B:$B"), "")&lt;&gt;"", "✓", "✗"), "✗")
)</f>
        <v>✓</v>
      </c>
      <c r="Q39" t="str" cm="1">
        <f t="array" aca="1" ref="Q39" ca="1">IF(
    ISNUMBER(VALUE(LEFT($A39, 1))),
    "",
    IFERROR(IF(_xlfn.XLOOKUP($A39, INDIRECT("'" &amp; Q$2 &amp; "'!$A:$A"), INDIRECT("'" &amp; Q$2 &amp; "'!$B:$B"), "")&lt;&gt;"", "✓", "✗"), "✗")
)</f>
        <v>✓</v>
      </c>
      <c r="R39" t="str" cm="1">
        <f t="array" aca="1" ref="R39" ca="1">IF(
    ISNUMBER(VALUE(LEFT($A39, 1))),
    "",
    IFERROR(IF(_xlfn.XLOOKUP($A39, INDIRECT("'" &amp; R$2 &amp; "'!$A:$A"), INDIRECT("'" &amp; R$2 &amp; "'!$B:$B"), "")&lt;&gt;"", "✓", "✗"), "✗")
)</f>
        <v>✓</v>
      </c>
      <c r="S39" t="str" cm="1">
        <f t="array" aca="1" ref="S39" ca="1">IF(
    ISNUMBER(VALUE(LEFT($A39, 1))),
    "",
    IFERROR(IF(_xlfn.XLOOKUP($A39, INDIRECT("'" &amp; S$2 &amp; "'!$A:$A"), INDIRECT("'" &amp; S$2 &amp; "'!$B:$B"), "")&lt;&gt;"", "✓", "✗"), "✗")
)</f>
        <v>✓</v>
      </c>
      <c r="T39" t="str" cm="1">
        <f t="array" aca="1" ref="T39" ca="1">IF(
    ISNUMBER(VALUE(LEFT($A39, 1))),
    "",
    IFERROR(IF(_xlfn.XLOOKUP($A39, INDIRECT("'" &amp; T$2 &amp; "'!$A:$A"), INDIRECT("'" &amp; T$2 &amp; "'!$B:$B"), "")&lt;&gt;"", "✓", "✗"), "✗")
)</f>
        <v>✓</v>
      </c>
      <c r="U39" t="str" cm="1">
        <f t="array" aca="1" ref="U39" ca="1">IF(
    ISNUMBER(VALUE(LEFT($A39, 1))),
    "",
    IFERROR(IF(_xlfn.XLOOKUP($A39, INDIRECT("'" &amp; U$2 &amp; "'!$A:$A"), INDIRECT("'" &amp; U$2 &amp; "'!$B:$B"), "")&lt;&gt;"", "✓", "✗"), "✗")
)</f>
        <v>✓</v>
      </c>
      <c r="V39" t="str" cm="1">
        <f t="array" aca="1" ref="V39" ca="1">IF(
    ISNUMBER(VALUE(LEFT($A39, 1))),
    "",
    IFERROR(IF(_xlfn.XLOOKUP($A39, INDIRECT("'" &amp; V$2 &amp; "'!$A:$A"), INDIRECT("'" &amp; V$2 &amp; "'!$B:$B"), "")&lt;&gt;"", "✓", "✗"), "✗")
)</f>
        <v>✓</v>
      </c>
      <c r="W39" t="str" cm="1">
        <f t="array" aca="1" ref="W39" ca="1">IF(
    ISNUMBER(VALUE(LEFT($A39, 1))),
    "",
    IFERROR(IF(_xlfn.XLOOKUP($A39, INDIRECT("'" &amp; W$2 &amp; "'!$A:$A"), INDIRECT("'" &amp; W$2 &amp; "'!$B:$B"), "")&lt;&gt;"", "✓", "✗"), "✗")
)</f>
        <v>✓</v>
      </c>
      <c r="X39" t="str" cm="1">
        <f t="array" aca="1" ref="X39" ca="1">IF(
    ISNUMBER(VALUE(LEFT($A39, 1))),
    "",
    IFERROR(IF(_xlfn.XLOOKUP($A39, INDIRECT("'" &amp; X$2 &amp; "'!$A:$A"), INDIRECT("'" &amp; X$2 &amp; "'!$B:$B"), "")&lt;&gt;"", "✓", "✗"), "✗")
)</f>
        <v>✓</v>
      </c>
      <c r="Y39" t="str" cm="1">
        <f t="array" aca="1" ref="Y39" ca="1">IF(
    ISNUMBER(VALUE(LEFT($A39, 1))),
    "",
    IFERROR(IF(_xlfn.XLOOKUP($A39, INDIRECT("'" &amp; Y$2 &amp; "'!$A:$A"), INDIRECT("'" &amp; Y$2 &amp; "'!$B:$B"), "")&lt;&gt;"", "✓", "✗"), "✗")
)</f>
        <v>✓</v>
      </c>
      <c r="Z39" t="str" cm="1">
        <f t="array" aca="1" ref="Z39" ca="1">IF(
    ISNUMBER(VALUE(LEFT($A39, 1))),
    "",
    IFERROR(IF(_xlfn.XLOOKUP($A39, INDIRECT("'" &amp; Z$2 &amp; "'!$A:$A"), INDIRECT("'" &amp; Z$2 &amp; "'!$B:$B"), "")&lt;&gt;"", "✓", "✗"), "✗")
)</f>
        <v>✓</v>
      </c>
      <c r="AA39" t="str" cm="1">
        <f t="array" aca="1" ref="AA39" ca="1">IF(
    ISNUMBER(VALUE(LEFT($A39, 1))),
    "",
    IFERROR(IF(_xlfn.XLOOKUP($A39, INDIRECT("'" &amp; AA$2 &amp; "'!$A:$A"), INDIRECT("'" &amp; AA$2 &amp; "'!$B:$B"), "")&lt;&gt;"", "✓", "✗"), "✗")
)</f>
        <v>✓</v>
      </c>
      <c r="AB39" t="str" cm="1">
        <f t="array" aca="1" ref="AB39" ca="1">IF(
    ISNUMBER(VALUE(LEFT($A39, 1))),
    "",
    IFERROR(IF(_xlfn.XLOOKUP($A39, INDIRECT("'" &amp; AB$2 &amp; "'!$A:$A"), INDIRECT("'" &amp; AB$2 &amp; "'!$B:$B"), "")&lt;&gt;"", "✓", "✗"), "✗")
)</f>
        <v>✓</v>
      </c>
      <c r="AC39" t="str" cm="1">
        <f t="array" aca="1" ref="AC39" ca="1">IF(
    ISNUMBER(VALUE(LEFT($A39, 1))),
    "",
    IFERROR(IF(_xlfn.XLOOKUP($A39, INDIRECT("'" &amp; AC$2 &amp; "'!$A:$A"), INDIRECT("'" &amp; AC$2 &amp; "'!$B:$B"), "")&lt;&gt;"", "✓", "✗"), "✗")
)</f>
        <v>✗</v>
      </c>
      <c r="AD39" t="str" cm="1">
        <f t="array" aca="1" ref="AD39" ca="1">IF(
    ISNUMBER(VALUE(LEFT($A39, 1))),
    "",
    IFERROR(IF(_xlfn.XLOOKUP($A39, INDIRECT("'" &amp; AD$2 &amp; "'!$A:$A"), INDIRECT("'" &amp; AD$2 &amp; "'!$B:$B"), "")&lt;&gt;"", "✓", "✗"), "✗")
)</f>
        <v>✗</v>
      </c>
      <c r="AE39" t="str" cm="1">
        <f t="array" aca="1" ref="AE39" ca="1">IF(
    ISNUMBER(VALUE(LEFT($A39, 1))),
    "",
    IFERROR(IF(_xlfn.XLOOKUP($A39, INDIRECT("'" &amp; AE$2 &amp; "'!$A:$A"), INDIRECT("'" &amp; AE$2 &amp; "'!$B:$B"), "")&lt;&gt;"", "✓", "✗"), "✗")
)</f>
        <v>✓</v>
      </c>
      <c r="AF39" t="str" cm="1">
        <f t="array" aca="1" ref="AF39" ca="1">IF(
    ISNUMBER(VALUE(LEFT($A39, 1))),
    "",
    IFERROR(IF(_xlfn.XLOOKUP($A39, INDIRECT("'" &amp; AF$2 &amp; "'!$A:$A"), INDIRECT("'" &amp; AF$2 &amp; "'!$B:$B"), "")&lt;&gt;"", "✓", "✗"), "✗")
)</f>
        <v>✓</v>
      </c>
      <c r="AG39" t="str" cm="1">
        <f t="array" aca="1" ref="AG39" ca="1">IF(
    ISNUMBER(VALUE(LEFT($A39, 1))),
    "",
    IFERROR(IF(_xlfn.XLOOKUP($A39, INDIRECT("'" &amp; AG$2 &amp; "'!$A:$A"), INDIRECT("'" &amp; AG$2 &amp; "'!$B:$B"), "")&lt;&gt;"", "✓", "✗"), "✗")
)</f>
        <v>✓</v>
      </c>
    </row>
    <row r="40" spans="1:33" x14ac:dyDescent="0.45">
      <c r="A40" t="str">
        <v>SAVM Sales Level 2</v>
      </c>
      <c r="B40" t="str" cm="1">
        <f t="array" aca="1" ref="B40" ca="1">IF(
    ISNUMBER(VALUE(LEFT($A40, 1))),
    "",
    IFERROR(IF(_xlfn.XLOOKUP($A40, INDIRECT("'" &amp; B$2 &amp; "'!$A:$A"), INDIRECT("'" &amp; B$2 &amp; "'!$B:$B"), "")&lt;&gt;"", "✓", "✗"), "✗")
)</f>
        <v>✓</v>
      </c>
      <c r="C40" t="str" cm="1">
        <f t="array" aca="1" ref="C40" ca="1">IF(
    ISNUMBER(VALUE(LEFT($A40, 1))),
    "",
    IFERROR(IF(_xlfn.XLOOKUP($A40, INDIRECT("'" &amp; C$2 &amp; "'!$A:$A"), INDIRECT("'" &amp; C$2 &amp; "'!$B:$B"), "")&lt;&gt;"", "✓", "✗"), "✗")
)</f>
        <v>✓</v>
      </c>
      <c r="D40" t="str" cm="1">
        <f t="array" aca="1" ref="D40" ca="1">IF(
    ISNUMBER(VALUE(LEFT($A40, 1))),
    "",
    IFERROR(IF(_xlfn.XLOOKUP($A40, INDIRECT("'" &amp; D$2 &amp; "'!$A:$A"), INDIRECT("'" &amp; D$2 &amp; "'!$B:$B"), "")&lt;&gt;"", "✓", "✗"), "✗")
)</f>
        <v>✓</v>
      </c>
      <c r="E40" t="str" cm="1">
        <f t="array" aca="1" ref="E40" ca="1">IF(
    ISNUMBER(VALUE(LEFT($A40, 1))),
    "",
    IFERROR(IF(_xlfn.XLOOKUP($A40, INDIRECT("'" &amp; E$2 &amp; "'!$A:$A"), INDIRECT("'" &amp; E$2 &amp; "'!$B:$B"), "")&lt;&gt;"", "✓", "✗"), "✗")
)</f>
        <v>✓</v>
      </c>
      <c r="F40" t="str" cm="1">
        <f t="array" aca="1" ref="F40" ca="1">IF(
    ISNUMBER(VALUE(LEFT($A40, 1))),
    "",
    IFERROR(IF(_xlfn.XLOOKUP($A40, INDIRECT("'" &amp; F$2 &amp; "'!$A:$A"), INDIRECT("'" &amp; F$2 &amp; "'!$B:$B"), "")&lt;&gt;"", "✓", "✗"), "✗")
)</f>
        <v>✓</v>
      </c>
      <c r="G40" t="str" cm="1">
        <f t="array" aca="1" ref="G40" ca="1">IF(
    ISNUMBER(VALUE(LEFT($A40, 1))),
    "",
    IFERROR(IF(_xlfn.XLOOKUP($A40, INDIRECT("'" &amp; G$2 &amp; "'!$A:$A"), INDIRECT("'" &amp; G$2 &amp; "'!$B:$B"), "")&lt;&gt;"", "✓", "✗"), "✗")
)</f>
        <v>✓</v>
      </c>
      <c r="H40" t="str" cm="1">
        <f t="array" aca="1" ref="H40" ca="1">IF(
    ISNUMBER(VALUE(LEFT($A40, 1))),
    "",
    IFERROR(IF(_xlfn.XLOOKUP($A40, INDIRECT("'" &amp; H$2 &amp; "'!$A:$A"), INDIRECT("'" &amp; H$2 &amp; "'!$B:$B"), "")&lt;&gt;"", "✓", "✗"), "✗")
)</f>
        <v>✓</v>
      </c>
      <c r="I40" t="str" cm="1">
        <f t="array" aca="1" ref="I40" ca="1">IF(
    ISNUMBER(VALUE(LEFT($A40, 1))),
    "",
    IFERROR(IF(_xlfn.XLOOKUP($A40, INDIRECT("'" &amp; I$2 &amp; "'!$A:$A"), INDIRECT("'" &amp; I$2 &amp; "'!$B:$B"), "")&lt;&gt;"", "✓", "✗"), "✗")
)</f>
        <v>✓</v>
      </c>
      <c r="J40" t="str" cm="1">
        <f t="array" aca="1" ref="J40" ca="1">IF(
    ISNUMBER(VALUE(LEFT($A40, 1))),
    "",
    IFERROR(IF(_xlfn.XLOOKUP($A40, INDIRECT("'" &amp; J$2 &amp; "'!$A:$A"), INDIRECT("'" &amp; J$2 &amp; "'!$B:$B"), "")&lt;&gt;"", "✓", "✗"), "✗")
)</f>
        <v>✓</v>
      </c>
      <c r="K40" t="str" cm="1">
        <f t="array" aca="1" ref="K40" ca="1">IF(
    ISNUMBER(VALUE(LEFT($A40, 1))),
    "",
    IFERROR(IF(_xlfn.XLOOKUP($A40, INDIRECT("'" &amp; K$2 &amp; "'!$A:$A"), INDIRECT("'" &amp; K$2 &amp; "'!$B:$B"), "")&lt;&gt;"", "✓", "✗"), "✗")
)</f>
        <v>✓</v>
      </c>
      <c r="L40" t="str" cm="1">
        <f t="array" aca="1" ref="L40" ca="1">IF(
    ISNUMBER(VALUE(LEFT($A40, 1))),
    "",
    IFERROR(IF(_xlfn.XLOOKUP($A40, INDIRECT("'" &amp; L$2 &amp; "'!$A:$A"), INDIRECT("'" &amp; L$2 &amp; "'!$B:$B"), "")&lt;&gt;"", "✓", "✗"), "✗")
)</f>
        <v>✓</v>
      </c>
      <c r="M40" t="str" cm="1">
        <f t="array" aca="1" ref="M40" ca="1">IF(
    ISNUMBER(VALUE(LEFT($A40, 1))),
    "",
    IFERROR(IF(_xlfn.XLOOKUP($A40, INDIRECT("'" &amp; M$2 &amp; "'!$A:$A"), INDIRECT("'" &amp; M$2 &amp; "'!$B:$B"), "")&lt;&gt;"", "✓", "✗"), "✗")
)</f>
        <v>✓</v>
      </c>
      <c r="N40" t="str" cm="1">
        <f t="array" aca="1" ref="N40" ca="1">IF(
    ISNUMBER(VALUE(LEFT($A40, 1))),
    "",
    IFERROR(IF(_xlfn.XLOOKUP($A40, INDIRECT("'" &amp; N$2 &amp; "'!$A:$A"), INDIRECT("'" &amp; N$2 &amp; "'!$B:$B"), "")&lt;&gt;"", "✓", "✗"), "✗")
)</f>
        <v>✓</v>
      </c>
      <c r="O40" t="str" cm="1">
        <f t="array" aca="1" ref="O40" ca="1">IF(
    ISNUMBER(VALUE(LEFT($A40, 1))),
    "",
    IFERROR(IF(_xlfn.XLOOKUP($A40, INDIRECT("'" &amp; O$2 &amp; "'!$A:$A"), INDIRECT("'" &amp; O$2 &amp; "'!$B:$B"), "")&lt;&gt;"", "✓", "✗"), "✗")
)</f>
        <v>✓</v>
      </c>
      <c r="P40" t="str" cm="1">
        <f t="array" aca="1" ref="P40" ca="1">IF(
    ISNUMBER(VALUE(LEFT($A40, 1))),
    "",
    IFERROR(IF(_xlfn.XLOOKUP($A40, INDIRECT("'" &amp; P$2 &amp; "'!$A:$A"), INDIRECT("'" &amp; P$2 &amp; "'!$B:$B"), "")&lt;&gt;"", "✓", "✗"), "✗")
)</f>
        <v>✓</v>
      </c>
      <c r="Q40" t="str" cm="1">
        <f t="array" aca="1" ref="Q40" ca="1">IF(
    ISNUMBER(VALUE(LEFT($A40, 1))),
    "",
    IFERROR(IF(_xlfn.XLOOKUP($A40, INDIRECT("'" &amp; Q$2 &amp; "'!$A:$A"), INDIRECT("'" &amp; Q$2 &amp; "'!$B:$B"), "")&lt;&gt;"", "✓", "✗"), "✗")
)</f>
        <v>✓</v>
      </c>
      <c r="R40" t="str" cm="1">
        <f t="array" aca="1" ref="R40" ca="1">IF(
    ISNUMBER(VALUE(LEFT($A40, 1))),
    "",
    IFERROR(IF(_xlfn.XLOOKUP($A40, INDIRECT("'" &amp; R$2 &amp; "'!$A:$A"), INDIRECT("'" &amp; R$2 &amp; "'!$B:$B"), "")&lt;&gt;"", "✓", "✗"), "✗")
)</f>
        <v>✓</v>
      </c>
      <c r="S40" t="str" cm="1">
        <f t="array" aca="1" ref="S40" ca="1">IF(
    ISNUMBER(VALUE(LEFT($A40, 1))),
    "",
    IFERROR(IF(_xlfn.XLOOKUP($A40, INDIRECT("'" &amp; S$2 &amp; "'!$A:$A"), INDIRECT("'" &amp; S$2 &amp; "'!$B:$B"), "")&lt;&gt;"", "✓", "✗"), "✗")
)</f>
        <v>✓</v>
      </c>
      <c r="T40" t="str" cm="1">
        <f t="array" aca="1" ref="T40" ca="1">IF(
    ISNUMBER(VALUE(LEFT($A40, 1))),
    "",
    IFERROR(IF(_xlfn.XLOOKUP($A40, INDIRECT("'" &amp; T$2 &amp; "'!$A:$A"), INDIRECT("'" &amp; T$2 &amp; "'!$B:$B"), "")&lt;&gt;"", "✓", "✗"), "✗")
)</f>
        <v>✓</v>
      </c>
      <c r="U40" t="str" cm="1">
        <f t="array" aca="1" ref="U40" ca="1">IF(
    ISNUMBER(VALUE(LEFT($A40, 1))),
    "",
    IFERROR(IF(_xlfn.XLOOKUP($A40, INDIRECT("'" &amp; U$2 &amp; "'!$A:$A"), INDIRECT("'" &amp; U$2 &amp; "'!$B:$B"), "")&lt;&gt;"", "✓", "✗"), "✗")
)</f>
        <v>✓</v>
      </c>
      <c r="V40" t="str" cm="1">
        <f t="array" aca="1" ref="V40" ca="1">IF(
    ISNUMBER(VALUE(LEFT($A40, 1))),
    "",
    IFERROR(IF(_xlfn.XLOOKUP($A40, INDIRECT("'" &amp; V$2 &amp; "'!$A:$A"), INDIRECT("'" &amp; V$2 &amp; "'!$B:$B"), "")&lt;&gt;"", "✓", "✗"), "✗")
)</f>
        <v>✓</v>
      </c>
      <c r="W40" t="str" cm="1">
        <f t="array" aca="1" ref="W40" ca="1">IF(
    ISNUMBER(VALUE(LEFT($A40, 1))),
    "",
    IFERROR(IF(_xlfn.XLOOKUP($A40, INDIRECT("'" &amp; W$2 &amp; "'!$A:$A"), INDIRECT("'" &amp; W$2 &amp; "'!$B:$B"), "")&lt;&gt;"", "✓", "✗"), "✗")
)</f>
        <v>✓</v>
      </c>
      <c r="X40" t="str" cm="1">
        <f t="array" aca="1" ref="X40" ca="1">IF(
    ISNUMBER(VALUE(LEFT($A40, 1))),
    "",
    IFERROR(IF(_xlfn.XLOOKUP($A40, INDIRECT("'" &amp; X$2 &amp; "'!$A:$A"), INDIRECT("'" &amp; X$2 &amp; "'!$B:$B"), "")&lt;&gt;"", "✓", "✗"), "✗")
)</f>
        <v>✓</v>
      </c>
      <c r="Y40" t="str" cm="1">
        <f t="array" aca="1" ref="Y40" ca="1">IF(
    ISNUMBER(VALUE(LEFT($A40, 1))),
    "",
    IFERROR(IF(_xlfn.XLOOKUP($A40, INDIRECT("'" &amp; Y$2 &amp; "'!$A:$A"), INDIRECT("'" &amp; Y$2 &amp; "'!$B:$B"), "")&lt;&gt;"", "✓", "✗"), "✗")
)</f>
        <v>✓</v>
      </c>
      <c r="Z40" t="str" cm="1">
        <f t="array" aca="1" ref="Z40" ca="1">IF(
    ISNUMBER(VALUE(LEFT($A40, 1))),
    "",
    IFERROR(IF(_xlfn.XLOOKUP($A40, INDIRECT("'" &amp; Z$2 &amp; "'!$A:$A"), INDIRECT("'" &amp; Z$2 &amp; "'!$B:$B"), "")&lt;&gt;"", "✓", "✗"), "✗")
)</f>
        <v>✓</v>
      </c>
      <c r="AA40" t="str" cm="1">
        <f t="array" aca="1" ref="AA40" ca="1">IF(
    ISNUMBER(VALUE(LEFT($A40, 1))),
    "",
    IFERROR(IF(_xlfn.XLOOKUP($A40, INDIRECT("'" &amp; AA$2 &amp; "'!$A:$A"), INDIRECT("'" &amp; AA$2 &amp; "'!$B:$B"), "")&lt;&gt;"", "✓", "✗"), "✗")
)</f>
        <v>✓</v>
      </c>
      <c r="AB40" t="str" cm="1">
        <f t="array" aca="1" ref="AB40" ca="1">IF(
    ISNUMBER(VALUE(LEFT($A40, 1))),
    "",
    IFERROR(IF(_xlfn.XLOOKUP($A40, INDIRECT("'" &amp; AB$2 &amp; "'!$A:$A"), INDIRECT("'" &amp; AB$2 &amp; "'!$B:$B"), "")&lt;&gt;"", "✓", "✗"), "✗")
)</f>
        <v>✓</v>
      </c>
      <c r="AC40" t="str" cm="1">
        <f t="array" aca="1" ref="AC40" ca="1">IF(
    ISNUMBER(VALUE(LEFT($A40, 1))),
    "",
    IFERROR(IF(_xlfn.XLOOKUP($A40, INDIRECT("'" &amp; AC$2 &amp; "'!$A:$A"), INDIRECT("'" &amp; AC$2 &amp; "'!$B:$B"), "")&lt;&gt;"", "✓", "✗"), "✗")
)</f>
        <v>✗</v>
      </c>
      <c r="AD40" t="str" cm="1">
        <f t="array" aca="1" ref="AD40" ca="1">IF(
    ISNUMBER(VALUE(LEFT($A40, 1))),
    "",
    IFERROR(IF(_xlfn.XLOOKUP($A40, INDIRECT("'" &amp; AD$2 &amp; "'!$A:$A"), INDIRECT("'" &amp; AD$2 &amp; "'!$B:$B"), "")&lt;&gt;"", "✓", "✗"), "✗")
)</f>
        <v>✗</v>
      </c>
      <c r="AE40" t="str" cm="1">
        <f t="array" aca="1" ref="AE40" ca="1">IF(
    ISNUMBER(VALUE(LEFT($A40, 1))),
    "",
    IFERROR(IF(_xlfn.XLOOKUP($A40, INDIRECT("'" &amp; AE$2 &amp; "'!$A:$A"), INDIRECT("'" &amp; AE$2 &amp; "'!$B:$B"), "")&lt;&gt;"", "✓", "✗"), "✗")
)</f>
        <v>✓</v>
      </c>
      <c r="AF40" t="str" cm="1">
        <f t="array" aca="1" ref="AF40" ca="1">IF(
    ISNUMBER(VALUE(LEFT($A40, 1))),
    "",
    IFERROR(IF(_xlfn.XLOOKUP($A40, INDIRECT("'" &amp; AF$2 &amp; "'!$A:$A"), INDIRECT("'" &amp; AF$2 &amp; "'!$B:$B"), "")&lt;&gt;"", "✓", "✗"), "✗")
)</f>
        <v>✓</v>
      </c>
      <c r="AG40" t="str" cm="1">
        <f t="array" aca="1" ref="AG40" ca="1">IF(
    ISNUMBER(VALUE(LEFT($A40, 1))),
    "",
    IFERROR(IF(_xlfn.XLOOKUP($A40, INDIRECT("'" &amp; AG$2 &amp; "'!$A:$A"), INDIRECT("'" &amp; AG$2 &amp; "'!$B:$B"), "")&lt;&gt;"", "✓", "✗"), "✗")
)</f>
        <v>✓</v>
      </c>
    </row>
    <row r="41" spans="1:33" x14ac:dyDescent="0.45">
      <c r="A41" t="str">
        <v>SFDC Account ID</v>
      </c>
      <c r="B41" t="str" cm="1">
        <f t="array" aca="1" ref="B41" ca="1">IF(
    ISNUMBER(VALUE(LEFT($A41, 1))),
    "",
    IFERROR(IF(_xlfn.XLOOKUP($A41, INDIRECT("'" &amp; B$2 &amp; "'!$A:$A"), INDIRECT("'" &amp; B$2 &amp; "'!$B:$B"), "")&lt;&gt;"", "✓", "✗"), "✗")
)</f>
        <v>✓</v>
      </c>
      <c r="C41" t="str" cm="1">
        <f t="array" aca="1" ref="C41" ca="1">IF(
    ISNUMBER(VALUE(LEFT($A41, 1))),
    "",
    IFERROR(IF(_xlfn.XLOOKUP($A41, INDIRECT("'" &amp; C$2 &amp; "'!$A:$A"), INDIRECT("'" &amp; C$2 &amp; "'!$B:$B"), "")&lt;&gt;"", "✓", "✗"), "✗")
)</f>
        <v>✓</v>
      </c>
      <c r="D41" t="str" cm="1">
        <f t="array" aca="1" ref="D41" ca="1">IF(
    ISNUMBER(VALUE(LEFT($A41, 1))),
    "",
    IFERROR(IF(_xlfn.XLOOKUP($A41, INDIRECT("'" &amp; D$2 &amp; "'!$A:$A"), INDIRECT("'" &amp; D$2 &amp; "'!$B:$B"), "")&lt;&gt;"", "✓", "✗"), "✗")
)</f>
        <v>✓</v>
      </c>
      <c r="E41" t="str" cm="1">
        <f t="array" aca="1" ref="E41" ca="1">IF(
    ISNUMBER(VALUE(LEFT($A41, 1))),
    "",
    IFERROR(IF(_xlfn.XLOOKUP($A41, INDIRECT("'" &amp; E$2 &amp; "'!$A:$A"), INDIRECT("'" &amp; E$2 &amp; "'!$B:$B"), "")&lt;&gt;"", "✓", "✗"), "✗")
)</f>
        <v>✓</v>
      </c>
      <c r="F41" t="str" cm="1">
        <f t="array" aca="1" ref="F41" ca="1">IF(
    ISNUMBER(VALUE(LEFT($A41, 1))),
    "",
    IFERROR(IF(_xlfn.XLOOKUP($A41, INDIRECT("'" &amp; F$2 &amp; "'!$A:$A"), INDIRECT("'" &amp; F$2 &amp; "'!$B:$B"), "")&lt;&gt;"", "✓", "✗"), "✗")
)</f>
        <v>✓</v>
      </c>
      <c r="G41" t="str" cm="1">
        <f t="array" aca="1" ref="G41" ca="1">IF(
    ISNUMBER(VALUE(LEFT($A41, 1))),
    "",
    IFERROR(IF(_xlfn.XLOOKUP($A41, INDIRECT("'" &amp; G$2 &amp; "'!$A:$A"), INDIRECT("'" &amp; G$2 &amp; "'!$B:$B"), "")&lt;&gt;"", "✓", "✗"), "✗")
)</f>
        <v>✓</v>
      </c>
      <c r="H41" t="str" cm="1">
        <f t="array" aca="1" ref="H41" ca="1">IF(
    ISNUMBER(VALUE(LEFT($A41, 1))),
    "",
    IFERROR(IF(_xlfn.XLOOKUP($A41, INDIRECT("'" &amp; H$2 &amp; "'!$A:$A"), INDIRECT("'" &amp; H$2 &amp; "'!$B:$B"), "")&lt;&gt;"", "✓", "✗"), "✗")
)</f>
        <v>✓</v>
      </c>
      <c r="I41" t="str" cm="1">
        <f t="array" aca="1" ref="I41" ca="1">IF(
    ISNUMBER(VALUE(LEFT($A41, 1))),
    "",
    IFERROR(IF(_xlfn.XLOOKUP($A41, INDIRECT("'" &amp; I$2 &amp; "'!$A:$A"), INDIRECT("'" &amp; I$2 &amp; "'!$B:$B"), "")&lt;&gt;"", "✓", "✗"), "✗")
)</f>
        <v>✓</v>
      </c>
      <c r="J41" t="str" cm="1">
        <f t="array" aca="1" ref="J41" ca="1">IF(
    ISNUMBER(VALUE(LEFT($A41, 1))),
    "",
    IFERROR(IF(_xlfn.XLOOKUP($A41, INDIRECT("'" &amp; J$2 &amp; "'!$A:$A"), INDIRECT("'" &amp; J$2 &amp; "'!$B:$B"), "")&lt;&gt;"", "✓", "✗"), "✗")
)</f>
        <v>✓</v>
      </c>
      <c r="K41" t="str" cm="1">
        <f t="array" aca="1" ref="K41" ca="1">IF(
    ISNUMBER(VALUE(LEFT($A41, 1))),
    "",
    IFERROR(IF(_xlfn.XLOOKUP($A41, INDIRECT("'" &amp; K$2 &amp; "'!$A:$A"), INDIRECT("'" &amp; K$2 &amp; "'!$B:$B"), "")&lt;&gt;"", "✓", "✗"), "✗")
)</f>
        <v>✓</v>
      </c>
      <c r="L41" t="str" cm="1">
        <f t="array" aca="1" ref="L41" ca="1">IF(
    ISNUMBER(VALUE(LEFT($A41, 1))),
    "",
    IFERROR(IF(_xlfn.XLOOKUP($A41, INDIRECT("'" &amp; L$2 &amp; "'!$A:$A"), INDIRECT("'" &amp; L$2 &amp; "'!$B:$B"), "")&lt;&gt;"", "✓", "✗"), "✗")
)</f>
        <v>✓</v>
      </c>
      <c r="M41" t="str" cm="1">
        <f t="array" aca="1" ref="M41" ca="1">IF(
    ISNUMBER(VALUE(LEFT($A41, 1))),
    "",
    IFERROR(IF(_xlfn.XLOOKUP($A41, INDIRECT("'" &amp; M$2 &amp; "'!$A:$A"), INDIRECT("'" &amp; M$2 &amp; "'!$B:$B"), "")&lt;&gt;"", "✓", "✗"), "✗")
)</f>
        <v>✓</v>
      </c>
      <c r="N41" t="str" cm="1">
        <f t="array" aca="1" ref="N41" ca="1">IF(
    ISNUMBER(VALUE(LEFT($A41, 1))),
    "",
    IFERROR(IF(_xlfn.XLOOKUP($A41, INDIRECT("'" &amp; N$2 &amp; "'!$A:$A"), INDIRECT("'" &amp; N$2 &amp; "'!$B:$B"), "")&lt;&gt;"", "✓", "✗"), "✗")
)</f>
        <v>✓</v>
      </c>
      <c r="O41" t="str" cm="1">
        <f t="array" aca="1" ref="O41" ca="1">IF(
    ISNUMBER(VALUE(LEFT($A41, 1))),
    "",
    IFERROR(IF(_xlfn.XLOOKUP($A41, INDIRECT("'" &amp; O$2 &amp; "'!$A:$A"), INDIRECT("'" &amp; O$2 &amp; "'!$B:$B"), "")&lt;&gt;"", "✓", "✗"), "✗")
)</f>
        <v>✓</v>
      </c>
      <c r="P41" t="str" cm="1">
        <f t="array" aca="1" ref="P41" ca="1">IF(
    ISNUMBER(VALUE(LEFT($A41, 1))),
    "",
    IFERROR(IF(_xlfn.XLOOKUP($A41, INDIRECT("'" &amp; P$2 &amp; "'!$A:$A"), INDIRECT("'" &amp; P$2 &amp; "'!$B:$B"), "")&lt;&gt;"", "✓", "✗"), "✗")
)</f>
        <v>✓</v>
      </c>
      <c r="Q41" t="str" cm="1">
        <f t="array" aca="1" ref="Q41" ca="1">IF(
    ISNUMBER(VALUE(LEFT($A41, 1))),
    "",
    IFERROR(IF(_xlfn.XLOOKUP($A41, INDIRECT("'" &amp; Q$2 &amp; "'!$A:$A"), INDIRECT("'" &amp; Q$2 &amp; "'!$B:$B"), "")&lt;&gt;"", "✓", "✗"), "✗")
)</f>
        <v>✓</v>
      </c>
      <c r="R41" t="str" cm="1">
        <f t="array" aca="1" ref="R41" ca="1">IF(
    ISNUMBER(VALUE(LEFT($A41, 1))),
    "",
    IFERROR(IF(_xlfn.XLOOKUP($A41, INDIRECT("'" &amp; R$2 &amp; "'!$A:$A"), INDIRECT("'" &amp; R$2 &amp; "'!$B:$B"), "")&lt;&gt;"", "✓", "✗"), "✗")
)</f>
        <v>✓</v>
      </c>
      <c r="S41" t="str" cm="1">
        <f t="array" aca="1" ref="S41" ca="1">IF(
    ISNUMBER(VALUE(LEFT($A41, 1))),
    "",
    IFERROR(IF(_xlfn.XLOOKUP($A41, INDIRECT("'" &amp; S$2 &amp; "'!$A:$A"), INDIRECT("'" &amp; S$2 &amp; "'!$B:$B"), "")&lt;&gt;"", "✓", "✗"), "✗")
)</f>
        <v>✓</v>
      </c>
      <c r="T41" t="str" cm="1">
        <f t="array" aca="1" ref="T41" ca="1">IF(
    ISNUMBER(VALUE(LEFT($A41, 1))),
    "",
    IFERROR(IF(_xlfn.XLOOKUP($A41, INDIRECT("'" &amp; T$2 &amp; "'!$A:$A"), INDIRECT("'" &amp; T$2 &amp; "'!$B:$B"), "")&lt;&gt;"", "✓", "✗"), "✗")
)</f>
        <v>✓</v>
      </c>
      <c r="U41" t="str" cm="1">
        <f t="array" aca="1" ref="U41" ca="1">IF(
    ISNUMBER(VALUE(LEFT($A41, 1))),
    "",
    IFERROR(IF(_xlfn.XLOOKUP($A41, INDIRECT("'" &amp; U$2 &amp; "'!$A:$A"), INDIRECT("'" &amp; U$2 &amp; "'!$B:$B"), "")&lt;&gt;"", "✓", "✗"), "✗")
)</f>
        <v>✓</v>
      </c>
      <c r="V41" t="str" cm="1">
        <f t="array" aca="1" ref="V41" ca="1">IF(
    ISNUMBER(VALUE(LEFT($A41, 1))),
    "",
    IFERROR(IF(_xlfn.XLOOKUP($A41, INDIRECT("'" &amp; V$2 &amp; "'!$A:$A"), INDIRECT("'" &amp; V$2 &amp; "'!$B:$B"), "")&lt;&gt;"", "✓", "✗"), "✗")
)</f>
        <v>✓</v>
      </c>
      <c r="W41" t="str" cm="1">
        <f t="array" aca="1" ref="W41" ca="1">IF(
    ISNUMBER(VALUE(LEFT($A41, 1))),
    "",
    IFERROR(IF(_xlfn.XLOOKUP($A41, INDIRECT("'" &amp; W$2 &amp; "'!$A:$A"), INDIRECT("'" &amp; W$2 &amp; "'!$B:$B"), "")&lt;&gt;"", "✓", "✗"), "✗")
)</f>
        <v>✓</v>
      </c>
      <c r="X41" t="str" cm="1">
        <f t="array" aca="1" ref="X41" ca="1">IF(
    ISNUMBER(VALUE(LEFT($A41, 1))),
    "",
    IFERROR(IF(_xlfn.XLOOKUP($A41, INDIRECT("'" &amp; X$2 &amp; "'!$A:$A"), INDIRECT("'" &amp; X$2 &amp; "'!$B:$B"), "")&lt;&gt;"", "✓", "✗"), "✗")
)</f>
        <v>✓</v>
      </c>
      <c r="Y41" t="str" cm="1">
        <f t="array" aca="1" ref="Y41" ca="1">IF(
    ISNUMBER(VALUE(LEFT($A41, 1))),
    "",
    IFERROR(IF(_xlfn.XLOOKUP($A41, INDIRECT("'" &amp; Y$2 &amp; "'!$A:$A"), INDIRECT("'" &amp; Y$2 &amp; "'!$B:$B"), "")&lt;&gt;"", "✓", "✗"), "✗")
)</f>
        <v>✓</v>
      </c>
      <c r="Z41" t="str" cm="1">
        <f t="array" aca="1" ref="Z41" ca="1">IF(
    ISNUMBER(VALUE(LEFT($A41, 1))),
    "",
    IFERROR(IF(_xlfn.XLOOKUP($A41, INDIRECT("'" &amp; Z$2 &amp; "'!$A:$A"), INDIRECT("'" &amp; Z$2 &amp; "'!$B:$B"), "")&lt;&gt;"", "✓", "✗"), "✗")
)</f>
        <v>✓</v>
      </c>
      <c r="AA41" t="str" cm="1">
        <f t="array" aca="1" ref="AA41" ca="1">IF(
    ISNUMBER(VALUE(LEFT($A41, 1))),
    "",
    IFERROR(IF(_xlfn.XLOOKUP($A41, INDIRECT("'" &amp; AA$2 &amp; "'!$A:$A"), INDIRECT("'" &amp; AA$2 &amp; "'!$B:$B"), "")&lt;&gt;"", "✓", "✗"), "✗")
)</f>
        <v>✓</v>
      </c>
      <c r="AB41" t="str" cm="1">
        <f t="array" aca="1" ref="AB41" ca="1">IF(
    ISNUMBER(VALUE(LEFT($A41, 1))),
    "",
    IFERROR(IF(_xlfn.XLOOKUP($A41, INDIRECT("'" &amp; AB$2 &amp; "'!$A:$A"), INDIRECT("'" &amp; AB$2 &amp; "'!$B:$B"), "")&lt;&gt;"", "✓", "✗"), "✗")
)</f>
        <v>✓</v>
      </c>
      <c r="AC41" t="str" cm="1">
        <f t="array" aca="1" ref="AC41" ca="1">IF(
    ISNUMBER(VALUE(LEFT($A41, 1))),
    "",
    IFERROR(IF(_xlfn.XLOOKUP($A41, INDIRECT("'" &amp; AC$2 &amp; "'!$A:$A"), INDIRECT("'" &amp; AC$2 &amp; "'!$B:$B"), "")&lt;&gt;"", "✓", "✗"), "✗")
)</f>
        <v>✗</v>
      </c>
      <c r="AD41" t="str" cm="1">
        <f t="array" aca="1" ref="AD41" ca="1">IF(
    ISNUMBER(VALUE(LEFT($A41, 1))),
    "",
    IFERROR(IF(_xlfn.XLOOKUP($A41, INDIRECT("'" &amp; AD$2 &amp; "'!$A:$A"), INDIRECT("'" &amp; AD$2 &amp; "'!$B:$B"), "")&lt;&gt;"", "✓", "✗"), "✗")
)</f>
        <v>✗</v>
      </c>
      <c r="AE41" t="str" cm="1">
        <f t="array" aca="1" ref="AE41" ca="1">IF(
    ISNUMBER(VALUE(LEFT($A41, 1))),
    "",
    IFERROR(IF(_xlfn.XLOOKUP($A41, INDIRECT("'" &amp; AE$2 &amp; "'!$A:$A"), INDIRECT("'" &amp; AE$2 &amp; "'!$B:$B"), "")&lt;&gt;"", "✓", "✗"), "✗")
)</f>
        <v>✓</v>
      </c>
      <c r="AF41" t="str" cm="1">
        <f t="array" aca="1" ref="AF41" ca="1">IF(
    ISNUMBER(VALUE(LEFT($A41, 1))),
    "",
    IFERROR(IF(_xlfn.XLOOKUP($A41, INDIRECT("'" &amp; AF$2 &amp; "'!$A:$A"), INDIRECT("'" &amp; AF$2 &amp; "'!$B:$B"), "")&lt;&gt;"", "✓", "✗"), "✗")
)</f>
        <v>✓</v>
      </c>
      <c r="AG41" t="str" cm="1">
        <f t="array" aca="1" ref="AG41" ca="1">IF(
    ISNUMBER(VALUE(LEFT($A41, 1))),
    "",
    IFERROR(IF(_xlfn.XLOOKUP($A41, INDIRECT("'" &amp; AG$2 &amp; "'!$A:$A"), INDIRECT("'" &amp; AG$2 &amp; "'!$B:$B"), "")&lt;&gt;"", "✓", "✗"), "✗")
)</f>
        <v>✓</v>
      </c>
    </row>
    <row r="42" spans="1:33" x14ac:dyDescent="0.45">
      <c r="A42" t="str">
        <v>Vertical Market</v>
      </c>
      <c r="B42" t="str" cm="1">
        <f t="array" aca="1" ref="B42" ca="1">IF(
    ISNUMBER(VALUE(LEFT($A42, 1))),
    "",
    IFERROR(IF(_xlfn.XLOOKUP($A42, INDIRECT("'" &amp; B$2 &amp; "'!$A:$A"), INDIRECT("'" &amp; B$2 &amp; "'!$B:$B"), "")&lt;&gt;"", "✓", "✗"), "✗")
)</f>
        <v>✓</v>
      </c>
      <c r="C42" t="str" cm="1">
        <f t="array" aca="1" ref="C42" ca="1">IF(
    ISNUMBER(VALUE(LEFT($A42, 1))),
    "",
    IFERROR(IF(_xlfn.XLOOKUP($A42, INDIRECT("'" &amp; C$2 &amp; "'!$A:$A"), INDIRECT("'" &amp; C$2 &amp; "'!$B:$B"), "")&lt;&gt;"", "✓", "✗"), "✗")
)</f>
        <v>✓</v>
      </c>
      <c r="D42" t="str" cm="1">
        <f t="array" aca="1" ref="D42" ca="1">IF(
    ISNUMBER(VALUE(LEFT($A42, 1))),
    "",
    IFERROR(IF(_xlfn.XLOOKUP($A42, INDIRECT("'" &amp; D$2 &amp; "'!$A:$A"), INDIRECT("'" &amp; D$2 &amp; "'!$B:$B"), "")&lt;&gt;"", "✓", "✗"), "✗")
)</f>
        <v>✓</v>
      </c>
      <c r="E42" t="str" cm="1">
        <f t="array" aca="1" ref="E42" ca="1">IF(
    ISNUMBER(VALUE(LEFT($A42, 1))),
    "",
    IFERROR(IF(_xlfn.XLOOKUP($A42, INDIRECT("'" &amp; E$2 &amp; "'!$A:$A"), INDIRECT("'" &amp; E$2 &amp; "'!$B:$B"), "")&lt;&gt;"", "✓", "✗"), "✗")
)</f>
        <v>✓</v>
      </c>
      <c r="F42" t="str" cm="1">
        <f t="array" aca="1" ref="F42" ca="1">IF(
    ISNUMBER(VALUE(LEFT($A42, 1))),
    "",
    IFERROR(IF(_xlfn.XLOOKUP($A42, INDIRECT("'" &amp; F$2 &amp; "'!$A:$A"), INDIRECT("'" &amp; F$2 &amp; "'!$B:$B"), "")&lt;&gt;"", "✓", "✗"), "✗")
)</f>
        <v>✓</v>
      </c>
      <c r="G42" t="str" cm="1">
        <f t="array" aca="1" ref="G42" ca="1">IF(
    ISNUMBER(VALUE(LEFT($A42, 1))),
    "",
    IFERROR(IF(_xlfn.XLOOKUP($A42, INDIRECT("'" &amp; G$2 &amp; "'!$A:$A"), INDIRECT("'" &amp; G$2 &amp; "'!$B:$B"), "")&lt;&gt;"", "✓", "✗"), "✗")
)</f>
        <v>✓</v>
      </c>
      <c r="H42" t="str" cm="1">
        <f t="array" aca="1" ref="H42" ca="1">IF(
    ISNUMBER(VALUE(LEFT($A42, 1))),
    "",
    IFERROR(IF(_xlfn.XLOOKUP($A42, INDIRECT("'" &amp; H$2 &amp; "'!$A:$A"), INDIRECT("'" &amp; H$2 &amp; "'!$B:$B"), "")&lt;&gt;"", "✓", "✗"), "✗")
)</f>
        <v>✓</v>
      </c>
      <c r="I42" t="str" cm="1">
        <f t="array" aca="1" ref="I42" ca="1">IF(
    ISNUMBER(VALUE(LEFT($A42, 1))),
    "",
    IFERROR(IF(_xlfn.XLOOKUP($A42, INDIRECT("'" &amp; I$2 &amp; "'!$A:$A"), INDIRECT("'" &amp; I$2 &amp; "'!$B:$B"), "")&lt;&gt;"", "✓", "✗"), "✗")
)</f>
        <v>✓</v>
      </c>
      <c r="J42" t="str" cm="1">
        <f t="array" aca="1" ref="J42" ca="1">IF(
    ISNUMBER(VALUE(LEFT($A42, 1))),
    "",
    IFERROR(IF(_xlfn.XLOOKUP($A42, INDIRECT("'" &amp; J$2 &amp; "'!$A:$A"), INDIRECT("'" &amp; J$2 &amp; "'!$B:$B"), "")&lt;&gt;"", "✓", "✗"), "✗")
)</f>
        <v>✓</v>
      </c>
      <c r="K42" t="str" cm="1">
        <f t="array" aca="1" ref="K42" ca="1">IF(
    ISNUMBER(VALUE(LEFT($A42, 1))),
    "",
    IFERROR(IF(_xlfn.XLOOKUP($A42, INDIRECT("'" &amp; K$2 &amp; "'!$A:$A"), INDIRECT("'" &amp; K$2 &amp; "'!$B:$B"), "")&lt;&gt;"", "✓", "✗"), "✗")
)</f>
        <v>✓</v>
      </c>
      <c r="L42" t="str" cm="1">
        <f t="array" aca="1" ref="L42" ca="1">IF(
    ISNUMBER(VALUE(LEFT($A42, 1))),
    "",
    IFERROR(IF(_xlfn.XLOOKUP($A42, INDIRECT("'" &amp; L$2 &amp; "'!$A:$A"), INDIRECT("'" &amp; L$2 &amp; "'!$B:$B"), "")&lt;&gt;"", "✓", "✗"), "✗")
)</f>
        <v>✓</v>
      </c>
      <c r="M42" t="str" cm="1">
        <f t="array" aca="1" ref="M42" ca="1">IF(
    ISNUMBER(VALUE(LEFT($A42, 1))),
    "",
    IFERROR(IF(_xlfn.XLOOKUP($A42, INDIRECT("'" &amp; M$2 &amp; "'!$A:$A"), INDIRECT("'" &amp; M$2 &amp; "'!$B:$B"), "")&lt;&gt;"", "✓", "✗"), "✗")
)</f>
        <v>✓</v>
      </c>
      <c r="N42" t="str" cm="1">
        <f t="array" aca="1" ref="N42" ca="1">IF(
    ISNUMBER(VALUE(LEFT($A42, 1))),
    "",
    IFERROR(IF(_xlfn.XLOOKUP($A42, INDIRECT("'" &amp; N$2 &amp; "'!$A:$A"), INDIRECT("'" &amp; N$2 &amp; "'!$B:$B"), "")&lt;&gt;"", "✓", "✗"), "✗")
)</f>
        <v>✓</v>
      </c>
      <c r="O42" t="str" cm="1">
        <f t="array" aca="1" ref="O42" ca="1">IF(
    ISNUMBER(VALUE(LEFT($A42, 1))),
    "",
    IFERROR(IF(_xlfn.XLOOKUP($A42, INDIRECT("'" &amp; O$2 &amp; "'!$A:$A"), INDIRECT("'" &amp; O$2 &amp; "'!$B:$B"), "")&lt;&gt;"", "✓", "✗"), "✗")
)</f>
        <v>✓</v>
      </c>
      <c r="P42" t="str" cm="1">
        <f t="array" aca="1" ref="P42" ca="1">IF(
    ISNUMBER(VALUE(LEFT($A42, 1))),
    "",
    IFERROR(IF(_xlfn.XLOOKUP($A42, INDIRECT("'" &amp; P$2 &amp; "'!$A:$A"), INDIRECT("'" &amp; P$2 &amp; "'!$B:$B"), "")&lt;&gt;"", "✓", "✗"), "✗")
)</f>
        <v>✓</v>
      </c>
      <c r="Q42" t="str" cm="1">
        <f t="array" aca="1" ref="Q42" ca="1">IF(
    ISNUMBER(VALUE(LEFT($A42, 1))),
    "",
    IFERROR(IF(_xlfn.XLOOKUP($A42, INDIRECT("'" &amp; Q$2 &amp; "'!$A:$A"), INDIRECT("'" &amp; Q$2 &amp; "'!$B:$B"), "")&lt;&gt;"", "✓", "✗"), "✗")
)</f>
        <v>✓</v>
      </c>
      <c r="R42" t="str" cm="1">
        <f t="array" aca="1" ref="R42" ca="1">IF(
    ISNUMBER(VALUE(LEFT($A42, 1))),
    "",
    IFERROR(IF(_xlfn.XLOOKUP($A42, INDIRECT("'" &amp; R$2 &amp; "'!$A:$A"), INDIRECT("'" &amp; R$2 &amp; "'!$B:$B"), "")&lt;&gt;"", "✓", "✗"), "✗")
)</f>
        <v>✓</v>
      </c>
      <c r="S42" t="str" cm="1">
        <f t="array" aca="1" ref="S42" ca="1">IF(
    ISNUMBER(VALUE(LEFT($A42, 1))),
    "",
    IFERROR(IF(_xlfn.XLOOKUP($A42, INDIRECT("'" &amp; S$2 &amp; "'!$A:$A"), INDIRECT("'" &amp; S$2 &amp; "'!$B:$B"), "")&lt;&gt;"", "✓", "✗"), "✗")
)</f>
        <v>✓</v>
      </c>
      <c r="T42" t="str" cm="1">
        <f t="array" aca="1" ref="T42" ca="1">IF(
    ISNUMBER(VALUE(LEFT($A42, 1))),
    "",
    IFERROR(IF(_xlfn.XLOOKUP($A42, INDIRECT("'" &amp; T$2 &amp; "'!$A:$A"), INDIRECT("'" &amp; T$2 &amp; "'!$B:$B"), "")&lt;&gt;"", "✓", "✗"), "✗")
)</f>
        <v>✓</v>
      </c>
      <c r="U42" t="str" cm="1">
        <f t="array" aca="1" ref="U42" ca="1">IF(
    ISNUMBER(VALUE(LEFT($A42, 1))),
    "",
    IFERROR(IF(_xlfn.XLOOKUP($A42, INDIRECT("'" &amp; U$2 &amp; "'!$A:$A"), INDIRECT("'" &amp; U$2 &amp; "'!$B:$B"), "")&lt;&gt;"", "✓", "✗"), "✗")
)</f>
        <v>✓</v>
      </c>
      <c r="V42" t="str" cm="1">
        <f t="array" aca="1" ref="V42" ca="1">IF(
    ISNUMBER(VALUE(LEFT($A42, 1))),
    "",
    IFERROR(IF(_xlfn.XLOOKUP($A42, INDIRECT("'" &amp; V$2 &amp; "'!$A:$A"), INDIRECT("'" &amp; V$2 &amp; "'!$B:$B"), "")&lt;&gt;"", "✓", "✗"), "✗")
)</f>
        <v>✓</v>
      </c>
      <c r="W42" t="str" cm="1">
        <f t="array" aca="1" ref="W42" ca="1">IF(
    ISNUMBER(VALUE(LEFT($A42, 1))),
    "",
    IFERROR(IF(_xlfn.XLOOKUP($A42, INDIRECT("'" &amp; W$2 &amp; "'!$A:$A"), INDIRECT("'" &amp; W$2 &amp; "'!$B:$B"), "")&lt;&gt;"", "✓", "✗"), "✗")
)</f>
        <v>✓</v>
      </c>
      <c r="X42" t="str" cm="1">
        <f t="array" aca="1" ref="X42" ca="1">IF(
    ISNUMBER(VALUE(LEFT($A42, 1))),
    "",
    IFERROR(IF(_xlfn.XLOOKUP($A42, INDIRECT("'" &amp; X$2 &amp; "'!$A:$A"), INDIRECT("'" &amp; X$2 &amp; "'!$B:$B"), "")&lt;&gt;"", "✓", "✗"), "✗")
)</f>
        <v>✓</v>
      </c>
      <c r="Y42" t="str" cm="1">
        <f t="array" aca="1" ref="Y42" ca="1">IF(
    ISNUMBER(VALUE(LEFT($A42, 1))),
    "",
    IFERROR(IF(_xlfn.XLOOKUP($A42, INDIRECT("'" &amp; Y$2 &amp; "'!$A:$A"), INDIRECT("'" &amp; Y$2 &amp; "'!$B:$B"), "")&lt;&gt;"", "✓", "✗"), "✗")
)</f>
        <v>✓</v>
      </c>
      <c r="Z42" t="str" cm="1">
        <f t="array" aca="1" ref="Z42" ca="1">IF(
    ISNUMBER(VALUE(LEFT($A42, 1))),
    "",
    IFERROR(IF(_xlfn.XLOOKUP($A42, INDIRECT("'" &amp; Z$2 &amp; "'!$A:$A"), INDIRECT("'" &amp; Z$2 &amp; "'!$B:$B"), "")&lt;&gt;"", "✓", "✗"), "✗")
)</f>
        <v>✓</v>
      </c>
      <c r="AA42" t="str" cm="1">
        <f t="array" aca="1" ref="AA42" ca="1">IF(
    ISNUMBER(VALUE(LEFT($A42, 1))),
    "",
    IFERROR(IF(_xlfn.XLOOKUP($A42, INDIRECT("'" &amp; AA$2 &amp; "'!$A:$A"), INDIRECT("'" &amp; AA$2 &amp; "'!$B:$B"), "")&lt;&gt;"", "✓", "✗"), "✗")
)</f>
        <v>✓</v>
      </c>
      <c r="AB42" t="str" cm="1">
        <f t="array" aca="1" ref="AB42" ca="1">IF(
    ISNUMBER(VALUE(LEFT($A42, 1))),
    "",
    IFERROR(IF(_xlfn.XLOOKUP($A42, INDIRECT("'" &amp; AB$2 &amp; "'!$A:$A"), INDIRECT("'" &amp; AB$2 &amp; "'!$B:$B"), "")&lt;&gt;"", "✓", "✗"), "✗")
)</f>
        <v>✓</v>
      </c>
      <c r="AC42" t="str" cm="1">
        <f t="array" aca="1" ref="AC42" ca="1">IF(
    ISNUMBER(VALUE(LEFT($A42, 1))),
    "",
    IFERROR(IF(_xlfn.XLOOKUP($A42, INDIRECT("'" &amp; AC$2 &amp; "'!$A:$A"), INDIRECT("'" &amp; AC$2 &amp; "'!$B:$B"), "")&lt;&gt;"", "✓", "✗"), "✗")
)</f>
        <v>✗</v>
      </c>
      <c r="AD42" t="str" cm="1">
        <f t="array" aca="1" ref="AD42" ca="1">IF(
    ISNUMBER(VALUE(LEFT($A42, 1))),
    "",
    IFERROR(IF(_xlfn.XLOOKUP($A42, INDIRECT("'" &amp; AD$2 &amp; "'!$A:$A"), INDIRECT("'" &amp; AD$2 &amp; "'!$B:$B"), "")&lt;&gt;"", "✓", "✗"), "✗")
)</f>
        <v>✗</v>
      </c>
      <c r="AE42" t="str" cm="1">
        <f t="array" aca="1" ref="AE42" ca="1">IF(
    ISNUMBER(VALUE(LEFT($A42, 1))),
    "",
    IFERROR(IF(_xlfn.XLOOKUP($A42, INDIRECT("'" &amp; AE$2 &amp; "'!$A:$A"), INDIRECT("'" &amp; AE$2 &amp; "'!$B:$B"), "")&lt;&gt;"", "✓", "✗"), "✗")
)</f>
        <v>✓</v>
      </c>
      <c r="AF42" t="str" cm="1">
        <f t="array" aca="1" ref="AF42" ca="1">IF(
    ISNUMBER(VALUE(LEFT($A42, 1))),
    "",
    IFERROR(IF(_xlfn.XLOOKUP($A42, INDIRECT("'" &amp; AF$2 &amp; "'!$A:$A"), INDIRECT("'" &amp; AF$2 &amp; "'!$B:$B"), "")&lt;&gt;"", "✓", "✗"), "✗")
)</f>
        <v>✓</v>
      </c>
      <c r="AG42" t="str" cm="1">
        <f t="array" aca="1" ref="AG42" ca="1">IF(
    ISNUMBER(VALUE(LEFT($A42, 1))),
    "",
    IFERROR(IF(_xlfn.XLOOKUP($A42, INDIRECT("'" &amp; AG$2 &amp; "'!$A:$A"), INDIRECT("'" &amp; AG$2 &amp; "'!$B:$B"), "")&lt;&gt;"", "✓", "✗"), "✗")
)</f>
        <v>✓</v>
      </c>
    </row>
    <row r="43" spans="1:33" x14ac:dyDescent="0.45">
      <c r="A43" t="str">
        <v>Website URL</v>
      </c>
      <c r="B43" t="str" cm="1">
        <f t="array" aca="1" ref="B43" ca="1">IF(
    ISNUMBER(VALUE(LEFT($A43, 1))),
    "",
    IFERROR(IF(_xlfn.XLOOKUP($A43, INDIRECT("'" &amp; B$2 &amp; "'!$A:$A"), INDIRECT("'" &amp; B$2 &amp; "'!$B:$B"), "")&lt;&gt;"", "✓", "✗"), "✗")
)</f>
        <v>✓</v>
      </c>
      <c r="C43" t="str" cm="1">
        <f t="array" aca="1" ref="C43" ca="1">IF(
    ISNUMBER(VALUE(LEFT($A43, 1))),
    "",
    IFERROR(IF(_xlfn.XLOOKUP($A43, INDIRECT("'" &amp; C$2 &amp; "'!$A:$A"), INDIRECT("'" &amp; C$2 &amp; "'!$B:$B"), "")&lt;&gt;"", "✓", "✗"), "✗")
)</f>
        <v>✓</v>
      </c>
      <c r="D43" t="str" cm="1">
        <f t="array" aca="1" ref="D43" ca="1">IF(
    ISNUMBER(VALUE(LEFT($A43, 1))),
    "",
    IFERROR(IF(_xlfn.XLOOKUP($A43, INDIRECT("'" &amp; D$2 &amp; "'!$A:$A"), INDIRECT("'" &amp; D$2 &amp; "'!$B:$B"), "")&lt;&gt;"", "✓", "✗"), "✗")
)</f>
        <v>✓</v>
      </c>
      <c r="E43" t="str" cm="1">
        <f t="array" aca="1" ref="E43" ca="1">IF(
    ISNUMBER(VALUE(LEFT($A43, 1))),
    "",
    IFERROR(IF(_xlfn.XLOOKUP($A43, INDIRECT("'" &amp; E$2 &amp; "'!$A:$A"), INDIRECT("'" &amp; E$2 &amp; "'!$B:$B"), "")&lt;&gt;"", "✓", "✗"), "✗")
)</f>
        <v>✓</v>
      </c>
      <c r="F43" t="str" cm="1">
        <f t="array" aca="1" ref="F43" ca="1">IF(
    ISNUMBER(VALUE(LEFT($A43, 1))),
    "",
    IFERROR(IF(_xlfn.XLOOKUP($A43, INDIRECT("'" &amp; F$2 &amp; "'!$A:$A"), INDIRECT("'" &amp; F$2 &amp; "'!$B:$B"), "")&lt;&gt;"", "✓", "✗"), "✗")
)</f>
        <v>✓</v>
      </c>
      <c r="G43" t="str" cm="1">
        <f t="array" aca="1" ref="G43" ca="1">IF(
    ISNUMBER(VALUE(LEFT($A43, 1))),
    "",
    IFERROR(IF(_xlfn.XLOOKUP($A43, INDIRECT("'" &amp; G$2 &amp; "'!$A:$A"), INDIRECT("'" &amp; G$2 &amp; "'!$B:$B"), "")&lt;&gt;"", "✓", "✗"), "✗")
)</f>
        <v>✓</v>
      </c>
      <c r="H43" t="str" cm="1">
        <f t="array" aca="1" ref="H43" ca="1">IF(
    ISNUMBER(VALUE(LEFT($A43, 1))),
    "",
    IFERROR(IF(_xlfn.XLOOKUP($A43, INDIRECT("'" &amp; H$2 &amp; "'!$A:$A"), INDIRECT("'" &amp; H$2 &amp; "'!$B:$B"), "")&lt;&gt;"", "✓", "✗"), "✗")
)</f>
        <v>✓</v>
      </c>
      <c r="I43" t="str" cm="1">
        <f t="array" aca="1" ref="I43" ca="1">IF(
    ISNUMBER(VALUE(LEFT($A43, 1))),
    "",
    IFERROR(IF(_xlfn.XLOOKUP($A43, INDIRECT("'" &amp; I$2 &amp; "'!$A:$A"), INDIRECT("'" &amp; I$2 &amp; "'!$B:$B"), "")&lt;&gt;"", "✓", "✗"), "✗")
)</f>
        <v>✓</v>
      </c>
      <c r="J43" t="str" cm="1">
        <f t="array" aca="1" ref="J43" ca="1">IF(
    ISNUMBER(VALUE(LEFT($A43, 1))),
    "",
    IFERROR(IF(_xlfn.XLOOKUP($A43, INDIRECT("'" &amp; J$2 &amp; "'!$A:$A"), INDIRECT("'" &amp; J$2 &amp; "'!$B:$B"), "")&lt;&gt;"", "✓", "✗"), "✗")
)</f>
        <v>✓</v>
      </c>
      <c r="K43" t="str" cm="1">
        <f t="array" aca="1" ref="K43" ca="1">IF(
    ISNUMBER(VALUE(LEFT($A43, 1))),
    "",
    IFERROR(IF(_xlfn.XLOOKUP($A43, INDIRECT("'" &amp; K$2 &amp; "'!$A:$A"), INDIRECT("'" &amp; K$2 &amp; "'!$B:$B"), "")&lt;&gt;"", "✓", "✗"), "✗")
)</f>
        <v>✓</v>
      </c>
      <c r="L43" t="str" cm="1">
        <f t="array" aca="1" ref="L43" ca="1">IF(
    ISNUMBER(VALUE(LEFT($A43, 1))),
    "",
    IFERROR(IF(_xlfn.XLOOKUP($A43, INDIRECT("'" &amp; L$2 &amp; "'!$A:$A"), INDIRECT("'" &amp; L$2 &amp; "'!$B:$B"), "")&lt;&gt;"", "✓", "✗"), "✗")
)</f>
        <v>✓</v>
      </c>
      <c r="M43" t="str" cm="1">
        <f t="array" aca="1" ref="M43" ca="1">IF(
    ISNUMBER(VALUE(LEFT($A43, 1))),
    "",
    IFERROR(IF(_xlfn.XLOOKUP($A43, INDIRECT("'" &amp; M$2 &amp; "'!$A:$A"), INDIRECT("'" &amp; M$2 &amp; "'!$B:$B"), "")&lt;&gt;"", "✓", "✗"), "✗")
)</f>
        <v>✓</v>
      </c>
      <c r="N43" t="str" cm="1">
        <f t="array" aca="1" ref="N43" ca="1">IF(
    ISNUMBER(VALUE(LEFT($A43, 1))),
    "",
    IFERROR(IF(_xlfn.XLOOKUP($A43, INDIRECT("'" &amp; N$2 &amp; "'!$A:$A"), INDIRECT("'" &amp; N$2 &amp; "'!$B:$B"), "")&lt;&gt;"", "✓", "✗"), "✗")
)</f>
        <v>✓</v>
      </c>
      <c r="O43" t="str" cm="1">
        <f t="array" aca="1" ref="O43" ca="1">IF(
    ISNUMBER(VALUE(LEFT($A43, 1))),
    "",
    IFERROR(IF(_xlfn.XLOOKUP($A43, INDIRECT("'" &amp; O$2 &amp; "'!$A:$A"), INDIRECT("'" &amp; O$2 &amp; "'!$B:$B"), "")&lt;&gt;"", "✓", "✗"), "✗")
)</f>
        <v>✓</v>
      </c>
      <c r="P43" t="str" cm="1">
        <f t="array" aca="1" ref="P43" ca="1">IF(
    ISNUMBER(VALUE(LEFT($A43, 1))),
    "",
    IFERROR(IF(_xlfn.XLOOKUP($A43, INDIRECT("'" &amp; P$2 &amp; "'!$A:$A"), INDIRECT("'" &amp; P$2 &amp; "'!$B:$B"), "")&lt;&gt;"", "✓", "✗"), "✗")
)</f>
        <v>✓</v>
      </c>
      <c r="Q43" t="str" cm="1">
        <f t="array" aca="1" ref="Q43" ca="1">IF(
    ISNUMBER(VALUE(LEFT($A43, 1))),
    "",
    IFERROR(IF(_xlfn.XLOOKUP($A43, INDIRECT("'" &amp; Q$2 &amp; "'!$A:$A"), INDIRECT("'" &amp; Q$2 &amp; "'!$B:$B"), "")&lt;&gt;"", "✓", "✗"), "✗")
)</f>
        <v>✓</v>
      </c>
      <c r="R43" t="str" cm="1">
        <f t="array" aca="1" ref="R43" ca="1">IF(
    ISNUMBER(VALUE(LEFT($A43, 1))),
    "",
    IFERROR(IF(_xlfn.XLOOKUP($A43, INDIRECT("'" &amp; R$2 &amp; "'!$A:$A"), INDIRECT("'" &amp; R$2 &amp; "'!$B:$B"), "")&lt;&gt;"", "✓", "✗"), "✗")
)</f>
        <v>✓</v>
      </c>
      <c r="S43" t="str" cm="1">
        <f t="array" aca="1" ref="S43" ca="1">IF(
    ISNUMBER(VALUE(LEFT($A43, 1))),
    "",
    IFERROR(IF(_xlfn.XLOOKUP($A43, INDIRECT("'" &amp; S$2 &amp; "'!$A:$A"), INDIRECT("'" &amp; S$2 &amp; "'!$B:$B"), "")&lt;&gt;"", "✓", "✗"), "✗")
)</f>
        <v>✓</v>
      </c>
      <c r="T43" t="str" cm="1">
        <f t="array" aca="1" ref="T43" ca="1">IF(
    ISNUMBER(VALUE(LEFT($A43, 1))),
    "",
    IFERROR(IF(_xlfn.XLOOKUP($A43, INDIRECT("'" &amp; T$2 &amp; "'!$A:$A"), INDIRECT("'" &amp; T$2 &amp; "'!$B:$B"), "")&lt;&gt;"", "✓", "✗"), "✗")
)</f>
        <v>✓</v>
      </c>
      <c r="U43" t="str" cm="1">
        <f t="array" aca="1" ref="U43" ca="1">IF(
    ISNUMBER(VALUE(LEFT($A43, 1))),
    "",
    IFERROR(IF(_xlfn.XLOOKUP($A43, INDIRECT("'" &amp; U$2 &amp; "'!$A:$A"), INDIRECT("'" &amp; U$2 &amp; "'!$B:$B"), "")&lt;&gt;"", "✓", "✗"), "✗")
)</f>
        <v>✓</v>
      </c>
      <c r="V43" t="str" cm="1">
        <f t="array" aca="1" ref="V43" ca="1">IF(
    ISNUMBER(VALUE(LEFT($A43, 1))),
    "",
    IFERROR(IF(_xlfn.XLOOKUP($A43, INDIRECT("'" &amp; V$2 &amp; "'!$A:$A"), INDIRECT("'" &amp; V$2 &amp; "'!$B:$B"), "")&lt;&gt;"", "✓", "✗"), "✗")
)</f>
        <v>✓</v>
      </c>
      <c r="W43" t="str" cm="1">
        <f t="array" aca="1" ref="W43" ca="1">IF(
    ISNUMBER(VALUE(LEFT($A43, 1))),
    "",
    IFERROR(IF(_xlfn.XLOOKUP($A43, INDIRECT("'" &amp; W$2 &amp; "'!$A:$A"), INDIRECT("'" &amp; W$2 &amp; "'!$B:$B"), "")&lt;&gt;"", "✓", "✗"), "✗")
)</f>
        <v>✓</v>
      </c>
      <c r="X43" t="str" cm="1">
        <f t="array" aca="1" ref="X43" ca="1">IF(
    ISNUMBER(VALUE(LEFT($A43, 1))),
    "",
    IFERROR(IF(_xlfn.XLOOKUP($A43, INDIRECT("'" &amp; X$2 &amp; "'!$A:$A"), INDIRECT("'" &amp; X$2 &amp; "'!$B:$B"), "")&lt;&gt;"", "✓", "✗"), "✗")
)</f>
        <v>✓</v>
      </c>
      <c r="Y43" t="str" cm="1">
        <f t="array" aca="1" ref="Y43" ca="1">IF(
    ISNUMBER(VALUE(LEFT($A43, 1))),
    "",
    IFERROR(IF(_xlfn.XLOOKUP($A43, INDIRECT("'" &amp; Y$2 &amp; "'!$A:$A"), INDIRECT("'" &amp; Y$2 &amp; "'!$B:$B"), "")&lt;&gt;"", "✓", "✗"), "✗")
)</f>
        <v>✓</v>
      </c>
      <c r="Z43" t="str" cm="1">
        <f t="array" aca="1" ref="Z43" ca="1">IF(
    ISNUMBER(VALUE(LEFT($A43, 1))),
    "",
    IFERROR(IF(_xlfn.XLOOKUP($A43, INDIRECT("'" &amp; Z$2 &amp; "'!$A:$A"), INDIRECT("'" &amp; Z$2 &amp; "'!$B:$B"), "")&lt;&gt;"", "✓", "✗"), "✗")
)</f>
        <v>✓</v>
      </c>
      <c r="AA43" t="str" cm="1">
        <f t="array" aca="1" ref="AA43" ca="1">IF(
    ISNUMBER(VALUE(LEFT($A43, 1))),
    "",
    IFERROR(IF(_xlfn.XLOOKUP($A43, INDIRECT("'" &amp; AA$2 &amp; "'!$A:$A"), INDIRECT("'" &amp; AA$2 &amp; "'!$B:$B"), "")&lt;&gt;"", "✓", "✗"), "✗")
)</f>
        <v>✓</v>
      </c>
      <c r="AB43" t="str" cm="1">
        <f t="array" aca="1" ref="AB43" ca="1">IF(
    ISNUMBER(VALUE(LEFT($A43, 1))),
    "",
    IFERROR(IF(_xlfn.XLOOKUP($A43, INDIRECT("'" &amp; AB$2 &amp; "'!$A:$A"), INDIRECT("'" &amp; AB$2 &amp; "'!$B:$B"), "")&lt;&gt;"", "✓", "✗"), "✗")
)</f>
        <v>✓</v>
      </c>
      <c r="AC43" t="str" cm="1">
        <f t="array" aca="1" ref="AC43" ca="1">IF(
    ISNUMBER(VALUE(LEFT($A43, 1))),
    "",
    IFERROR(IF(_xlfn.XLOOKUP($A43, INDIRECT("'" &amp; AC$2 &amp; "'!$A:$A"), INDIRECT("'" &amp; AC$2 &amp; "'!$B:$B"), "")&lt;&gt;"", "✓", "✗"), "✗")
)</f>
        <v>✗</v>
      </c>
      <c r="AD43" t="str" cm="1">
        <f t="array" aca="1" ref="AD43" ca="1">IF(
    ISNUMBER(VALUE(LEFT($A43, 1))),
    "",
    IFERROR(IF(_xlfn.XLOOKUP($A43, INDIRECT("'" &amp; AD$2 &amp; "'!$A:$A"), INDIRECT("'" &amp; AD$2 &amp; "'!$B:$B"), "")&lt;&gt;"", "✓", "✗"), "✗")
)</f>
        <v>✗</v>
      </c>
      <c r="AE43" t="str" cm="1">
        <f t="array" aca="1" ref="AE43" ca="1">IF(
    ISNUMBER(VALUE(LEFT($A43, 1))),
    "",
    IFERROR(IF(_xlfn.XLOOKUP($A43, INDIRECT("'" &amp; AE$2 &amp; "'!$A:$A"), INDIRECT("'" &amp; AE$2 &amp; "'!$B:$B"), "")&lt;&gt;"", "✓", "✗"), "✗")
)</f>
        <v>✓</v>
      </c>
      <c r="AF43" t="str" cm="1">
        <f t="array" aca="1" ref="AF43" ca="1">IF(
    ISNUMBER(VALUE(LEFT($A43, 1))),
    "",
    IFERROR(IF(_xlfn.XLOOKUP($A43, INDIRECT("'" &amp; AF$2 &amp; "'!$A:$A"), INDIRECT("'" &amp; AF$2 &amp; "'!$B:$B"), "")&lt;&gt;"", "✓", "✗"), "✗")
)</f>
        <v>✓</v>
      </c>
      <c r="AG43" t="str" cm="1">
        <f t="array" aca="1" ref="AG43" ca="1">IF(
    ISNUMBER(VALUE(LEFT($A43, 1))),
    "",
    IFERROR(IF(_xlfn.XLOOKUP($A43, INDIRECT("'" &amp; AG$2 &amp; "'!$A:$A"), INDIRECT("'" &amp; AG$2 &amp; "'!$B:$B"), "")&lt;&gt;"", "✓", "✗"), "✗")
)</f>
        <v>✓</v>
      </c>
    </row>
    <row r="44" spans="1:33" x14ac:dyDescent="0.45">
      <c r="A44" t="str">
        <v>Phone Extension</v>
      </c>
      <c r="B44" t="str" cm="1">
        <f t="array" aca="1" ref="B44" ca="1">IF(
    ISNUMBER(VALUE(LEFT($A44, 1))),
    "",
    IFERROR(IF(_xlfn.XLOOKUP($A44, INDIRECT("'" &amp; B$2 &amp; "'!$A:$A"), INDIRECT("'" &amp; B$2 &amp; "'!$B:$B"), "")&lt;&gt;"", "✓", "✗"), "✗")
)</f>
        <v>✓</v>
      </c>
      <c r="C44" t="str" cm="1">
        <f t="array" aca="1" ref="C44" ca="1">IF(
    ISNUMBER(VALUE(LEFT($A44, 1))),
    "",
    IFERROR(IF(_xlfn.XLOOKUP($A44, INDIRECT("'" &amp; C$2 &amp; "'!$A:$A"), INDIRECT("'" &amp; C$2 &amp; "'!$B:$B"), "")&lt;&gt;"", "✓", "✗"), "✗")
)</f>
        <v>✓</v>
      </c>
      <c r="D44" t="str" cm="1">
        <f t="array" aca="1" ref="D44" ca="1">IF(
    ISNUMBER(VALUE(LEFT($A44, 1))),
    "",
    IFERROR(IF(_xlfn.XLOOKUP($A44, INDIRECT("'" &amp; D$2 &amp; "'!$A:$A"), INDIRECT("'" &amp; D$2 &amp; "'!$B:$B"), "")&lt;&gt;"", "✓", "✗"), "✗")
)</f>
        <v>✓</v>
      </c>
      <c r="E44" t="str" cm="1">
        <f t="array" aca="1" ref="E44" ca="1">IF(
    ISNUMBER(VALUE(LEFT($A44, 1))),
    "",
    IFERROR(IF(_xlfn.XLOOKUP($A44, INDIRECT("'" &amp; E$2 &amp; "'!$A:$A"), INDIRECT("'" &amp; E$2 &amp; "'!$B:$B"), "")&lt;&gt;"", "✓", "✗"), "✗")
)</f>
        <v>✓</v>
      </c>
      <c r="F44" t="str" cm="1">
        <f t="array" aca="1" ref="F44" ca="1">IF(
    ISNUMBER(VALUE(LEFT($A44, 1))),
    "",
    IFERROR(IF(_xlfn.XLOOKUP($A44, INDIRECT("'" &amp; F$2 &amp; "'!$A:$A"), INDIRECT("'" &amp; F$2 &amp; "'!$B:$B"), "")&lt;&gt;"", "✓", "✗"), "✗")
)</f>
        <v>✓</v>
      </c>
      <c r="G44" t="str" cm="1">
        <f t="array" aca="1" ref="G44" ca="1">IF(
    ISNUMBER(VALUE(LEFT($A44, 1))),
    "",
    IFERROR(IF(_xlfn.XLOOKUP($A44, INDIRECT("'" &amp; G$2 &amp; "'!$A:$A"), INDIRECT("'" &amp; G$2 &amp; "'!$B:$B"), "")&lt;&gt;"", "✓", "✗"), "✗")
)</f>
        <v>✓</v>
      </c>
      <c r="H44" t="str" cm="1">
        <f t="array" aca="1" ref="H44" ca="1">IF(
    ISNUMBER(VALUE(LEFT($A44, 1))),
    "",
    IFERROR(IF(_xlfn.XLOOKUP($A44, INDIRECT("'" &amp; H$2 &amp; "'!$A:$A"), INDIRECT("'" &amp; H$2 &amp; "'!$B:$B"), "")&lt;&gt;"", "✓", "✗"), "✗")
)</f>
        <v>✓</v>
      </c>
      <c r="I44" t="str" cm="1">
        <f t="array" aca="1" ref="I44" ca="1">IF(
    ISNUMBER(VALUE(LEFT($A44, 1))),
    "",
    IFERROR(IF(_xlfn.XLOOKUP($A44, INDIRECT("'" &amp; I$2 &amp; "'!$A:$A"), INDIRECT("'" &amp; I$2 &amp; "'!$B:$B"), "")&lt;&gt;"", "✓", "✗"), "✗")
)</f>
        <v>✓</v>
      </c>
      <c r="J44" t="str" cm="1">
        <f t="array" aca="1" ref="J44" ca="1">IF(
    ISNUMBER(VALUE(LEFT($A44, 1))),
    "",
    IFERROR(IF(_xlfn.XLOOKUP($A44, INDIRECT("'" &amp; J$2 &amp; "'!$A:$A"), INDIRECT("'" &amp; J$2 &amp; "'!$B:$B"), "")&lt;&gt;"", "✓", "✗"), "✗")
)</f>
        <v>✓</v>
      </c>
      <c r="K44" t="str" cm="1">
        <f t="array" aca="1" ref="K44" ca="1">IF(
    ISNUMBER(VALUE(LEFT($A44, 1))),
    "",
    IFERROR(IF(_xlfn.XLOOKUP($A44, INDIRECT("'" &amp; K$2 &amp; "'!$A:$A"), INDIRECT("'" &amp; K$2 &amp; "'!$B:$B"), "")&lt;&gt;"", "✓", "✗"), "✗")
)</f>
        <v>✓</v>
      </c>
      <c r="L44" t="str" cm="1">
        <f t="array" aca="1" ref="L44" ca="1">IF(
    ISNUMBER(VALUE(LEFT($A44, 1))),
    "",
    IFERROR(IF(_xlfn.XLOOKUP($A44, INDIRECT("'" &amp; L$2 &amp; "'!$A:$A"), INDIRECT("'" &amp; L$2 &amp; "'!$B:$B"), "")&lt;&gt;"", "✓", "✗"), "✗")
)</f>
        <v>✓</v>
      </c>
      <c r="M44" t="str" cm="1">
        <f t="array" aca="1" ref="M44" ca="1">IF(
    ISNUMBER(VALUE(LEFT($A44, 1))),
    "",
    IFERROR(IF(_xlfn.XLOOKUP($A44, INDIRECT("'" &amp; M$2 &amp; "'!$A:$A"), INDIRECT("'" &amp; M$2 &amp; "'!$B:$B"), "")&lt;&gt;"", "✓", "✗"), "✗")
)</f>
        <v>✓</v>
      </c>
      <c r="N44" t="str" cm="1">
        <f t="array" aca="1" ref="N44" ca="1">IF(
    ISNUMBER(VALUE(LEFT($A44, 1))),
    "",
    IFERROR(IF(_xlfn.XLOOKUP($A44, INDIRECT("'" &amp; N$2 &amp; "'!$A:$A"), INDIRECT("'" &amp; N$2 &amp; "'!$B:$B"), "")&lt;&gt;"", "✓", "✗"), "✗")
)</f>
        <v>✓</v>
      </c>
      <c r="O44" t="str" cm="1">
        <f t="array" aca="1" ref="O44" ca="1">IF(
    ISNUMBER(VALUE(LEFT($A44, 1))),
    "",
    IFERROR(IF(_xlfn.XLOOKUP($A44, INDIRECT("'" &amp; O$2 &amp; "'!$A:$A"), INDIRECT("'" &amp; O$2 &amp; "'!$B:$B"), "")&lt;&gt;"", "✓", "✗"), "✗")
)</f>
        <v>✓</v>
      </c>
      <c r="P44" t="str" cm="1">
        <f t="array" aca="1" ref="P44" ca="1">IF(
    ISNUMBER(VALUE(LEFT($A44, 1))),
    "",
    IFERROR(IF(_xlfn.XLOOKUP($A44, INDIRECT("'" &amp; P$2 &amp; "'!$A:$A"), INDIRECT("'" &amp; P$2 &amp; "'!$B:$B"), "")&lt;&gt;"", "✓", "✗"), "✗")
)</f>
        <v>✓</v>
      </c>
      <c r="Q44" t="str" cm="1">
        <f t="array" aca="1" ref="Q44" ca="1">IF(
    ISNUMBER(VALUE(LEFT($A44, 1))),
    "",
    IFERROR(IF(_xlfn.XLOOKUP($A44, INDIRECT("'" &amp; Q$2 &amp; "'!$A:$A"), INDIRECT("'" &amp; Q$2 &amp; "'!$B:$B"), "")&lt;&gt;"", "✓", "✗"), "✗")
)</f>
        <v>✓</v>
      </c>
      <c r="R44" t="str" cm="1">
        <f t="array" aca="1" ref="R44" ca="1">IF(
    ISNUMBER(VALUE(LEFT($A44, 1))),
    "",
    IFERROR(IF(_xlfn.XLOOKUP($A44, INDIRECT("'" &amp; R$2 &amp; "'!$A:$A"), INDIRECT("'" &amp; R$2 &amp; "'!$B:$B"), "")&lt;&gt;"", "✓", "✗"), "✗")
)</f>
        <v>✓</v>
      </c>
      <c r="S44" t="str" cm="1">
        <f t="array" aca="1" ref="S44" ca="1">IF(
    ISNUMBER(VALUE(LEFT($A44, 1))),
    "",
    IFERROR(IF(_xlfn.XLOOKUP($A44, INDIRECT("'" &amp; S$2 &amp; "'!$A:$A"), INDIRECT("'" &amp; S$2 &amp; "'!$B:$B"), "")&lt;&gt;"", "✓", "✗"), "✗")
)</f>
        <v>✓</v>
      </c>
      <c r="T44" t="str" cm="1">
        <f t="array" aca="1" ref="T44" ca="1">IF(
    ISNUMBER(VALUE(LEFT($A44, 1))),
    "",
    IFERROR(IF(_xlfn.XLOOKUP($A44, INDIRECT("'" &amp; T$2 &amp; "'!$A:$A"), INDIRECT("'" &amp; T$2 &amp; "'!$B:$B"), "")&lt;&gt;"", "✓", "✗"), "✗")
)</f>
        <v>✓</v>
      </c>
      <c r="U44" t="str" cm="1">
        <f t="array" aca="1" ref="U44" ca="1">IF(
    ISNUMBER(VALUE(LEFT($A44, 1))),
    "",
    IFERROR(IF(_xlfn.XLOOKUP($A44, INDIRECT("'" &amp; U$2 &amp; "'!$A:$A"), INDIRECT("'" &amp; U$2 &amp; "'!$B:$B"), "")&lt;&gt;"", "✓", "✗"), "✗")
)</f>
        <v>✓</v>
      </c>
      <c r="V44" t="str" cm="1">
        <f t="array" aca="1" ref="V44" ca="1">IF(
    ISNUMBER(VALUE(LEFT($A44, 1))),
    "",
    IFERROR(IF(_xlfn.XLOOKUP($A44, INDIRECT("'" &amp; V$2 &amp; "'!$A:$A"), INDIRECT("'" &amp; V$2 &amp; "'!$B:$B"), "")&lt;&gt;"", "✓", "✗"), "✗")
)</f>
        <v>✓</v>
      </c>
      <c r="W44" t="str" cm="1">
        <f t="array" aca="1" ref="W44" ca="1">IF(
    ISNUMBER(VALUE(LEFT($A44, 1))),
    "",
    IFERROR(IF(_xlfn.XLOOKUP($A44, INDIRECT("'" &amp; W$2 &amp; "'!$A:$A"), INDIRECT("'" &amp; W$2 &amp; "'!$B:$B"), "")&lt;&gt;"", "✓", "✗"), "✗")
)</f>
        <v>✓</v>
      </c>
      <c r="X44" t="str" cm="1">
        <f t="array" aca="1" ref="X44" ca="1">IF(
    ISNUMBER(VALUE(LEFT($A44, 1))),
    "",
    IFERROR(IF(_xlfn.XLOOKUP($A44, INDIRECT("'" &amp; X$2 &amp; "'!$A:$A"), INDIRECT("'" &amp; X$2 &amp; "'!$B:$B"), "")&lt;&gt;"", "✓", "✗"), "✗")
)</f>
        <v>✓</v>
      </c>
      <c r="Y44" t="str" cm="1">
        <f t="array" aca="1" ref="Y44" ca="1">IF(
    ISNUMBER(VALUE(LEFT($A44, 1))),
    "",
    IFERROR(IF(_xlfn.XLOOKUP($A44, INDIRECT("'" &amp; Y$2 &amp; "'!$A:$A"), INDIRECT("'" &amp; Y$2 &amp; "'!$B:$B"), "")&lt;&gt;"", "✓", "✗"), "✗")
)</f>
        <v>✓</v>
      </c>
      <c r="Z44" t="str" cm="1">
        <f t="array" aca="1" ref="Z44" ca="1">IF(
    ISNUMBER(VALUE(LEFT($A44, 1))),
    "",
    IFERROR(IF(_xlfn.XLOOKUP($A44, INDIRECT("'" &amp; Z$2 &amp; "'!$A:$A"), INDIRECT("'" &amp; Z$2 &amp; "'!$B:$B"), "")&lt;&gt;"", "✓", "✗"), "✗")
)</f>
        <v>✓</v>
      </c>
      <c r="AA44" t="str" cm="1">
        <f t="array" aca="1" ref="AA44" ca="1">IF(
    ISNUMBER(VALUE(LEFT($A44, 1))),
    "",
    IFERROR(IF(_xlfn.XLOOKUP($A44, INDIRECT("'" &amp; AA$2 &amp; "'!$A:$A"), INDIRECT("'" &amp; AA$2 &amp; "'!$B:$B"), "")&lt;&gt;"", "✓", "✗"), "✗")
)</f>
        <v>✓</v>
      </c>
      <c r="AB44" t="str" cm="1">
        <f t="array" aca="1" ref="AB44" ca="1">IF(
    ISNUMBER(VALUE(LEFT($A44, 1))),
    "",
    IFERROR(IF(_xlfn.XLOOKUP($A44, INDIRECT("'" &amp; AB$2 &amp; "'!$A:$A"), INDIRECT("'" &amp; AB$2 &amp; "'!$B:$B"), "")&lt;&gt;"", "✓", "✗"), "✗")
)</f>
        <v>✓</v>
      </c>
      <c r="AC44" t="str" cm="1">
        <f t="array" aca="1" ref="AC44" ca="1">IF(
    ISNUMBER(VALUE(LEFT($A44, 1))),
    "",
    IFERROR(IF(_xlfn.XLOOKUP($A44, INDIRECT("'" &amp; AC$2 &amp; "'!$A:$A"), INDIRECT("'" &amp; AC$2 &amp; "'!$B:$B"), "")&lt;&gt;"", "✓", "✗"), "✗")
)</f>
        <v>✗</v>
      </c>
      <c r="AD44" t="str" cm="1">
        <f t="array" aca="1" ref="AD44" ca="1">IF(
    ISNUMBER(VALUE(LEFT($A44, 1))),
    "",
    IFERROR(IF(_xlfn.XLOOKUP($A44, INDIRECT("'" &amp; AD$2 &amp; "'!$A:$A"), INDIRECT("'" &amp; AD$2 &amp; "'!$B:$B"), "")&lt;&gt;"", "✓", "✗"), "✗")
)</f>
        <v>✗</v>
      </c>
      <c r="AE44" t="str" cm="1">
        <f t="array" aca="1" ref="AE44" ca="1">IF(
    ISNUMBER(VALUE(LEFT($A44, 1))),
    "",
    IFERROR(IF(_xlfn.XLOOKUP($A44, INDIRECT("'" &amp; AE$2 &amp; "'!$A:$A"), INDIRECT("'" &amp; AE$2 &amp; "'!$B:$B"), "")&lt;&gt;"", "✓", "✗"), "✗")
)</f>
        <v>✓</v>
      </c>
      <c r="AF44" t="str" cm="1">
        <f t="array" aca="1" ref="AF44" ca="1">IF(
    ISNUMBER(VALUE(LEFT($A44, 1))),
    "",
    IFERROR(IF(_xlfn.XLOOKUP($A44, INDIRECT("'" &amp; AF$2 &amp; "'!$A:$A"), INDIRECT("'" &amp; AF$2 &amp; "'!$B:$B"), "")&lt;&gt;"", "✓", "✗"), "✗")
)</f>
        <v>✓</v>
      </c>
      <c r="AG44" t="str" cm="1">
        <f t="array" aca="1" ref="AG44" ca="1">IF(
    ISNUMBER(VALUE(LEFT($A44, 1))),
    "",
    IFERROR(IF(_xlfn.XLOOKUP($A44, INDIRECT("'" &amp; AG$2 &amp; "'!$A:$A"), INDIRECT("'" &amp; AG$2 &amp; "'!$B:$B"), "")&lt;&gt;"", "✓", "✗"), "✗")
)</f>
        <v>✓</v>
      </c>
    </row>
    <row r="45" spans="1:33" x14ac:dyDescent="0.45">
      <c r="A45" t="str">
        <v>Primary Phone Number</v>
      </c>
      <c r="B45" t="str" cm="1">
        <f t="array" aca="1" ref="B45" ca="1">IF(
    ISNUMBER(VALUE(LEFT($A45, 1))),
    "",
    IFERROR(IF(_xlfn.XLOOKUP($A45, INDIRECT("'" &amp; B$2 &amp; "'!$A:$A"), INDIRECT("'" &amp; B$2 &amp; "'!$B:$B"), "")&lt;&gt;"", "✓", "✗"), "✗")
)</f>
        <v>✓</v>
      </c>
      <c r="C45" t="str" cm="1">
        <f t="array" aca="1" ref="C45" ca="1">IF(
    ISNUMBER(VALUE(LEFT($A45, 1))),
    "",
    IFERROR(IF(_xlfn.XLOOKUP($A45, INDIRECT("'" &amp; C$2 &amp; "'!$A:$A"), INDIRECT("'" &amp; C$2 &amp; "'!$B:$B"), "")&lt;&gt;"", "✓", "✗"), "✗")
)</f>
        <v>✓</v>
      </c>
      <c r="D45" t="str" cm="1">
        <f t="array" aca="1" ref="D45" ca="1">IF(
    ISNUMBER(VALUE(LEFT($A45, 1))),
    "",
    IFERROR(IF(_xlfn.XLOOKUP($A45, INDIRECT("'" &amp; D$2 &amp; "'!$A:$A"), INDIRECT("'" &amp; D$2 &amp; "'!$B:$B"), "")&lt;&gt;"", "✓", "✗"), "✗")
)</f>
        <v>✓</v>
      </c>
      <c r="E45" t="str" cm="1">
        <f t="array" aca="1" ref="E45" ca="1">IF(
    ISNUMBER(VALUE(LEFT($A45, 1))),
    "",
    IFERROR(IF(_xlfn.XLOOKUP($A45, INDIRECT("'" &amp; E$2 &amp; "'!$A:$A"), INDIRECT("'" &amp; E$2 &amp; "'!$B:$B"), "")&lt;&gt;"", "✓", "✗"), "✗")
)</f>
        <v>✓</v>
      </c>
      <c r="F45" t="str" cm="1">
        <f t="array" aca="1" ref="F45" ca="1">IF(
    ISNUMBER(VALUE(LEFT($A45, 1))),
    "",
    IFERROR(IF(_xlfn.XLOOKUP($A45, INDIRECT("'" &amp; F$2 &amp; "'!$A:$A"), INDIRECT("'" &amp; F$2 &amp; "'!$B:$B"), "")&lt;&gt;"", "✓", "✗"), "✗")
)</f>
        <v>✓</v>
      </c>
      <c r="G45" t="str" cm="1">
        <f t="array" aca="1" ref="G45" ca="1">IF(
    ISNUMBER(VALUE(LEFT($A45, 1))),
    "",
    IFERROR(IF(_xlfn.XLOOKUP($A45, INDIRECT("'" &amp; G$2 &amp; "'!$A:$A"), INDIRECT("'" &amp; G$2 &amp; "'!$B:$B"), "")&lt;&gt;"", "✓", "✗"), "✗")
)</f>
        <v>✓</v>
      </c>
      <c r="H45" t="str" cm="1">
        <f t="array" aca="1" ref="H45" ca="1">IF(
    ISNUMBER(VALUE(LEFT($A45, 1))),
    "",
    IFERROR(IF(_xlfn.XLOOKUP($A45, INDIRECT("'" &amp; H$2 &amp; "'!$A:$A"), INDIRECT("'" &amp; H$2 &amp; "'!$B:$B"), "")&lt;&gt;"", "✓", "✗"), "✗")
)</f>
        <v>✓</v>
      </c>
      <c r="I45" t="str" cm="1">
        <f t="array" aca="1" ref="I45" ca="1">IF(
    ISNUMBER(VALUE(LEFT($A45, 1))),
    "",
    IFERROR(IF(_xlfn.XLOOKUP($A45, INDIRECT("'" &amp; I$2 &amp; "'!$A:$A"), INDIRECT("'" &amp; I$2 &amp; "'!$B:$B"), "")&lt;&gt;"", "✓", "✗"), "✗")
)</f>
        <v>✓</v>
      </c>
      <c r="J45" t="str" cm="1">
        <f t="array" aca="1" ref="J45" ca="1">IF(
    ISNUMBER(VALUE(LEFT($A45, 1))),
    "",
    IFERROR(IF(_xlfn.XLOOKUP($A45, INDIRECT("'" &amp; J$2 &amp; "'!$A:$A"), INDIRECT("'" &amp; J$2 &amp; "'!$B:$B"), "")&lt;&gt;"", "✓", "✗"), "✗")
)</f>
        <v>✓</v>
      </c>
      <c r="K45" t="str" cm="1">
        <f t="array" aca="1" ref="K45" ca="1">IF(
    ISNUMBER(VALUE(LEFT($A45, 1))),
    "",
    IFERROR(IF(_xlfn.XLOOKUP($A45, INDIRECT("'" &amp; K$2 &amp; "'!$A:$A"), INDIRECT("'" &amp; K$2 &amp; "'!$B:$B"), "")&lt;&gt;"", "✓", "✗"), "✗")
)</f>
        <v>✓</v>
      </c>
      <c r="L45" t="str" cm="1">
        <f t="array" aca="1" ref="L45" ca="1">IF(
    ISNUMBER(VALUE(LEFT($A45, 1))),
    "",
    IFERROR(IF(_xlfn.XLOOKUP($A45, INDIRECT("'" &amp; L$2 &amp; "'!$A:$A"), INDIRECT("'" &amp; L$2 &amp; "'!$B:$B"), "")&lt;&gt;"", "✓", "✗"), "✗")
)</f>
        <v>✓</v>
      </c>
      <c r="M45" t="str" cm="1">
        <f t="array" aca="1" ref="M45" ca="1">IF(
    ISNUMBER(VALUE(LEFT($A45, 1))),
    "",
    IFERROR(IF(_xlfn.XLOOKUP($A45, INDIRECT("'" &amp; M$2 &amp; "'!$A:$A"), INDIRECT("'" &amp; M$2 &amp; "'!$B:$B"), "")&lt;&gt;"", "✓", "✗"), "✗")
)</f>
        <v>✓</v>
      </c>
      <c r="N45" t="str" cm="1">
        <f t="array" aca="1" ref="N45" ca="1">IF(
    ISNUMBER(VALUE(LEFT($A45, 1))),
    "",
    IFERROR(IF(_xlfn.XLOOKUP($A45, INDIRECT("'" &amp; N$2 &amp; "'!$A:$A"), INDIRECT("'" &amp; N$2 &amp; "'!$B:$B"), "")&lt;&gt;"", "✓", "✗"), "✗")
)</f>
        <v>✓</v>
      </c>
      <c r="O45" t="str" cm="1">
        <f t="array" aca="1" ref="O45" ca="1">IF(
    ISNUMBER(VALUE(LEFT($A45, 1))),
    "",
    IFERROR(IF(_xlfn.XLOOKUP($A45, INDIRECT("'" &amp; O$2 &amp; "'!$A:$A"), INDIRECT("'" &amp; O$2 &amp; "'!$B:$B"), "")&lt;&gt;"", "✓", "✗"), "✗")
)</f>
        <v>✓</v>
      </c>
      <c r="P45" t="str" cm="1">
        <f t="array" aca="1" ref="P45" ca="1">IF(
    ISNUMBER(VALUE(LEFT($A45, 1))),
    "",
    IFERROR(IF(_xlfn.XLOOKUP($A45, INDIRECT("'" &amp; P$2 &amp; "'!$A:$A"), INDIRECT("'" &amp; P$2 &amp; "'!$B:$B"), "")&lt;&gt;"", "✓", "✗"), "✗")
)</f>
        <v>✓</v>
      </c>
      <c r="Q45" t="str" cm="1">
        <f t="array" aca="1" ref="Q45" ca="1">IF(
    ISNUMBER(VALUE(LEFT($A45, 1))),
    "",
    IFERROR(IF(_xlfn.XLOOKUP($A45, INDIRECT("'" &amp; Q$2 &amp; "'!$A:$A"), INDIRECT("'" &amp; Q$2 &amp; "'!$B:$B"), "")&lt;&gt;"", "✓", "✗"), "✗")
)</f>
        <v>✓</v>
      </c>
      <c r="R45" t="str" cm="1">
        <f t="array" aca="1" ref="R45" ca="1">IF(
    ISNUMBER(VALUE(LEFT($A45, 1))),
    "",
    IFERROR(IF(_xlfn.XLOOKUP($A45, INDIRECT("'" &amp; R$2 &amp; "'!$A:$A"), INDIRECT("'" &amp; R$2 &amp; "'!$B:$B"), "")&lt;&gt;"", "✓", "✗"), "✗")
)</f>
        <v>✓</v>
      </c>
      <c r="S45" t="str" cm="1">
        <f t="array" aca="1" ref="S45" ca="1">IF(
    ISNUMBER(VALUE(LEFT($A45, 1))),
    "",
    IFERROR(IF(_xlfn.XLOOKUP($A45, INDIRECT("'" &amp; S$2 &amp; "'!$A:$A"), INDIRECT("'" &amp; S$2 &amp; "'!$B:$B"), "")&lt;&gt;"", "✓", "✗"), "✗")
)</f>
        <v>✓</v>
      </c>
      <c r="T45" t="str" cm="1">
        <f t="array" aca="1" ref="T45" ca="1">IF(
    ISNUMBER(VALUE(LEFT($A45, 1))),
    "",
    IFERROR(IF(_xlfn.XLOOKUP($A45, INDIRECT("'" &amp; T$2 &amp; "'!$A:$A"), INDIRECT("'" &amp; T$2 &amp; "'!$B:$B"), "")&lt;&gt;"", "✓", "✗"), "✗")
)</f>
        <v>✓</v>
      </c>
      <c r="U45" t="str" cm="1">
        <f t="array" aca="1" ref="U45" ca="1">IF(
    ISNUMBER(VALUE(LEFT($A45, 1))),
    "",
    IFERROR(IF(_xlfn.XLOOKUP($A45, INDIRECT("'" &amp; U$2 &amp; "'!$A:$A"), INDIRECT("'" &amp; U$2 &amp; "'!$B:$B"), "")&lt;&gt;"", "✓", "✗"), "✗")
)</f>
        <v>✓</v>
      </c>
      <c r="V45" t="str" cm="1">
        <f t="array" aca="1" ref="V45" ca="1">IF(
    ISNUMBER(VALUE(LEFT($A45, 1))),
    "",
    IFERROR(IF(_xlfn.XLOOKUP($A45, INDIRECT("'" &amp; V$2 &amp; "'!$A:$A"), INDIRECT("'" &amp; V$2 &amp; "'!$B:$B"), "")&lt;&gt;"", "✓", "✗"), "✗")
)</f>
        <v>✓</v>
      </c>
      <c r="W45" t="str" cm="1">
        <f t="array" aca="1" ref="W45" ca="1">IF(
    ISNUMBER(VALUE(LEFT($A45, 1))),
    "",
    IFERROR(IF(_xlfn.XLOOKUP($A45, INDIRECT("'" &amp; W$2 &amp; "'!$A:$A"), INDIRECT("'" &amp; W$2 &amp; "'!$B:$B"), "")&lt;&gt;"", "✓", "✗"), "✗")
)</f>
        <v>✓</v>
      </c>
      <c r="X45" t="str" cm="1">
        <f t="array" aca="1" ref="X45" ca="1">IF(
    ISNUMBER(VALUE(LEFT($A45, 1))),
    "",
    IFERROR(IF(_xlfn.XLOOKUP($A45, INDIRECT("'" &amp; X$2 &amp; "'!$A:$A"), INDIRECT("'" &amp; X$2 &amp; "'!$B:$B"), "")&lt;&gt;"", "✓", "✗"), "✗")
)</f>
        <v>✓</v>
      </c>
      <c r="Y45" t="str" cm="1">
        <f t="array" aca="1" ref="Y45" ca="1">IF(
    ISNUMBER(VALUE(LEFT($A45, 1))),
    "",
    IFERROR(IF(_xlfn.XLOOKUP($A45, INDIRECT("'" &amp; Y$2 &amp; "'!$A:$A"), INDIRECT("'" &amp; Y$2 &amp; "'!$B:$B"), "")&lt;&gt;"", "✓", "✗"), "✗")
)</f>
        <v>✓</v>
      </c>
      <c r="Z45" t="str" cm="1">
        <f t="array" aca="1" ref="Z45" ca="1">IF(
    ISNUMBER(VALUE(LEFT($A45, 1))),
    "",
    IFERROR(IF(_xlfn.XLOOKUP($A45, INDIRECT("'" &amp; Z$2 &amp; "'!$A:$A"), INDIRECT("'" &amp; Z$2 &amp; "'!$B:$B"), "")&lt;&gt;"", "✓", "✗"), "✗")
)</f>
        <v>✓</v>
      </c>
      <c r="AA45" t="str" cm="1">
        <f t="array" aca="1" ref="AA45" ca="1">IF(
    ISNUMBER(VALUE(LEFT($A45, 1))),
    "",
    IFERROR(IF(_xlfn.XLOOKUP($A45, INDIRECT("'" &amp; AA$2 &amp; "'!$A:$A"), INDIRECT("'" &amp; AA$2 &amp; "'!$B:$B"), "")&lt;&gt;"", "✓", "✗"), "✗")
)</f>
        <v>✓</v>
      </c>
      <c r="AB45" t="str" cm="1">
        <f t="array" aca="1" ref="AB45" ca="1">IF(
    ISNUMBER(VALUE(LEFT($A45, 1))),
    "",
    IFERROR(IF(_xlfn.XLOOKUP($A45, INDIRECT("'" &amp; AB$2 &amp; "'!$A:$A"), INDIRECT("'" &amp; AB$2 &amp; "'!$B:$B"), "")&lt;&gt;"", "✓", "✗"), "✗")
)</f>
        <v>✓</v>
      </c>
      <c r="AC45" t="str" cm="1">
        <f t="array" aca="1" ref="AC45" ca="1">IF(
    ISNUMBER(VALUE(LEFT($A45, 1))),
    "",
    IFERROR(IF(_xlfn.XLOOKUP($A45, INDIRECT("'" &amp; AC$2 &amp; "'!$A:$A"), INDIRECT("'" &amp; AC$2 &amp; "'!$B:$B"), "")&lt;&gt;"", "✓", "✗"), "✗")
)</f>
        <v>✗</v>
      </c>
      <c r="AD45" t="str" cm="1">
        <f t="array" aca="1" ref="AD45" ca="1">IF(
    ISNUMBER(VALUE(LEFT($A45, 1))),
    "",
    IFERROR(IF(_xlfn.XLOOKUP($A45, INDIRECT("'" &amp; AD$2 &amp; "'!$A:$A"), INDIRECT("'" &amp; AD$2 &amp; "'!$B:$B"), "")&lt;&gt;"", "✓", "✗"), "✗")
)</f>
        <v>✗</v>
      </c>
      <c r="AE45" t="str" cm="1">
        <f t="array" aca="1" ref="AE45" ca="1">IF(
    ISNUMBER(VALUE(LEFT($A45, 1))),
    "",
    IFERROR(IF(_xlfn.XLOOKUP($A45, INDIRECT("'" &amp; AE$2 &amp; "'!$A:$A"), INDIRECT("'" &amp; AE$2 &amp; "'!$B:$B"), "")&lt;&gt;"", "✓", "✗"), "✗")
)</f>
        <v>✓</v>
      </c>
      <c r="AF45" t="str" cm="1">
        <f t="array" aca="1" ref="AF45" ca="1">IF(
    ISNUMBER(VALUE(LEFT($A45, 1))),
    "",
    IFERROR(IF(_xlfn.XLOOKUP($A45, INDIRECT("'" &amp; AF$2 &amp; "'!$A:$A"), INDIRECT("'" &amp; AF$2 &amp; "'!$B:$B"), "")&lt;&gt;"", "✓", "✗"), "✗")
)</f>
        <v>✓</v>
      </c>
      <c r="AG45" t="str" cm="1">
        <f t="array" aca="1" ref="AG45" ca="1">IF(
    ISNUMBER(VALUE(LEFT($A45, 1))),
    "",
    IFERROR(IF(_xlfn.XLOOKUP($A45, INDIRECT("'" &amp; AG$2 &amp; "'!$A:$A"), INDIRECT("'" &amp; AG$2 &amp; "'!$B:$B"), "")&lt;&gt;"", "✓", "✗"), "✗")
)</f>
        <v>✓</v>
      </c>
    </row>
    <row r="46" spans="1:33" x14ac:dyDescent="0.45">
      <c r="A46" t="str">
        <v>4 - Compliance / Permissions</v>
      </c>
      <c r="B46" t="str" cm="1">
        <f t="array" aca="1" ref="B46" ca="1">IF(
    ISNUMBER(VALUE(LEFT($A46, 1))),
    "",
    IFERROR(IF(_xlfn.XLOOKUP($A46, INDIRECT("'" &amp; B$2 &amp; "'!$A:$A"), INDIRECT("'" &amp; B$2 &amp; "'!$B:$B"), "")&lt;&gt;"", "✓", "✗"), "✗")
)</f>
        <v/>
      </c>
      <c r="C46" t="str" cm="1">
        <f t="array" aca="1" ref="C46" ca="1">IF(
    ISNUMBER(VALUE(LEFT($A46, 1))),
    "",
    IFERROR(IF(_xlfn.XLOOKUP($A46, INDIRECT("'" &amp; C$2 &amp; "'!$A:$A"), INDIRECT("'" &amp; C$2 &amp; "'!$B:$B"), "")&lt;&gt;"", "✓", "✗"), "✗")
)</f>
        <v/>
      </c>
      <c r="D46" t="str" cm="1">
        <f t="array" aca="1" ref="D46" ca="1">IF(
    ISNUMBER(VALUE(LEFT($A46, 1))),
    "",
    IFERROR(IF(_xlfn.XLOOKUP($A46, INDIRECT("'" &amp; D$2 &amp; "'!$A:$A"), INDIRECT("'" &amp; D$2 &amp; "'!$B:$B"), "")&lt;&gt;"", "✓", "✗"), "✗")
)</f>
        <v/>
      </c>
      <c r="E46" t="str" cm="1">
        <f t="array" aca="1" ref="E46" ca="1">IF(
    ISNUMBER(VALUE(LEFT($A46, 1))),
    "",
    IFERROR(IF(_xlfn.XLOOKUP($A46, INDIRECT("'" &amp; E$2 &amp; "'!$A:$A"), INDIRECT("'" &amp; E$2 &amp; "'!$B:$B"), "")&lt;&gt;"", "✓", "✗"), "✗")
)</f>
        <v/>
      </c>
      <c r="F46" t="str" cm="1">
        <f t="array" aca="1" ref="F46" ca="1">IF(
    ISNUMBER(VALUE(LEFT($A46, 1))),
    "",
    IFERROR(IF(_xlfn.XLOOKUP($A46, INDIRECT("'" &amp; F$2 &amp; "'!$A:$A"), INDIRECT("'" &amp; F$2 &amp; "'!$B:$B"), "")&lt;&gt;"", "✓", "✗"), "✗")
)</f>
        <v/>
      </c>
      <c r="G46" t="str" cm="1">
        <f t="array" aca="1" ref="G46" ca="1">IF(
    ISNUMBER(VALUE(LEFT($A46, 1))),
    "",
    IFERROR(IF(_xlfn.XLOOKUP($A46, INDIRECT("'" &amp; G$2 &amp; "'!$A:$A"), INDIRECT("'" &amp; G$2 &amp; "'!$B:$B"), "")&lt;&gt;"", "✓", "✗"), "✗")
)</f>
        <v/>
      </c>
      <c r="H46" t="str" cm="1">
        <f t="array" aca="1" ref="H46" ca="1">IF(
    ISNUMBER(VALUE(LEFT($A46, 1))),
    "",
    IFERROR(IF(_xlfn.XLOOKUP($A46, INDIRECT("'" &amp; H$2 &amp; "'!$A:$A"), INDIRECT("'" &amp; H$2 &amp; "'!$B:$B"), "")&lt;&gt;"", "✓", "✗"), "✗")
)</f>
        <v/>
      </c>
      <c r="I46" t="str" cm="1">
        <f t="array" aca="1" ref="I46" ca="1">IF(
    ISNUMBER(VALUE(LEFT($A46, 1))),
    "",
    IFERROR(IF(_xlfn.XLOOKUP($A46, INDIRECT("'" &amp; I$2 &amp; "'!$A:$A"), INDIRECT("'" &amp; I$2 &amp; "'!$B:$B"), "")&lt;&gt;"", "✓", "✗"), "✗")
)</f>
        <v/>
      </c>
      <c r="J46" t="str" cm="1">
        <f t="array" aca="1" ref="J46" ca="1">IF(
    ISNUMBER(VALUE(LEFT($A46, 1))),
    "",
    IFERROR(IF(_xlfn.XLOOKUP($A46, INDIRECT("'" &amp; J$2 &amp; "'!$A:$A"), INDIRECT("'" &amp; J$2 &amp; "'!$B:$B"), "")&lt;&gt;"", "✓", "✗"), "✗")
)</f>
        <v/>
      </c>
      <c r="K46" t="str" cm="1">
        <f t="array" aca="1" ref="K46" ca="1">IF(
    ISNUMBER(VALUE(LEFT($A46, 1))),
    "",
    IFERROR(IF(_xlfn.XLOOKUP($A46, INDIRECT("'" &amp; K$2 &amp; "'!$A:$A"), INDIRECT("'" &amp; K$2 &amp; "'!$B:$B"), "")&lt;&gt;"", "✓", "✗"), "✗")
)</f>
        <v/>
      </c>
      <c r="L46" t="str" cm="1">
        <f t="array" aca="1" ref="L46" ca="1">IF(
    ISNUMBER(VALUE(LEFT($A46, 1))),
    "",
    IFERROR(IF(_xlfn.XLOOKUP($A46, INDIRECT("'" &amp; L$2 &amp; "'!$A:$A"), INDIRECT("'" &amp; L$2 &amp; "'!$B:$B"), "")&lt;&gt;"", "✓", "✗"), "✗")
)</f>
        <v/>
      </c>
      <c r="M46" t="str" cm="1">
        <f t="array" aca="1" ref="M46" ca="1">IF(
    ISNUMBER(VALUE(LEFT($A46, 1))),
    "",
    IFERROR(IF(_xlfn.XLOOKUP($A46, INDIRECT("'" &amp; M$2 &amp; "'!$A:$A"), INDIRECT("'" &amp; M$2 &amp; "'!$B:$B"), "")&lt;&gt;"", "✓", "✗"), "✗")
)</f>
        <v/>
      </c>
      <c r="N46" t="str" cm="1">
        <f t="array" aca="1" ref="N46" ca="1">IF(
    ISNUMBER(VALUE(LEFT($A46, 1))),
    "",
    IFERROR(IF(_xlfn.XLOOKUP($A46, INDIRECT("'" &amp; N$2 &amp; "'!$A:$A"), INDIRECT("'" &amp; N$2 &amp; "'!$B:$B"), "")&lt;&gt;"", "✓", "✗"), "✗")
)</f>
        <v/>
      </c>
      <c r="O46" t="str" cm="1">
        <f t="array" aca="1" ref="O46" ca="1">IF(
    ISNUMBER(VALUE(LEFT($A46, 1))),
    "",
    IFERROR(IF(_xlfn.XLOOKUP($A46, INDIRECT("'" &amp; O$2 &amp; "'!$A:$A"), INDIRECT("'" &amp; O$2 &amp; "'!$B:$B"), "")&lt;&gt;"", "✓", "✗"), "✗")
)</f>
        <v/>
      </c>
      <c r="P46" t="str" cm="1">
        <f t="array" aca="1" ref="P46" ca="1">IF(
    ISNUMBER(VALUE(LEFT($A46, 1))),
    "",
    IFERROR(IF(_xlfn.XLOOKUP($A46, INDIRECT("'" &amp; P$2 &amp; "'!$A:$A"), INDIRECT("'" &amp; P$2 &amp; "'!$B:$B"), "")&lt;&gt;"", "✓", "✗"), "✗")
)</f>
        <v/>
      </c>
      <c r="Q46" t="str" cm="1">
        <f t="array" aca="1" ref="Q46" ca="1">IF(
    ISNUMBER(VALUE(LEFT($A46, 1))),
    "",
    IFERROR(IF(_xlfn.XLOOKUP($A46, INDIRECT("'" &amp; Q$2 &amp; "'!$A:$A"), INDIRECT("'" &amp; Q$2 &amp; "'!$B:$B"), "")&lt;&gt;"", "✓", "✗"), "✗")
)</f>
        <v/>
      </c>
      <c r="R46" t="str" cm="1">
        <f t="array" aca="1" ref="R46" ca="1">IF(
    ISNUMBER(VALUE(LEFT($A46, 1))),
    "",
    IFERROR(IF(_xlfn.XLOOKUP($A46, INDIRECT("'" &amp; R$2 &amp; "'!$A:$A"), INDIRECT("'" &amp; R$2 &amp; "'!$B:$B"), "")&lt;&gt;"", "✓", "✗"), "✗")
)</f>
        <v/>
      </c>
      <c r="S46" t="str" cm="1">
        <f t="array" aca="1" ref="S46" ca="1">IF(
    ISNUMBER(VALUE(LEFT($A46, 1))),
    "",
    IFERROR(IF(_xlfn.XLOOKUP($A46, INDIRECT("'" &amp; S$2 &amp; "'!$A:$A"), INDIRECT("'" &amp; S$2 &amp; "'!$B:$B"), "")&lt;&gt;"", "✓", "✗"), "✗")
)</f>
        <v/>
      </c>
      <c r="T46" t="str" cm="1">
        <f t="array" aca="1" ref="T46" ca="1">IF(
    ISNUMBER(VALUE(LEFT($A46, 1))),
    "",
    IFERROR(IF(_xlfn.XLOOKUP($A46, INDIRECT("'" &amp; T$2 &amp; "'!$A:$A"), INDIRECT("'" &amp; T$2 &amp; "'!$B:$B"), "")&lt;&gt;"", "✓", "✗"), "✗")
)</f>
        <v/>
      </c>
      <c r="U46" t="str" cm="1">
        <f t="array" aca="1" ref="U46" ca="1">IF(
    ISNUMBER(VALUE(LEFT($A46, 1))),
    "",
    IFERROR(IF(_xlfn.XLOOKUP($A46, INDIRECT("'" &amp; U$2 &amp; "'!$A:$A"), INDIRECT("'" &amp; U$2 &amp; "'!$B:$B"), "")&lt;&gt;"", "✓", "✗"), "✗")
)</f>
        <v/>
      </c>
      <c r="V46" t="str" cm="1">
        <f t="array" aca="1" ref="V46" ca="1">IF(
    ISNUMBER(VALUE(LEFT($A46, 1))),
    "",
    IFERROR(IF(_xlfn.XLOOKUP($A46, INDIRECT("'" &amp; V$2 &amp; "'!$A:$A"), INDIRECT("'" &amp; V$2 &amp; "'!$B:$B"), "")&lt;&gt;"", "✓", "✗"), "✗")
)</f>
        <v/>
      </c>
      <c r="W46" t="str" cm="1">
        <f t="array" aca="1" ref="W46" ca="1">IF(
    ISNUMBER(VALUE(LEFT($A46, 1))),
    "",
    IFERROR(IF(_xlfn.XLOOKUP($A46, INDIRECT("'" &amp; W$2 &amp; "'!$A:$A"), INDIRECT("'" &amp; W$2 &amp; "'!$B:$B"), "")&lt;&gt;"", "✓", "✗"), "✗")
)</f>
        <v/>
      </c>
      <c r="X46" t="str" cm="1">
        <f t="array" aca="1" ref="X46" ca="1">IF(
    ISNUMBER(VALUE(LEFT($A46, 1))),
    "",
    IFERROR(IF(_xlfn.XLOOKUP($A46, INDIRECT("'" &amp; X$2 &amp; "'!$A:$A"), INDIRECT("'" &amp; X$2 &amp; "'!$B:$B"), "")&lt;&gt;"", "✓", "✗"), "✗")
)</f>
        <v/>
      </c>
      <c r="Y46" t="str" cm="1">
        <f t="array" aca="1" ref="Y46" ca="1">IF(
    ISNUMBER(VALUE(LEFT($A46, 1))),
    "",
    IFERROR(IF(_xlfn.XLOOKUP($A46, INDIRECT("'" &amp; Y$2 &amp; "'!$A:$A"), INDIRECT("'" &amp; Y$2 &amp; "'!$B:$B"), "")&lt;&gt;"", "✓", "✗"), "✗")
)</f>
        <v/>
      </c>
      <c r="Z46" t="str" cm="1">
        <f t="array" aca="1" ref="Z46" ca="1">IF(
    ISNUMBER(VALUE(LEFT($A46, 1))),
    "",
    IFERROR(IF(_xlfn.XLOOKUP($A46, INDIRECT("'" &amp; Z$2 &amp; "'!$A:$A"), INDIRECT("'" &amp; Z$2 &amp; "'!$B:$B"), "")&lt;&gt;"", "✓", "✗"), "✗")
)</f>
        <v/>
      </c>
      <c r="AA46" t="str" cm="1">
        <f t="array" aca="1" ref="AA46" ca="1">IF(
    ISNUMBER(VALUE(LEFT($A46, 1))),
    "",
    IFERROR(IF(_xlfn.XLOOKUP($A46, INDIRECT("'" &amp; AA$2 &amp; "'!$A:$A"), INDIRECT("'" &amp; AA$2 &amp; "'!$B:$B"), "")&lt;&gt;"", "✓", "✗"), "✗")
)</f>
        <v/>
      </c>
      <c r="AB46" t="str" cm="1">
        <f t="array" aca="1" ref="AB46" ca="1">IF(
    ISNUMBER(VALUE(LEFT($A46, 1))),
    "",
    IFERROR(IF(_xlfn.XLOOKUP($A46, INDIRECT("'" &amp; AB$2 &amp; "'!$A:$A"), INDIRECT("'" &amp; AB$2 &amp; "'!$B:$B"), "")&lt;&gt;"", "✓", "✗"), "✗")
)</f>
        <v/>
      </c>
      <c r="AC46" t="str" cm="1">
        <f t="array" aca="1" ref="AC46" ca="1">IF(
    ISNUMBER(VALUE(LEFT($A46, 1))),
    "",
    IFERROR(IF(_xlfn.XLOOKUP($A46, INDIRECT("'" &amp; AC$2 &amp; "'!$A:$A"), INDIRECT("'" &amp; AC$2 &amp; "'!$B:$B"), "")&lt;&gt;"", "✓", "✗"), "✗")
)</f>
        <v/>
      </c>
      <c r="AD46" t="str" cm="1">
        <f t="array" aca="1" ref="AD46" ca="1">IF(
    ISNUMBER(VALUE(LEFT($A46, 1))),
    "",
    IFERROR(IF(_xlfn.XLOOKUP($A46, INDIRECT("'" &amp; AD$2 &amp; "'!$A:$A"), INDIRECT("'" &amp; AD$2 &amp; "'!$B:$B"), "")&lt;&gt;"", "✓", "✗"), "✗")
)</f>
        <v/>
      </c>
      <c r="AE46" t="str" cm="1">
        <f t="array" aca="1" ref="AE46" ca="1">IF(
    ISNUMBER(VALUE(LEFT($A46, 1))),
    "",
    IFERROR(IF(_xlfn.XLOOKUP($A46, INDIRECT("'" &amp; AE$2 &amp; "'!$A:$A"), INDIRECT("'" &amp; AE$2 &amp; "'!$B:$B"), "")&lt;&gt;"", "✓", "✗"), "✗")
)</f>
        <v/>
      </c>
      <c r="AF46" t="str" cm="1">
        <f t="array" aca="1" ref="AF46" ca="1">IF(
    ISNUMBER(VALUE(LEFT($A46, 1))),
    "",
    IFERROR(IF(_xlfn.XLOOKUP($A46, INDIRECT("'" &amp; AF$2 &amp; "'!$A:$A"), INDIRECT("'" &amp; AF$2 &amp; "'!$B:$B"), "")&lt;&gt;"", "✓", "✗"), "✗")
)</f>
        <v/>
      </c>
      <c r="AG46" t="str" cm="1">
        <f t="array" aca="1" ref="AG46" ca="1">IF(
    ISNUMBER(VALUE(LEFT($A46, 1))),
    "",
    IFERROR(IF(_xlfn.XLOOKUP($A46, INDIRECT("'" &amp; AG$2 &amp; "'!$A:$A"), INDIRECT("'" &amp; AG$2 &amp; "'!$B:$B"), "")&lt;&gt;"", "✓", "✗"), "✗")
)</f>
        <v/>
      </c>
    </row>
    <row r="47" spans="1:33" x14ac:dyDescent="0.45">
      <c r="A47" t="str">
        <v>Email Opt-In Permission</v>
      </c>
      <c r="B47" t="str" cm="1">
        <f t="array" aca="1" ref="B47" ca="1">IF(
    ISNUMBER(VALUE(LEFT($A47, 1))),
    "",
    IFERROR(IF(_xlfn.XLOOKUP($A47, INDIRECT("'" &amp; B$2 &amp; "'!$A:$A"), INDIRECT("'" &amp; B$2 &amp; "'!$B:$B"), "")&lt;&gt;"", "✓", "✗"), "✗")
)</f>
        <v>✓</v>
      </c>
      <c r="C47" t="str" cm="1">
        <f t="array" aca="1" ref="C47" ca="1">IF(
    ISNUMBER(VALUE(LEFT($A47, 1))),
    "",
    IFERROR(IF(_xlfn.XLOOKUP($A47, INDIRECT("'" &amp; C$2 &amp; "'!$A:$A"), INDIRECT("'" &amp; C$2 &amp; "'!$B:$B"), "")&lt;&gt;"", "✓", "✗"), "✗")
)</f>
        <v>✓</v>
      </c>
      <c r="D47" t="str" cm="1">
        <f t="array" aca="1" ref="D47" ca="1">IF(
    ISNUMBER(VALUE(LEFT($A47, 1))),
    "",
    IFERROR(IF(_xlfn.XLOOKUP($A47, INDIRECT("'" &amp; D$2 &amp; "'!$A:$A"), INDIRECT("'" &amp; D$2 &amp; "'!$B:$B"), "")&lt;&gt;"", "✓", "✗"), "✗")
)</f>
        <v>✓</v>
      </c>
      <c r="E47" t="str" cm="1">
        <f t="array" aca="1" ref="E47" ca="1">IF(
    ISNUMBER(VALUE(LEFT($A47, 1))),
    "",
    IFERROR(IF(_xlfn.XLOOKUP($A47, INDIRECT("'" &amp; E$2 &amp; "'!$A:$A"), INDIRECT("'" &amp; E$2 &amp; "'!$B:$B"), "")&lt;&gt;"", "✓", "✗"), "✗")
)</f>
        <v>✓</v>
      </c>
      <c r="F47" t="str" cm="1">
        <f t="array" aca="1" ref="F47" ca="1">IF(
    ISNUMBER(VALUE(LEFT($A47, 1))),
    "",
    IFERROR(IF(_xlfn.XLOOKUP($A47, INDIRECT("'" &amp; F$2 &amp; "'!$A:$A"), INDIRECT("'" &amp; F$2 &amp; "'!$B:$B"), "")&lt;&gt;"", "✓", "✗"), "✗")
)</f>
        <v>✓</v>
      </c>
      <c r="G47" t="str" cm="1">
        <f t="array" aca="1" ref="G47" ca="1">IF(
    ISNUMBER(VALUE(LEFT($A47, 1))),
    "",
    IFERROR(IF(_xlfn.XLOOKUP($A47, INDIRECT("'" &amp; G$2 &amp; "'!$A:$A"), INDIRECT("'" &amp; G$2 &amp; "'!$B:$B"), "")&lt;&gt;"", "✓", "✗"), "✗")
)</f>
        <v>✓</v>
      </c>
      <c r="H47" t="str" cm="1">
        <f t="array" aca="1" ref="H47" ca="1">IF(
    ISNUMBER(VALUE(LEFT($A47, 1))),
    "",
    IFERROR(IF(_xlfn.XLOOKUP($A47, INDIRECT("'" &amp; H$2 &amp; "'!$A:$A"), INDIRECT("'" &amp; H$2 &amp; "'!$B:$B"), "")&lt;&gt;"", "✓", "✗"), "✗")
)</f>
        <v>✓</v>
      </c>
      <c r="I47" t="str" cm="1">
        <f t="array" aca="1" ref="I47" ca="1">IF(
    ISNUMBER(VALUE(LEFT($A47, 1))),
    "",
    IFERROR(IF(_xlfn.XLOOKUP($A47, INDIRECT("'" &amp; I$2 &amp; "'!$A:$A"), INDIRECT("'" &amp; I$2 &amp; "'!$B:$B"), "")&lt;&gt;"", "✓", "✗"), "✗")
)</f>
        <v>✓</v>
      </c>
      <c r="J47" t="str" cm="1">
        <f t="array" aca="1" ref="J47" ca="1">IF(
    ISNUMBER(VALUE(LEFT($A47, 1))),
    "",
    IFERROR(IF(_xlfn.XLOOKUP($A47, INDIRECT("'" &amp; J$2 &amp; "'!$A:$A"), INDIRECT("'" &amp; J$2 &amp; "'!$B:$B"), "")&lt;&gt;"", "✓", "✗"), "✗")
)</f>
        <v>✓</v>
      </c>
      <c r="K47" t="str" cm="1">
        <f t="array" aca="1" ref="K47" ca="1">IF(
    ISNUMBER(VALUE(LEFT($A47, 1))),
    "",
    IFERROR(IF(_xlfn.XLOOKUP($A47, INDIRECT("'" &amp; K$2 &amp; "'!$A:$A"), INDIRECT("'" &amp; K$2 &amp; "'!$B:$B"), "")&lt;&gt;"", "✓", "✗"), "✗")
)</f>
        <v>✓</v>
      </c>
      <c r="L47" t="str" cm="1">
        <f t="array" aca="1" ref="L47" ca="1">IF(
    ISNUMBER(VALUE(LEFT($A47, 1))),
    "",
    IFERROR(IF(_xlfn.XLOOKUP($A47, INDIRECT("'" &amp; L$2 &amp; "'!$A:$A"), INDIRECT("'" &amp; L$2 &amp; "'!$B:$B"), "")&lt;&gt;"", "✓", "✗"), "✗")
)</f>
        <v>✓</v>
      </c>
      <c r="M47" t="str" cm="1">
        <f t="array" aca="1" ref="M47" ca="1">IF(
    ISNUMBER(VALUE(LEFT($A47, 1))),
    "",
    IFERROR(IF(_xlfn.XLOOKUP($A47, INDIRECT("'" &amp; M$2 &amp; "'!$A:$A"), INDIRECT("'" &amp; M$2 &amp; "'!$B:$B"), "")&lt;&gt;"", "✓", "✗"), "✗")
)</f>
        <v>✓</v>
      </c>
      <c r="N47" t="str" cm="1">
        <f t="array" aca="1" ref="N47" ca="1">IF(
    ISNUMBER(VALUE(LEFT($A47, 1))),
    "",
    IFERROR(IF(_xlfn.XLOOKUP($A47, INDIRECT("'" &amp; N$2 &amp; "'!$A:$A"), INDIRECT("'" &amp; N$2 &amp; "'!$B:$B"), "")&lt;&gt;"", "✓", "✗"), "✗")
)</f>
        <v>✓</v>
      </c>
      <c r="O47" t="str" cm="1">
        <f t="array" aca="1" ref="O47" ca="1">IF(
    ISNUMBER(VALUE(LEFT($A47, 1))),
    "",
    IFERROR(IF(_xlfn.XLOOKUP($A47, INDIRECT("'" &amp; O$2 &amp; "'!$A:$A"), INDIRECT("'" &amp; O$2 &amp; "'!$B:$B"), "")&lt;&gt;"", "✓", "✗"), "✗")
)</f>
        <v>✓</v>
      </c>
      <c r="P47" t="str" cm="1">
        <f t="array" aca="1" ref="P47" ca="1">IF(
    ISNUMBER(VALUE(LEFT($A47, 1))),
    "",
    IFERROR(IF(_xlfn.XLOOKUP($A47, INDIRECT("'" &amp; P$2 &amp; "'!$A:$A"), INDIRECT("'" &amp; P$2 &amp; "'!$B:$B"), "")&lt;&gt;"", "✓", "✗"), "✗")
)</f>
        <v>✓</v>
      </c>
      <c r="Q47" t="str" cm="1">
        <f t="array" aca="1" ref="Q47" ca="1">IF(
    ISNUMBER(VALUE(LEFT($A47, 1))),
    "",
    IFERROR(IF(_xlfn.XLOOKUP($A47, INDIRECT("'" &amp; Q$2 &amp; "'!$A:$A"), INDIRECT("'" &amp; Q$2 &amp; "'!$B:$B"), "")&lt;&gt;"", "✓", "✗"), "✗")
)</f>
        <v>✓</v>
      </c>
      <c r="R47" t="str" cm="1">
        <f t="array" aca="1" ref="R47" ca="1">IF(
    ISNUMBER(VALUE(LEFT($A47, 1))),
    "",
    IFERROR(IF(_xlfn.XLOOKUP($A47, INDIRECT("'" &amp; R$2 &amp; "'!$A:$A"), INDIRECT("'" &amp; R$2 &amp; "'!$B:$B"), "")&lt;&gt;"", "✓", "✗"), "✗")
)</f>
        <v>✓</v>
      </c>
      <c r="S47" t="str" cm="1">
        <f t="array" aca="1" ref="S47" ca="1">IF(
    ISNUMBER(VALUE(LEFT($A47, 1))),
    "",
    IFERROR(IF(_xlfn.XLOOKUP($A47, INDIRECT("'" &amp; S$2 &amp; "'!$A:$A"), INDIRECT("'" &amp; S$2 &amp; "'!$B:$B"), "")&lt;&gt;"", "✓", "✗"), "✗")
)</f>
        <v>✓</v>
      </c>
      <c r="T47" t="str" cm="1">
        <f t="array" aca="1" ref="T47" ca="1">IF(
    ISNUMBER(VALUE(LEFT($A47, 1))),
    "",
    IFERROR(IF(_xlfn.XLOOKUP($A47, INDIRECT("'" &amp; T$2 &amp; "'!$A:$A"), INDIRECT("'" &amp; T$2 &amp; "'!$B:$B"), "")&lt;&gt;"", "✓", "✗"), "✗")
)</f>
        <v>✓</v>
      </c>
      <c r="U47" t="str" cm="1">
        <f t="array" aca="1" ref="U47" ca="1">IF(
    ISNUMBER(VALUE(LEFT($A47, 1))),
    "",
    IFERROR(IF(_xlfn.XLOOKUP($A47, INDIRECT("'" &amp; U$2 &amp; "'!$A:$A"), INDIRECT("'" &amp; U$2 &amp; "'!$B:$B"), "")&lt;&gt;"", "✓", "✗"), "✗")
)</f>
        <v>✓</v>
      </c>
      <c r="V47" t="str" cm="1">
        <f t="array" aca="1" ref="V47" ca="1">IF(
    ISNUMBER(VALUE(LEFT($A47, 1))),
    "",
    IFERROR(IF(_xlfn.XLOOKUP($A47, INDIRECT("'" &amp; V$2 &amp; "'!$A:$A"), INDIRECT("'" &amp; V$2 &amp; "'!$B:$B"), "")&lt;&gt;"", "✓", "✗"), "✗")
)</f>
        <v>✓</v>
      </c>
      <c r="W47" t="str" cm="1">
        <f t="array" aca="1" ref="W47" ca="1">IF(
    ISNUMBER(VALUE(LEFT($A47, 1))),
    "",
    IFERROR(IF(_xlfn.XLOOKUP($A47, INDIRECT("'" &amp; W$2 &amp; "'!$A:$A"), INDIRECT("'" &amp; W$2 &amp; "'!$B:$B"), "")&lt;&gt;"", "✓", "✗"), "✗")
)</f>
        <v>✓</v>
      </c>
      <c r="X47" t="str" cm="1">
        <f t="array" aca="1" ref="X47" ca="1">IF(
    ISNUMBER(VALUE(LEFT($A47, 1))),
    "",
    IFERROR(IF(_xlfn.XLOOKUP($A47, INDIRECT("'" &amp; X$2 &amp; "'!$A:$A"), INDIRECT("'" &amp; X$2 &amp; "'!$B:$B"), "")&lt;&gt;"", "✓", "✗"), "✗")
)</f>
        <v>✓</v>
      </c>
      <c r="Y47" t="str" cm="1">
        <f t="array" aca="1" ref="Y47" ca="1">IF(
    ISNUMBER(VALUE(LEFT($A47, 1))),
    "",
    IFERROR(IF(_xlfn.XLOOKUP($A47, INDIRECT("'" &amp; Y$2 &amp; "'!$A:$A"), INDIRECT("'" &amp; Y$2 &amp; "'!$B:$B"), "")&lt;&gt;"", "✓", "✗"), "✗")
)</f>
        <v>✓</v>
      </c>
      <c r="Z47" t="str" cm="1">
        <f t="array" aca="1" ref="Z47" ca="1">IF(
    ISNUMBER(VALUE(LEFT($A47, 1))),
    "",
    IFERROR(IF(_xlfn.XLOOKUP($A47, INDIRECT("'" &amp; Z$2 &amp; "'!$A:$A"), INDIRECT("'" &amp; Z$2 &amp; "'!$B:$B"), "")&lt;&gt;"", "✓", "✗"), "✗")
)</f>
        <v>✓</v>
      </c>
      <c r="AA47" t="str" cm="1">
        <f t="array" aca="1" ref="AA47" ca="1">IF(
    ISNUMBER(VALUE(LEFT($A47, 1))),
    "",
    IFERROR(IF(_xlfn.XLOOKUP($A47, INDIRECT("'" &amp; AA$2 &amp; "'!$A:$A"), INDIRECT("'" &amp; AA$2 &amp; "'!$B:$B"), "")&lt;&gt;"", "✓", "✗"), "✗")
)</f>
        <v>✓</v>
      </c>
      <c r="AB47" t="str" cm="1">
        <f t="array" aca="1" ref="AB47" ca="1">IF(
    ISNUMBER(VALUE(LEFT($A47, 1))),
    "",
    IFERROR(IF(_xlfn.XLOOKUP($A47, INDIRECT("'" &amp; AB$2 &amp; "'!$A:$A"), INDIRECT("'" &amp; AB$2 &amp; "'!$B:$B"), "")&lt;&gt;"", "✓", "✗"), "✗")
)</f>
        <v>✓</v>
      </c>
      <c r="AC47" t="str" cm="1">
        <f t="array" aca="1" ref="AC47" ca="1">IF(
    ISNUMBER(VALUE(LEFT($A47, 1))),
    "",
    IFERROR(IF(_xlfn.XLOOKUP($A47, INDIRECT("'" &amp; AC$2 &amp; "'!$A:$A"), INDIRECT("'" &amp; AC$2 &amp; "'!$B:$B"), "")&lt;&gt;"", "✓", "✗"), "✗")
)</f>
        <v>✗</v>
      </c>
      <c r="AD47" t="str" cm="1">
        <f t="array" aca="1" ref="AD47" ca="1">IF(
    ISNUMBER(VALUE(LEFT($A47, 1))),
    "",
    IFERROR(IF(_xlfn.XLOOKUP($A47, INDIRECT("'" &amp; AD$2 &amp; "'!$A:$A"), INDIRECT("'" &amp; AD$2 &amp; "'!$B:$B"), "")&lt;&gt;"", "✓", "✗"), "✗")
)</f>
        <v>✗</v>
      </c>
      <c r="AE47" t="str" cm="1">
        <f t="array" aca="1" ref="AE47" ca="1">IF(
    ISNUMBER(VALUE(LEFT($A47, 1))),
    "",
    IFERROR(IF(_xlfn.XLOOKUP($A47, INDIRECT("'" &amp; AE$2 &amp; "'!$A:$A"), INDIRECT("'" &amp; AE$2 &amp; "'!$B:$B"), "")&lt;&gt;"", "✓", "✗"), "✗")
)</f>
        <v>✓</v>
      </c>
      <c r="AF47" t="str" cm="1">
        <f t="array" aca="1" ref="AF47" ca="1">IF(
    ISNUMBER(VALUE(LEFT($A47, 1))),
    "",
    IFERROR(IF(_xlfn.XLOOKUP($A47, INDIRECT("'" &amp; AF$2 &amp; "'!$A:$A"), INDIRECT("'" &amp; AF$2 &amp; "'!$B:$B"), "")&lt;&gt;"", "✓", "✗"), "✗")
)</f>
        <v>✓</v>
      </c>
      <c r="AG47" t="str" cm="1">
        <f t="array" aca="1" ref="AG47" ca="1">IF(
    ISNUMBER(VALUE(LEFT($A47, 1))),
    "",
    IFERROR(IF(_xlfn.XLOOKUP($A47, INDIRECT("'" &amp; AG$2 &amp; "'!$A:$A"), INDIRECT("'" &amp; AG$2 &amp; "'!$B:$B"), "")&lt;&gt;"", "✓", "✗"), "✗")
)</f>
        <v>✓</v>
      </c>
    </row>
    <row r="48" spans="1:33" x14ac:dyDescent="0.45">
      <c r="A48" t="str">
        <v>Primary Phone Opt-In Permission</v>
      </c>
      <c r="B48" t="str" cm="1">
        <f t="array" aca="1" ref="B48" ca="1">IF(
    ISNUMBER(VALUE(LEFT($A48, 1))),
    "",
    IFERROR(IF(_xlfn.XLOOKUP($A48, INDIRECT("'" &amp; B$2 &amp; "'!$A:$A"), INDIRECT("'" &amp; B$2 &amp; "'!$B:$B"), "")&lt;&gt;"", "✓", "✗"), "✗")
)</f>
        <v>✓</v>
      </c>
      <c r="C48" t="str" cm="1">
        <f t="array" aca="1" ref="C48" ca="1">IF(
    ISNUMBER(VALUE(LEFT($A48, 1))),
    "",
    IFERROR(IF(_xlfn.XLOOKUP($A48, INDIRECT("'" &amp; C$2 &amp; "'!$A:$A"), INDIRECT("'" &amp; C$2 &amp; "'!$B:$B"), "")&lt;&gt;"", "✓", "✗"), "✗")
)</f>
        <v>✓</v>
      </c>
      <c r="D48" t="str" cm="1">
        <f t="array" aca="1" ref="D48" ca="1">IF(
    ISNUMBER(VALUE(LEFT($A48, 1))),
    "",
    IFERROR(IF(_xlfn.XLOOKUP($A48, INDIRECT("'" &amp; D$2 &amp; "'!$A:$A"), INDIRECT("'" &amp; D$2 &amp; "'!$B:$B"), "")&lt;&gt;"", "✓", "✗"), "✗")
)</f>
        <v>✓</v>
      </c>
      <c r="E48" t="str" cm="1">
        <f t="array" aca="1" ref="E48" ca="1">IF(
    ISNUMBER(VALUE(LEFT($A48, 1))),
    "",
    IFERROR(IF(_xlfn.XLOOKUP($A48, INDIRECT("'" &amp; E$2 &amp; "'!$A:$A"), INDIRECT("'" &amp; E$2 &amp; "'!$B:$B"), "")&lt;&gt;"", "✓", "✗"), "✗")
)</f>
        <v>✓</v>
      </c>
      <c r="F48" t="str" cm="1">
        <f t="array" aca="1" ref="F48" ca="1">IF(
    ISNUMBER(VALUE(LEFT($A48, 1))),
    "",
    IFERROR(IF(_xlfn.XLOOKUP($A48, INDIRECT("'" &amp; F$2 &amp; "'!$A:$A"), INDIRECT("'" &amp; F$2 &amp; "'!$B:$B"), "")&lt;&gt;"", "✓", "✗"), "✗")
)</f>
        <v>✓</v>
      </c>
      <c r="G48" t="str" cm="1">
        <f t="array" aca="1" ref="G48" ca="1">IF(
    ISNUMBER(VALUE(LEFT($A48, 1))),
    "",
    IFERROR(IF(_xlfn.XLOOKUP($A48, INDIRECT("'" &amp; G$2 &amp; "'!$A:$A"), INDIRECT("'" &amp; G$2 &amp; "'!$B:$B"), "")&lt;&gt;"", "✓", "✗"), "✗")
)</f>
        <v>✓</v>
      </c>
      <c r="H48" t="str" cm="1">
        <f t="array" aca="1" ref="H48" ca="1">IF(
    ISNUMBER(VALUE(LEFT($A48, 1))),
    "",
    IFERROR(IF(_xlfn.XLOOKUP($A48, INDIRECT("'" &amp; H$2 &amp; "'!$A:$A"), INDIRECT("'" &amp; H$2 &amp; "'!$B:$B"), "")&lt;&gt;"", "✓", "✗"), "✗")
)</f>
        <v>✓</v>
      </c>
      <c r="I48" t="str" cm="1">
        <f t="array" aca="1" ref="I48" ca="1">IF(
    ISNUMBER(VALUE(LEFT($A48, 1))),
    "",
    IFERROR(IF(_xlfn.XLOOKUP($A48, INDIRECT("'" &amp; I$2 &amp; "'!$A:$A"), INDIRECT("'" &amp; I$2 &amp; "'!$B:$B"), "")&lt;&gt;"", "✓", "✗"), "✗")
)</f>
        <v>✓</v>
      </c>
      <c r="J48" t="str" cm="1">
        <f t="array" aca="1" ref="J48" ca="1">IF(
    ISNUMBER(VALUE(LEFT($A48, 1))),
    "",
    IFERROR(IF(_xlfn.XLOOKUP($A48, INDIRECT("'" &amp; J$2 &amp; "'!$A:$A"), INDIRECT("'" &amp; J$2 &amp; "'!$B:$B"), "")&lt;&gt;"", "✓", "✗"), "✗")
)</f>
        <v>✓</v>
      </c>
      <c r="K48" t="str" cm="1">
        <f t="array" aca="1" ref="K48" ca="1">IF(
    ISNUMBER(VALUE(LEFT($A48, 1))),
    "",
    IFERROR(IF(_xlfn.XLOOKUP($A48, INDIRECT("'" &amp; K$2 &amp; "'!$A:$A"), INDIRECT("'" &amp; K$2 &amp; "'!$B:$B"), "")&lt;&gt;"", "✓", "✗"), "✗")
)</f>
        <v>✓</v>
      </c>
      <c r="L48" t="str" cm="1">
        <f t="array" aca="1" ref="L48" ca="1">IF(
    ISNUMBER(VALUE(LEFT($A48, 1))),
    "",
    IFERROR(IF(_xlfn.XLOOKUP($A48, INDIRECT("'" &amp; L$2 &amp; "'!$A:$A"), INDIRECT("'" &amp; L$2 &amp; "'!$B:$B"), "")&lt;&gt;"", "✓", "✗"), "✗")
)</f>
        <v>✓</v>
      </c>
      <c r="M48" t="str" cm="1">
        <f t="array" aca="1" ref="M48" ca="1">IF(
    ISNUMBER(VALUE(LEFT($A48, 1))),
    "",
    IFERROR(IF(_xlfn.XLOOKUP($A48, INDIRECT("'" &amp; M$2 &amp; "'!$A:$A"), INDIRECT("'" &amp; M$2 &amp; "'!$B:$B"), "")&lt;&gt;"", "✓", "✗"), "✗")
)</f>
        <v>✓</v>
      </c>
      <c r="N48" t="str" cm="1">
        <f t="array" aca="1" ref="N48" ca="1">IF(
    ISNUMBER(VALUE(LEFT($A48, 1))),
    "",
    IFERROR(IF(_xlfn.XLOOKUP($A48, INDIRECT("'" &amp; N$2 &amp; "'!$A:$A"), INDIRECT("'" &amp; N$2 &amp; "'!$B:$B"), "")&lt;&gt;"", "✓", "✗"), "✗")
)</f>
        <v>✓</v>
      </c>
      <c r="O48" t="str" cm="1">
        <f t="array" aca="1" ref="O48" ca="1">IF(
    ISNUMBER(VALUE(LEFT($A48, 1))),
    "",
    IFERROR(IF(_xlfn.XLOOKUP($A48, INDIRECT("'" &amp; O$2 &amp; "'!$A:$A"), INDIRECT("'" &amp; O$2 &amp; "'!$B:$B"), "")&lt;&gt;"", "✓", "✗"), "✗")
)</f>
        <v>✓</v>
      </c>
      <c r="P48" t="str" cm="1">
        <f t="array" aca="1" ref="P48" ca="1">IF(
    ISNUMBER(VALUE(LEFT($A48, 1))),
    "",
    IFERROR(IF(_xlfn.XLOOKUP($A48, INDIRECT("'" &amp; P$2 &amp; "'!$A:$A"), INDIRECT("'" &amp; P$2 &amp; "'!$B:$B"), "")&lt;&gt;"", "✓", "✗"), "✗")
)</f>
        <v>✓</v>
      </c>
      <c r="Q48" t="str" cm="1">
        <f t="array" aca="1" ref="Q48" ca="1">IF(
    ISNUMBER(VALUE(LEFT($A48, 1))),
    "",
    IFERROR(IF(_xlfn.XLOOKUP($A48, INDIRECT("'" &amp; Q$2 &amp; "'!$A:$A"), INDIRECT("'" &amp; Q$2 &amp; "'!$B:$B"), "")&lt;&gt;"", "✓", "✗"), "✗")
)</f>
        <v>✓</v>
      </c>
      <c r="R48" t="str" cm="1">
        <f t="array" aca="1" ref="R48" ca="1">IF(
    ISNUMBER(VALUE(LEFT($A48, 1))),
    "",
    IFERROR(IF(_xlfn.XLOOKUP($A48, INDIRECT("'" &amp; R$2 &amp; "'!$A:$A"), INDIRECT("'" &amp; R$2 &amp; "'!$B:$B"), "")&lt;&gt;"", "✓", "✗"), "✗")
)</f>
        <v>✓</v>
      </c>
      <c r="S48" t="str" cm="1">
        <f t="array" aca="1" ref="S48" ca="1">IF(
    ISNUMBER(VALUE(LEFT($A48, 1))),
    "",
    IFERROR(IF(_xlfn.XLOOKUP($A48, INDIRECT("'" &amp; S$2 &amp; "'!$A:$A"), INDIRECT("'" &amp; S$2 &amp; "'!$B:$B"), "")&lt;&gt;"", "✓", "✗"), "✗")
)</f>
        <v>✓</v>
      </c>
      <c r="T48" t="str" cm="1">
        <f t="array" aca="1" ref="T48" ca="1">IF(
    ISNUMBER(VALUE(LEFT($A48, 1))),
    "",
    IFERROR(IF(_xlfn.XLOOKUP($A48, INDIRECT("'" &amp; T$2 &amp; "'!$A:$A"), INDIRECT("'" &amp; T$2 &amp; "'!$B:$B"), "")&lt;&gt;"", "✓", "✗"), "✗")
)</f>
        <v>✓</v>
      </c>
      <c r="U48" t="str" cm="1">
        <f t="array" aca="1" ref="U48" ca="1">IF(
    ISNUMBER(VALUE(LEFT($A48, 1))),
    "",
    IFERROR(IF(_xlfn.XLOOKUP($A48, INDIRECT("'" &amp; U$2 &amp; "'!$A:$A"), INDIRECT("'" &amp; U$2 &amp; "'!$B:$B"), "")&lt;&gt;"", "✓", "✗"), "✗")
)</f>
        <v>✓</v>
      </c>
      <c r="V48" t="str" cm="1">
        <f t="array" aca="1" ref="V48" ca="1">IF(
    ISNUMBER(VALUE(LEFT($A48, 1))),
    "",
    IFERROR(IF(_xlfn.XLOOKUP($A48, INDIRECT("'" &amp; V$2 &amp; "'!$A:$A"), INDIRECT("'" &amp; V$2 &amp; "'!$B:$B"), "")&lt;&gt;"", "✓", "✗"), "✗")
)</f>
        <v>✓</v>
      </c>
      <c r="W48" t="str" cm="1">
        <f t="array" aca="1" ref="W48" ca="1">IF(
    ISNUMBER(VALUE(LEFT($A48, 1))),
    "",
    IFERROR(IF(_xlfn.XLOOKUP($A48, INDIRECT("'" &amp; W$2 &amp; "'!$A:$A"), INDIRECT("'" &amp; W$2 &amp; "'!$B:$B"), "")&lt;&gt;"", "✓", "✗"), "✗")
)</f>
        <v>✓</v>
      </c>
      <c r="X48" t="str" cm="1">
        <f t="array" aca="1" ref="X48" ca="1">IF(
    ISNUMBER(VALUE(LEFT($A48, 1))),
    "",
    IFERROR(IF(_xlfn.XLOOKUP($A48, INDIRECT("'" &amp; X$2 &amp; "'!$A:$A"), INDIRECT("'" &amp; X$2 &amp; "'!$B:$B"), "")&lt;&gt;"", "✓", "✗"), "✗")
)</f>
        <v>✓</v>
      </c>
      <c r="Y48" t="str" cm="1">
        <f t="array" aca="1" ref="Y48" ca="1">IF(
    ISNUMBER(VALUE(LEFT($A48, 1))),
    "",
    IFERROR(IF(_xlfn.XLOOKUP($A48, INDIRECT("'" &amp; Y$2 &amp; "'!$A:$A"), INDIRECT("'" &amp; Y$2 &amp; "'!$B:$B"), "")&lt;&gt;"", "✓", "✗"), "✗")
)</f>
        <v>✓</v>
      </c>
      <c r="Z48" t="str" cm="1">
        <f t="array" aca="1" ref="Z48" ca="1">IF(
    ISNUMBER(VALUE(LEFT($A48, 1))),
    "",
    IFERROR(IF(_xlfn.XLOOKUP($A48, INDIRECT("'" &amp; Z$2 &amp; "'!$A:$A"), INDIRECT("'" &amp; Z$2 &amp; "'!$B:$B"), "")&lt;&gt;"", "✓", "✗"), "✗")
)</f>
        <v>✓</v>
      </c>
      <c r="AA48" t="str" cm="1">
        <f t="array" aca="1" ref="AA48" ca="1">IF(
    ISNUMBER(VALUE(LEFT($A48, 1))),
    "",
    IFERROR(IF(_xlfn.XLOOKUP($A48, INDIRECT("'" &amp; AA$2 &amp; "'!$A:$A"), INDIRECT("'" &amp; AA$2 &amp; "'!$B:$B"), "")&lt;&gt;"", "✓", "✗"), "✗")
)</f>
        <v>✓</v>
      </c>
      <c r="AB48" t="str" cm="1">
        <f t="array" aca="1" ref="AB48" ca="1">IF(
    ISNUMBER(VALUE(LEFT($A48, 1))),
    "",
    IFERROR(IF(_xlfn.XLOOKUP($A48, INDIRECT("'" &amp; AB$2 &amp; "'!$A:$A"), INDIRECT("'" &amp; AB$2 &amp; "'!$B:$B"), "")&lt;&gt;"", "✓", "✗"), "✗")
)</f>
        <v>✓</v>
      </c>
      <c r="AC48" t="str" cm="1">
        <f t="array" aca="1" ref="AC48" ca="1">IF(
    ISNUMBER(VALUE(LEFT($A48, 1))),
    "",
    IFERROR(IF(_xlfn.XLOOKUP($A48, INDIRECT("'" &amp; AC$2 &amp; "'!$A:$A"), INDIRECT("'" &amp; AC$2 &amp; "'!$B:$B"), "")&lt;&gt;"", "✓", "✗"), "✗")
)</f>
        <v>✗</v>
      </c>
      <c r="AD48" t="str" cm="1">
        <f t="array" aca="1" ref="AD48" ca="1">IF(
    ISNUMBER(VALUE(LEFT($A48, 1))),
    "",
    IFERROR(IF(_xlfn.XLOOKUP($A48, INDIRECT("'" &amp; AD$2 &amp; "'!$A:$A"), INDIRECT("'" &amp; AD$2 &amp; "'!$B:$B"), "")&lt;&gt;"", "✓", "✗"), "✗")
)</f>
        <v>✗</v>
      </c>
      <c r="AE48" t="str" cm="1">
        <f t="array" aca="1" ref="AE48" ca="1">IF(
    ISNUMBER(VALUE(LEFT($A48, 1))),
    "",
    IFERROR(IF(_xlfn.XLOOKUP($A48, INDIRECT("'" &amp; AE$2 &amp; "'!$A:$A"), INDIRECT("'" &amp; AE$2 &amp; "'!$B:$B"), "")&lt;&gt;"", "✓", "✗"), "✗")
)</f>
        <v>✓</v>
      </c>
      <c r="AF48" t="str" cm="1">
        <f t="array" aca="1" ref="AF48" ca="1">IF(
    ISNUMBER(VALUE(LEFT($A48, 1))),
    "",
    IFERROR(IF(_xlfn.XLOOKUP($A48, INDIRECT("'" &amp; AF$2 &amp; "'!$A:$A"), INDIRECT("'" &amp; AF$2 &amp; "'!$B:$B"), "")&lt;&gt;"", "✓", "✗"), "✗")
)</f>
        <v>✓</v>
      </c>
      <c r="AG48" t="str" cm="1">
        <f t="array" aca="1" ref="AG48" ca="1">IF(
    ISNUMBER(VALUE(LEFT($A48, 1))),
    "",
    IFERROR(IF(_xlfn.XLOOKUP($A48, INDIRECT("'" &amp; AG$2 &amp; "'!$A:$A"), INDIRECT("'" &amp; AG$2 &amp; "'!$B:$B"), "")&lt;&gt;"", "✓", "✗"), "✗")
)</f>
        <v>✓</v>
      </c>
    </row>
    <row r="49" spans="1:33" x14ac:dyDescent="0.45">
      <c r="A49" t="str">
        <v>Cross Border Storage (China Hand Raisers and Responses Only)</v>
      </c>
      <c r="B49" t="str" cm="1">
        <f t="array" aca="1" ref="B49" ca="1">IF(
    ISNUMBER(VALUE(LEFT($A49, 1))),
    "",
    IFERROR(IF(_xlfn.XLOOKUP($A49, INDIRECT("'" &amp; B$2 &amp; "'!$A:$A"), INDIRECT("'" &amp; B$2 &amp; "'!$B:$B"), "")&lt;&gt;"", "✓", "✗"), "✗")
)</f>
        <v>✓</v>
      </c>
      <c r="C49" t="str" cm="1">
        <f t="array" aca="1" ref="C49" ca="1">IF(
    ISNUMBER(VALUE(LEFT($A49, 1))),
    "",
    IFERROR(IF(_xlfn.XLOOKUP($A49, INDIRECT("'" &amp; C$2 &amp; "'!$A:$A"), INDIRECT("'" &amp; C$2 &amp; "'!$B:$B"), "")&lt;&gt;"", "✓", "✗"), "✗")
)</f>
        <v>✓</v>
      </c>
      <c r="D49" t="str" cm="1">
        <f t="array" aca="1" ref="D49" ca="1">IF(
    ISNUMBER(VALUE(LEFT($A49, 1))),
    "",
    IFERROR(IF(_xlfn.XLOOKUP($A49, INDIRECT("'" &amp; D$2 &amp; "'!$A:$A"), INDIRECT("'" &amp; D$2 &amp; "'!$B:$B"), "")&lt;&gt;"", "✓", "✗"), "✗")
)</f>
        <v>✓</v>
      </c>
      <c r="E49" t="str" cm="1">
        <f t="array" aca="1" ref="E49" ca="1">IF(
    ISNUMBER(VALUE(LEFT($A49, 1))),
    "",
    IFERROR(IF(_xlfn.XLOOKUP($A49, INDIRECT("'" &amp; E$2 &amp; "'!$A:$A"), INDIRECT("'" &amp; E$2 &amp; "'!$B:$B"), "")&lt;&gt;"", "✓", "✗"), "✗")
)</f>
        <v>✓</v>
      </c>
      <c r="F49" t="str" cm="1">
        <f t="array" aca="1" ref="F49" ca="1">IF(
    ISNUMBER(VALUE(LEFT($A49, 1))),
    "",
    IFERROR(IF(_xlfn.XLOOKUP($A49, INDIRECT("'" &amp; F$2 &amp; "'!$A:$A"), INDIRECT("'" &amp; F$2 &amp; "'!$B:$B"), "")&lt;&gt;"", "✓", "✗"), "✗")
)</f>
        <v>✓</v>
      </c>
      <c r="G49" t="str" cm="1">
        <f t="array" aca="1" ref="G49" ca="1">IF(
    ISNUMBER(VALUE(LEFT($A49, 1))),
    "",
    IFERROR(IF(_xlfn.XLOOKUP($A49, INDIRECT("'" &amp; G$2 &amp; "'!$A:$A"), INDIRECT("'" &amp; G$2 &amp; "'!$B:$B"), "")&lt;&gt;"", "✓", "✗"), "✗")
)</f>
        <v>✓</v>
      </c>
      <c r="H49" t="str" cm="1">
        <f t="array" aca="1" ref="H49" ca="1">IF(
    ISNUMBER(VALUE(LEFT($A49, 1))),
    "",
    IFERROR(IF(_xlfn.XLOOKUP($A49, INDIRECT("'" &amp; H$2 &amp; "'!$A:$A"), INDIRECT("'" &amp; H$2 &amp; "'!$B:$B"), "")&lt;&gt;"", "✓", "✗"), "✗")
)</f>
        <v>✓</v>
      </c>
      <c r="I49" t="str" cm="1">
        <f t="array" aca="1" ref="I49" ca="1">IF(
    ISNUMBER(VALUE(LEFT($A49, 1))),
    "",
    IFERROR(IF(_xlfn.XLOOKUP($A49, INDIRECT("'" &amp; I$2 &amp; "'!$A:$A"), INDIRECT("'" &amp; I$2 &amp; "'!$B:$B"), "")&lt;&gt;"", "✓", "✗"), "✗")
)</f>
        <v>✓</v>
      </c>
      <c r="J49" t="str" cm="1">
        <f t="array" aca="1" ref="J49" ca="1">IF(
    ISNUMBER(VALUE(LEFT($A49, 1))),
    "",
    IFERROR(IF(_xlfn.XLOOKUP($A49, INDIRECT("'" &amp; J$2 &amp; "'!$A:$A"), INDIRECT("'" &amp; J$2 &amp; "'!$B:$B"), "")&lt;&gt;"", "✓", "✗"), "✗")
)</f>
        <v>✓</v>
      </c>
      <c r="K49" t="str" cm="1">
        <f t="array" aca="1" ref="K49" ca="1">IF(
    ISNUMBER(VALUE(LEFT($A49, 1))),
    "",
    IFERROR(IF(_xlfn.XLOOKUP($A49, INDIRECT("'" &amp; K$2 &amp; "'!$A:$A"), INDIRECT("'" &amp; K$2 &amp; "'!$B:$B"), "")&lt;&gt;"", "✓", "✗"), "✗")
)</f>
        <v>✓</v>
      </c>
      <c r="L49" t="str" cm="1">
        <f t="array" aca="1" ref="L49" ca="1">IF(
    ISNUMBER(VALUE(LEFT($A49, 1))),
    "",
    IFERROR(IF(_xlfn.XLOOKUP($A49, INDIRECT("'" &amp; L$2 &amp; "'!$A:$A"), INDIRECT("'" &amp; L$2 &amp; "'!$B:$B"), "")&lt;&gt;"", "✓", "✗"), "✗")
)</f>
        <v>✓</v>
      </c>
      <c r="M49" t="str" cm="1">
        <f t="array" aca="1" ref="M49" ca="1">IF(
    ISNUMBER(VALUE(LEFT($A49, 1))),
    "",
    IFERROR(IF(_xlfn.XLOOKUP($A49, INDIRECT("'" &amp; M$2 &amp; "'!$A:$A"), INDIRECT("'" &amp; M$2 &amp; "'!$B:$B"), "")&lt;&gt;"", "✓", "✗"), "✗")
)</f>
        <v>✓</v>
      </c>
      <c r="N49" t="str" cm="1">
        <f t="array" aca="1" ref="N49" ca="1">IF(
    ISNUMBER(VALUE(LEFT($A49, 1))),
    "",
    IFERROR(IF(_xlfn.XLOOKUP($A49, INDIRECT("'" &amp; N$2 &amp; "'!$A:$A"), INDIRECT("'" &amp; N$2 &amp; "'!$B:$B"), "")&lt;&gt;"", "✓", "✗"), "✗")
)</f>
        <v>✓</v>
      </c>
      <c r="O49" t="str" cm="1">
        <f t="array" aca="1" ref="O49" ca="1">IF(
    ISNUMBER(VALUE(LEFT($A49, 1))),
    "",
    IFERROR(IF(_xlfn.XLOOKUP($A49, INDIRECT("'" &amp; O$2 &amp; "'!$A:$A"), INDIRECT("'" &amp; O$2 &amp; "'!$B:$B"), "")&lt;&gt;"", "✓", "✗"), "✗")
)</f>
        <v>✓</v>
      </c>
      <c r="P49" t="str" cm="1">
        <f t="array" aca="1" ref="P49" ca="1">IF(
    ISNUMBER(VALUE(LEFT($A49, 1))),
    "",
    IFERROR(IF(_xlfn.XLOOKUP($A49, INDIRECT("'" &amp; P$2 &amp; "'!$A:$A"), INDIRECT("'" &amp; P$2 &amp; "'!$B:$B"), "")&lt;&gt;"", "✓", "✗"), "✗")
)</f>
        <v>✓</v>
      </c>
      <c r="Q49" t="str" cm="1">
        <f t="array" aca="1" ref="Q49" ca="1">IF(
    ISNUMBER(VALUE(LEFT($A49, 1))),
    "",
    IFERROR(IF(_xlfn.XLOOKUP($A49, INDIRECT("'" &amp; Q$2 &amp; "'!$A:$A"), INDIRECT("'" &amp; Q$2 &amp; "'!$B:$B"), "")&lt;&gt;"", "✓", "✗"), "✗")
)</f>
        <v>✓</v>
      </c>
      <c r="R49" t="str" cm="1">
        <f t="array" aca="1" ref="R49" ca="1">IF(
    ISNUMBER(VALUE(LEFT($A49, 1))),
    "",
    IFERROR(IF(_xlfn.XLOOKUP($A49, INDIRECT("'" &amp; R$2 &amp; "'!$A:$A"), INDIRECT("'" &amp; R$2 &amp; "'!$B:$B"), "")&lt;&gt;"", "✓", "✗"), "✗")
)</f>
        <v>✓</v>
      </c>
      <c r="S49" t="str" cm="1">
        <f t="array" aca="1" ref="S49" ca="1">IF(
    ISNUMBER(VALUE(LEFT($A49, 1))),
    "",
    IFERROR(IF(_xlfn.XLOOKUP($A49, INDIRECT("'" &amp; S$2 &amp; "'!$A:$A"), INDIRECT("'" &amp; S$2 &amp; "'!$B:$B"), "")&lt;&gt;"", "✓", "✗"), "✗")
)</f>
        <v>✓</v>
      </c>
      <c r="T49" t="str" cm="1">
        <f t="array" aca="1" ref="T49" ca="1">IF(
    ISNUMBER(VALUE(LEFT($A49, 1))),
    "",
    IFERROR(IF(_xlfn.XLOOKUP($A49, INDIRECT("'" &amp; T$2 &amp; "'!$A:$A"), INDIRECT("'" &amp; T$2 &amp; "'!$B:$B"), "")&lt;&gt;"", "✓", "✗"), "✗")
)</f>
        <v>✓</v>
      </c>
      <c r="U49" t="str" cm="1">
        <f t="array" aca="1" ref="U49" ca="1">IF(
    ISNUMBER(VALUE(LEFT($A49, 1))),
    "",
    IFERROR(IF(_xlfn.XLOOKUP($A49, INDIRECT("'" &amp; U$2 &amp; "'!$A:$A"), INDIRECT("'" &amp; U$2 &amp; "'!$B:$B"), "")&lt;&gt;"", "✓", "✗"), "✗")
)</f>
        <v>✓</v>
      </c>
      <c r="V49" t="str" cm="1">
        <f t="array" aca="1" ref="V49" ca="1">IF(
    ISNUMBER(VALUE(LEFT($A49, 1))),
    "",
    IFERROR(IF(_xlfn.XLOOKUP($A49, INDIRECT("'" &amp; V$2 &amp; "'!$A:$A"), INDIRECT("'" &amp; V$2 &amp; "'!$B:$B"), "")&lt;&gt;"", "✓", "✗"), "✗")
)</f>
        <v>✓</v>
      </c>
      <c r="W49" t="str" cm="1">
        <f t="array" aca="1" ref="W49" ca="1">IF(
    ISNUMBER(VALUE(LEFT($A49, 1))),
    "",
    IFERROR(IF(_xlfn.XLOOKUP($A49, INDIRECT("'" &amp; W$2 &amp; "'!$A:$A"), INDIRECT("'" &amp; W$2 &amp; "'!$B:$B"), "")&lt;&gt;"", "✓", "✗"), "✗")
)</f>
        <v>✓</v>
      </c>
      <c r="X49" t="str" cm="1">
        <f t="array" aca="1" ref="X49" ca="1">IF(
    ISNUMBER(VALUE(LEFT($A49, 1))),
    "",
    IFERROR(IF(_xlfn.XLOOKUP($A49, INDIRECT("'" &amp; X$2 &amp; "'!$A:$A"), INDIRECT("'" &amp; X$2 &amp; "'!$B:$B"), "")&lt;&gt;"", "✓", "✗"), "✗")
)</f>
        <v>✓</v>
      </c>
      <c r="Y49" t="str" cm="1">
        <f t="array" aca="1" ref="Y49" ca="1">IF(
    ISNUMBER(VALUE(LEFT($A49, 1))),
    "",
    IFERROR(IF(_xlfn.XLOOKUP($A49, INDIRECT("'" &amp; Y$2 &amp; "'!$A:$A"), INDIRECT("'" &amp; Y$2 &amp; "'!$B:$B"), "")&lt;&gt;"", "✓", "✗"), "✗")
)</f>
        <v>✓</v>
      </c>
      <c r="Z49" t="str" cm="1">
        <f t="array" aca="1" ref="Z49" ca="1">IF(
    ISNUMBER(VALUE(LEFT($A49, 1))),
    "",
    IFERROR(IF(_xlfn.XLOOKUP($A49, INDIRECT("'" &amp; Z$2 &amp; "'!$A:$A"), INDIRECT("'" &amp; Z$2 &amp; "'!$B:$B"), "")&lt;&gt;"", "✓", "✗"), "✗")
)</f>
        <v>✓</v>
      </c>
      <c r="AA49" t="str" cm="1">
        <f t="array" aca="1" ref="AA49" ca="1">IF(
    ISNUMBER(VALUE(LEFT($A49, 1))),
    "",
    IFERROR(IF(_xlfn.XLOOKUP($A49, INDIRECT("'" &amp; AA$2 &amp; "'!$A:$A"), INDIRECT("'" &amp; AA$2 &amp; "'!$B:$B"), "")&lt;&gt;"", "✓", "✗"), "✗")
)</f>
        <v>✓</v>
      </c>
      <c r="AB49" t="str" cm="1">
        <f t="array" aca="1" ref="AB49" ca="1">IF(
    ISNUMBER(VALUE(LEFT($A49, 1))),
    "",
    IFERROR(IF(_xlfn.XLOOKUP($A49, INDIRECT("'" &amp; AB$2 &amp; "'!$A:$A"), INDIRECT("'" &amp; AB$2 &amp; "'!$B:$B"), "")&lt;&gt;"", "✓", "✗"), "✗")
)</f>
        <v>✓</v>
      </c>
      <c r="AC49" t="str" cm="1">
        <f t="array" aca="1" ref="AC49" ca="1">IF(
    ISNUMBER(VALUE(LEFT($A49, 1))),
    "",
    IFERROR(IF(_xlfn.XLOOKUP($A49, INDIRECT("'" &amp; AC$2 &amp; "'!$A:$A"), INDIRECT("'" &amp; AC$2 &amp; "'!$B:$B"), "")&lt;&gt;"", "✓", "✗"), "✗")
)</f>
        <v>✗</v>
      </c>
      <c r="AD49" t="str" cm="1">
        <f t="array" aca="1" ref="AD49" ca="1">IF(
    ISNUMBER(VALUE(LEFT($A49, 1))),
    "",
    IFERROR(IF(_xlfn.XLOOKUP($A49, INDIRECT("'" &amp; AD$2 &amp; "'!$A:$A"), INDIRECT("'" &amp; AD$2 &amp; "'!$B:$B"), "")&lt;&gt;"", "✓", "✗"), "✗")
)</f>
        <v>✗</v>
      </c>
      <c r="AE49" t="str" cm="1">
        <f t="array" aca="1" ref="AE49" ca="1">IF(
    ISNUMBER(VALUE(LEFT($A49, 1))),
    "",
    IFERROR(IF(_xlfn.XLOOKUP($A49, INDIRECT("'" &amp; AE$2 &amp; "'!$A:$A"), INDIRECT("'" &amp; AE$2 &amp; "'!$B:$B"), "")&lt;&gt;"", "✓", "✗"), "✗")
)</f>
        <v>✓</v>
      </c>
      <c r="AF49" t="str" cm="1">
        <f t="array" aca="1" ref="AF49" ca="1">IF(
    ISNUMBER(VALUE(LEFT($A49, 1))),
    "",
    IFERROR(IF(_xlfn.XLOOKUP($A49, INDIRECT("'" &amp; AF$2 &amp; "'!$A:$A"), INDIRECT("'" &amp; AF$2 &amp; "'!$B:$B"), "")&lt;&gt;"", "✓", "✗"), "✗")
)</f>
        <v>✓</v>
      </c>
      <c r="AG49" t="str" cm="1">
        <f t="array" aca="1" ref="AG49" ca="1">IF(
    ISNUMBER(VALUE(LEFT($A49, 1))),
    "",
    IFERROR(IF(_xlfn.XLOOKUP($A49, INDIRECT("'" &amp; AG$2 &amp; "'!$A:$A"), INDIRECT("'" &amp; AG$2 &amp; "'!$B:$B"), "")&lt;&gt;"", "✓", "✗"), "✗")
)</f>
        <v>✓</v>
      </c>
    </row>
    <row r="50" spans="1:33" x14ac:dyDescent="0.45">
      <c r="A50" t="str">
        <v>Korea and Vietnam Combined Consent</v>
      </c>
      <c r="B50" t="str" cm="1">
        <f t="array" aca="1" ref="B50" ca="1">IF(
    ISNUMBER(VALUE(LEFT($A50, 1))),
    "",
    IFERROR(IF(_xlfn.XLOOKUP($A50, INDIRECT("'" &amp; B$2 &amp; "'!$A:$A"), INDIRECT("'" &amp; B$2 &amp; "'!$B:$B"), "")&lt;&gt;"", "✓", "✗"), "✗")
)</f>
        <v>✓</v>
      </c>
      <c r="C50" t="str" cm="1">
        <f t="array" aca="1" ref="C50" ca="1">IF(
    ISNUMBER(VALUE(LEFT($A50, 1))),
    "",
    IFERROR(IF(_xlfn.XLOOKUP($A50, INDIRECT("'" &amp; C$2 &amp; "'!$A:$A"), INDIRECT("'" &amp; C$2 &amp; "'!$B:$B"), "")&lt;&gt;"", "✓", "✗"), "✗")
)</f>
        <v>✓</v>
      </c>
      <c r="D50" t="str" cm="1">
        <f t="array" aca="1" ref="D50" ca="1">IF(
    ISNUMBER(VALUE(LEFT($A50, 1))),
    "",
    IFERROR(IF(_xlfn.XLOOKUP($A50, INDIRECT("'" &amp; D$2 &amp; "'!$A:$A"), INDIRECT("'" &amp; D$2 &amp; "'!$B:$B"), "")&lt;&gt;"", "✓", "✗"), "✗")
)</f>
        <v>✓</v>
      </c>
      <c r="E50" t="str" cm="1">
        <f t="array" aca="1" ref="E50" ca="1">IF(
    ISNUMBER(VALUE(LEFT($A50, 1))),
    "",
    IFERROR(IF(_xlfn.XLOOKUP($A50, INDIRECT("'" &amp; E$2 &amp; "'!$A:$A"), INDIRECT("'" &amp; E$2 &amp; "'!$B:$B"), "")&lt;&gt;"", "✓", "✗"), "✗")
)</f>
        <v>✓</v>
      </c>
      <c r="F50" t="str" cm="1">
        <f t="array" aca="1" ref="F50" ca="1">IF(
    ISNUMBER(VALUE(LEFT($A50, 1))),
    "",
    IFERROR(IF(_xlfn.XLOOKUP($A50, INDIRECT("'" &amp; F$2 &amp; "'!$A:$A"), INDIRECT("'" &amp; F$2 &amp; "'!$B:$B"), "")&lt;&gt;"", "✓", "✗"), "✗")
)</f>
        <v>✓</v>
      </c>
      <c r="G50" t="str" cm="1">
        <f t="array" aca="1" ref="G50" ca="1">IF(
    ISNUMBER(VALUE(LEFT($A50, 1))),
    "",
    IFERROR(IF(_xlfn.XLOOKUP($A50, INDIRECT("'" &amp; G$2 &amp; "'!$A:$A"), INDIRECT("'" &amp; G$2 &amp; "'!$B:$B"), "")&lt;&gt;"", "✓", "✗"), "✗")
)</f>
        <v>✓</v>
      </c>
      <c r="H50" t="str" cm="1">
        <f t="array" aca="1" ref="H50" ca="1">IF(
    ISNUMBER(VALUE(LEFT($A50, 1))),
    "",
    IFERROR(IF(_xlfn.XLOOKUP($A50, INDIRECT("'" &amp; H$2 &amp; "'!$A:$A"), INDIRECT("'" &amp; H$2 &amp; "'!$B:$B"), "")&lt;&gt;"", "✓", "✗"), "✗")
)</f>
        <v>✓</v>
      </c>
      <c r="I50" t="str" cm="1">
        <f t="array" aca="1" ref="I50" ca="1">IF(
    ISNUMBER(VALUE(LEFT($A50, 1))),
    "",
    IFERROR(IF(_xlfn.XLOOKUP($A50, INDIRECT("'" &amp; I$2 &amp; "'!$A:$A"), INDIRECT("'" &amp; I$2 &amp; "'!$B:$B"), "")&lt;&gt;"", "✓", "✗"), "✗")
)</f>
        <v>✓</v>
      </c>
      <c r="J50" t="str" cm="1">
        <f t="array" aca="1" ref="J50" ca="1">IF(
    ISNUMBER(VALUE(LEFT($A50, 1))),
    "",
    IFERROR(IF(_xlfn.XLOOKUP($A50, INDIRECT("'" &amp; J$2 &amp; "'!$A:$A"), INDIRECT("'" &amp; J$2 &amp; "'!$B:$B"), "")&lt;&gt;"", "✓", "✗"), "✗")
)</f>
        <v>✓</v>
      </c>
      <c r="K50" t="str" cm="1">
        <f t="array" aca="1" ref="K50" ca="1">IF(
    ISNUMBER(VALUE(LEFT($A50, 1))),
    "",
    IFERROR(IF(_xlfn.XLOOKUP($A50, INDIRECT("'" &amp; K$2 &amp; "'!$A:$A"), INDIRECT("'" &amp; K$2 &amp; "'!$B:$B"), "")&lt;&gt;"", "✓", "✗"), "✗")
)</f>
        <v>✓</v>
      </c>
      <c r="L50" t="str" cm="1">
        <f t="array" aca="1" ref="L50" ca="1">IF(
    ISNUMBER(VALUE(LEFT($A50, 1))),
    "",
    IFERROR(IF(_xlfn.XLOOKUP($A50, INDIRECT("'" &amp; L$2 &amp; "'!$A:$A"), INDIRECT("'" &amp; L$2 &amp; "'!$B:$B"), "")&lt;&gt;"", "✓", "✗"), "✗")
)</f>
        <v>✓</v>
      </c>
      <c r="M50" t="str" cm="1">
        <f t="array" aca="1" ref="M50" ca="1">IF(
    ISNUMBER(VALUE(LEFT($A50, 1))),
    "",
    IFERROR(IF(_xlfn.XLOOKUP($A50, INDIRECT("'" &amp; M$2 &amp; "'!$A:$A"), INDIRECT("'" &amp; M$2 &amp; "'!$B:$B"), "")&lt;&gt;"", "✓", "✗"), "✗")
)</f>
        <v>✓</v>
      </c>
      <c r="N50" t="str" cm="1">
        <f t="array" aca="1" ref="N50" ca="1">IF(
    ISNUMBER(VALUE(LEFT($A50, 1))),
    "",
    IFERROR(IF(_xlfn.XLOOKUP($A50, INDIRECT("'" &amp; N$2 &amp; "'!$A:$A"), INDIRECT("'" &amp; N$2 &amp; "'!$B:$B"), "")&lt;&gt;"", "✓", "✗"), "✗")
)</f>
        <v>✓</v>
      </c>
      <c r="O50" t="str" cm="1">
        <f t="array" aca="1" ref="O50" ca="1">IF(
    ISNUMBER(VALUE(LEFT($A50, 1))),
    "",
    IFERROR(IF(_xlfn.XLOOKUP($A50, INDIRECT("'" &amp; O$2 &amp; "'!$A:$A"), INDIRECT("'" &amp; O$2 &amp; "'!$B:$B"), "")&lt;&gt;"", "✓", "✗"), "✗")
)</f>
        <v>✓</v>
      </c>
      <c r="P50" t="str" cm="1">
        <f t="array" aca="1" ref="P50" ca="1">IF(
    ISNUMBER(VALUE(LEFT($A50, 1))),
    "",
    IFERROR(IF(_xlfn.XLOOKUP($A50, INDIRECT("'" &amp; P$2 &amp; "'!$A:$A"), INDIRECT("'" &amp; P$2 &amp; "'!$B:$B"), "")&lt;&gt;"", "✓", "✗"), "✗")
)</f>
        <v>✓</v>
      </c>
      <c r="Q50" t="str" cm="1">
        <f t="array" aca="1" ref="Q50" ca="1">IF(
    ISNUMBER(VALUE(LEFT($A50, 1))),
    "",
    IFERROR(IF(_xlfn.XLOOKUP($A50, INDIRECT("'" &amp; Q$2 &amp; "'!$A:$A"), INDIRECT("'" &amp; Q$2 &amp; "'!$B:$B"), "")&lt;&gt;"", "✓", "✗"), "✗")
)</f>
        <v>✓</v>
      </c>
      <c r="R50" t="str" cm="1">
        <f t="array" aca="1" ref="R50" ca="1">IF(
    ISNUMBER(VALUE(LEFT($A50, 1))),
    "",
    IFERROR(IF(_xlfn.XLOOKUP($A50, INDIRECT("'" &amp; R$2 &amp; "'!$A:$A"), INDIRECT("'" &amp; R$2 &amp; "'!$B:$B"), "")&lt;&gt;"", "✓", "✗"), "✗")
)</f>
        <v>✓</v>
      </c>
      <c r="S50" t="str" cm="1">
        <f t="array" aca="1" ref="S50" ca="1">IF(
    ISNUMBER(VALUE(LEFT($A50, 1))),
    "",
    IFERROR(IF(_xlfn.XLOOKUP($A50, INDIRECT("'" &amp; S$2 &amp; "'!$A:$A"), INDIRECT("'" &amp; S$2 &amp; "'!$B:$B"), "")&lt;&gt;"", "✓", "✗"), "✗")
)</f>
        <v>✓</v>
      </c>
      <c r="T50" t="str" cm="1">
        <f t="array" aca="1" ref="T50" ca="1">IF(
    ISNUMBER(VALUE(LEFT($A50, 1))),
    "",
    IFERROR(IF(_xlfn.XLOOKUP($A50, INDIRECT("'" &amp; T$2 &amp; "'!$A:$A"), INDIRECT("'" &amp; T$2 &amp; "'!$B:$B"), "")&lt;&gt;"", "✓", "✗"), "✗")
)</f>
        <v>✓</v>
      </c>
      <c r="U50" t="str" cm="1">
        <f t="array" aca="1" ref="U50" ca="1">IF(
    ISNUMBER(VALUE(LEFT($A50, 1))),
    "",
    IFERROR(IF(_xlfn.XLOOKUP($A50, INDIRECT("'" &amp; U$2 &amp; "'!$A:$A"), INDIRECT("'" &amp; U$2 &amp; "'!$B:$B"), "")&lt;&gt;"", "✓", "✗"), "✗")
)</f>
        <v>✓</v>
      </c>
      <c r="V50" t="str" cm="1">
        <f t="array" aca="1" ref="V50" ca="1">IF(
    ISNUMBER(VALUE(LEFT($A50, 1))),
    "",
    IFERROR(IF(_xlfn.XLOOKUP($A50, INDIRECT("'" &amp; V$2 &amp; "'!$A:$A"), INDIRECT("'" &amp; V$2 &amp; "'!$B:$B"), "")&lt;&gt;"", "✓", "✗"), "✗")
)</f>
        <v>✓</v>
      </c>
      <c r="W50" t="str" cm="1">
        <f t="array" aca="1" ref="W50" ca="1">IF(
    ISNUMBER(VALUE(LEFT($A50, 1))),
    "",
    IFERROR(IF(_xlfn.XLOOKUP($A50, INDIRECT("'" &amp; W$2 &amp; "'!$A:$A"), INDIRECT("'" &amp; W$2 &amp; "'!$B:$B"), "")&lt;&gt;"", "✓", "✗"), "✗")
)</f>
        <v>✓</v>
      </c>
      <c r="X50" t="str" cm="1">
        <f t="array" aca="1" ref="X50" ca="1">IF(
    ISNUMBER(VALUE(LEFT($A50, 1))),
    "",
    IFERROR(IF(_xlfn.XLOOKUP($A50, INDIRECT("'" &amp; X$2 &amp; "'!$A:$A"), INDIRECT("'" &amp; X$2 &amp; "'!$B:$B"), "")&lt;&gt;"", "✓", "✗"), "✗")
)</f>
        <v>✓</v>
      </c>
      <c r="Y50" t="str" cm="1">
        <f t="array" aca="1" ref="Y50" ca="1">IF(
    ISNUMBER(VALUE(LEFT($A50, 1))),
    "",
    IFERROR(IF(_xlfn.XLOOKUP($A50, INDIRECT("'" &amp; Y$2 &amp; "'!$A:$A"), INDIRECT("'" &amp; Y$2 &amp; "'!$B:$B"), "")&lt;&gt;"", "✓", "✗"), "✗")
)</f>
        <v>✓</v>
      </c>
      <c r="Z50" t="str" cm="1">
        <f t="array" aca="1" ref="Z50" ca="1">IF(
    ISNUMBER(VALUE(LEFT($A50, 1))),
    "",
    IFERROR(IF(_xlfn.XLOOKUP($A50, INDIRECT("'" &amp; Z$2 &amp; "'!$A:$A"), INDIRECT("'" &amp; Z$2 &amp; "'!$B:$B"), "")&lt;&gt;"", "✓", "✗"), "✗")
)</f>
        <v>✓</v>
      </c>
      <c r="AA50" t="str" cm="1">
        <f t="array" aca="1" ref="AA50" ca="1">IF(
    ISNUMBER(VALUE(LEFT($A50, 1))),
    "",
    IFERROR(IF(_xlfn.XLOOKUP($A50, INDIRECT("'" &amp; AA$2 &amp; "'!$A:$A"), INDIRECT("'" &amp; AA$2 &amp; "'!$B:$B"), "")&lt;&gt;"", "✓", "✗"), "✗")
)</f>
        <v>✓</v>
      </c>
      <c r="AB50" t="str" cm="1">
        <f t="array" aca="1" ref="AB50" ca="1">IF(
    ISNUMBER(VALUE(LEFT($A50, 1))),
    "",
    IFERROR(IF(_xlfn.XLOOKUP($A50, INDIRECT("'" &amp; AB$2 &amp; "'!$A:$A"), INDIRECT("'" &amp; AB$2 &amp; "'!$B:$B"), "")&lt;&gt;"", "✓", "✗"), "✗")
)</f>
        <v>✓</v>
      </c>
      <c r="AC50" t="str" cm="1">
        <f t="array" aca="1" ref="AC50" ca="1">IF(
    ISNUMBER(VALUE(LEFT($A50, 1))),
    "",
    IFERROR(IF(_xlfn.XLOOKUP($A50, INDIRECT("'" &amp; AC$2 &amp; "'!$A:$A"), INDIRECT("'" &amp; AC$2 &amp; "'!$B:$B"), "")&lt;&gt;"", "✓", "✗"), "✗")
)</f>
        <v>✗</v>
      </c>
      <c r="AD50" t="str" cm="1">
        <f t="array" aca="1" ref="AD50" ca="1">IF(
    ISNUMBER(VALUE(LEFT($A50, 1))),
    "",
    IFERROR(IF(_xlfn.XLOOKUP($A50, INDIRECT("'" &amp; AD$2 &amp; "'!$A:$A"), INDIRECT("'" &amp; AD$2 &amp; "'!$B:$B"), "")&lt;&gt;"", "✓", "✗"), "✗")
)</f>
        <v>✗</v>
      </c>
      <c r="AE50" t="str" cm="1">
        <f t="array" aca="1" ref="AE50" ca="1">IF(
    ISNUMBER(VALUE(LEFT($A50, 1))),
    "",
    IFERROR(IF(_xlfn.XLOOKUP($A50, INDIRECT("'" &amp; AE$2 &amp; "'!$A:$A"), INDIRECT("'" &amp; AE$2 &amp; "'!$B:$B"), "")&lt;&gt;"", "✓", "✗"), "✗")
)</f>
        <v>✓</v>
      </c>
      <c r="AF50" t="str" cm="1">
        <f t="array" aca="1" ref="AF50" ca="1">IF(
    ISNUMBER(VALUE(LEFT($A50, 1))),
    "",
    IFERROR(IF(_xlfn.XLOOKUP($A50, INDIRECT("'" &amp; AF$2 &amp; "'!$A:$A"), INDIRECT("'" &amp; AF$2 &amp; "'!$B:$B"), "")&lt;&gt;"", "✓", "✗"), "✗")
)</f>
        <v>✓</v>
      </c>
      <c r="AG50" t="str" cm="1">
        <f t="array" aca="1" ref="AG50" ca="1">IF(
    ISNUMBER(VALUE(LEFT($A50, 1))),
    "",
    IFERROR(IF(_xlfn.XLOOKUP($A50, INDIRECT("'" &amp; AG$2 &amp; "'!$A:$A"), INDIRECT("'" &amp; AG$2 &amp; "'!$B:$B"), "")&lt;&gt;"", "✓", "✗"), "✗")
)</f>
        <v>✓</v>
      </c>
    </row>
    <row r="51" spans="1:33" x14ac:dyDescent="0.45">
      <c r="A51" t="str">
        <v>Share Data with Cisco Affiliates and Suppliers (China Hand Raisers and Responses Only)</v>
      </c>
      <c r="B51" t="str" cm="1">
        <f t="array" aca="1" ref="B51" ca="1">IF(
    ISNUMBER(VALUE(LEFT($A51, 1))),
    "",
    IFERROR(IF(_xlfn.XLOOKUP($A51, INDIRECT("'" &amp; B$2 &amp; "'!$A:$A"), INDIRECT("'" &amp; B$2 &amp; "'!$B:$B"), "")&lt;&gt;"", "✓", "✗"), "✗")
)</f>
        <v>✓</v>
      </c>
      <c r="C51" t="str" cm="1">
        <f t="array" aca="1" ref="C51" ca="1">IF(
    ISNUMBER(VALUE(LEFT($A51, 1))),
    "",
    IFERROR(IF(_xlfn.XLOOKUP($A51, INDIRECT("'" &amp; C$2 &amp; "'!$A:$A"), INDIRECT("'" &amp; C$2 &amp; "'!$B:$B"), "")&lt;&gt;"", "✓", "✗"), "✗")
)</f>
        <v>✓</v>
      </c>
      <c r="D51" t="str" cm="1">
        <f t="array" aca="1" ref="D51" ca="1">IF(
    ISNUMBER(VALUE(LEFT($A51, 1))),
    "",
    IFERROR(IF(_xlfn.XLOOKUP($A51, INDIRECT("'" &amp; D$2 &amp; "'!$A:$A"), INDIRECT("'" &amp; D$2 &amp; "'!$B:$B"), "")&lt;&gt;"", "✓", "✗"), "✗")
)</f>
        <v>✓</v>
      </c>
      <c r="E51" t="str" cm="1">
        <f t="array" aca="1" ref="E51" ca="1">IF(
    ISNUMBER(VALUE(LEFT($A51, 1))),
    "",
    IFERROR(IF(_xlfn.XLOOKUP($A51, INDIRECT("'" &amp; E$2 &amp; "'!$A:$A"), INDIRECT("'" &amp; E$2 &amp; "'!$B:$B"), "")&lt;&gt;"", "✓", "✗"), "✗")
)</f>
        <v>✓</v>
      </c>
      <c r="F51" t="str" cm="1">
        <f t="array" aca="1" ref="F51" ca="1">IF(
    ISNUMBER(VALUE(LEFT($A51, 1))),
    "",
    IFERROR(IF(_xlfn.XLOOKUP($A51, INDIRECT("'" &amp; F$2 &amp; "'!$A:$A"), INDIRECT("'" &amp; F$2 &amp; "'!$B:$B"), "")&lt;&gt;"", "✓", "✗"), "✗")
)</f>
        <v>✓</v>
      </c>
      <c r="G51" t="str" cm="1">
        <f t="array" aca="1" ref="G51" ca="1">IF(
    ISNUMBER(VALUE(LEFT($A51, 1))),
    "",
    IFERROR(IF(_xlfn.XLOOKUP($A51, INDIRECT("'" &amp; G$2 &amp; "'!$A:$A"), INDIRECT("'" &amp; G$2 &amp; "'!$B:$B"), "")&lt;&gt;"", "✓", "✗"), "✗")
)</f>
        <v>✓</v>
      </c>
      <c r="H51" t="str" cm="1">
        <f t="array" aca="1" ref="H51" ca="1">IF(
    ISNUMBER(VALUE(LEFT($A51, 1))),
    "",
    IFERROR(IF(_xlfn.XLOOKUP($A51, INDIRECT("'" &amp; H$2 &amp; "'!$A:$A"), INDIRECT("'" &amp; H$2 &amp; "'!$B:$B"), "")&lt;&gt;"", "✓", "✗"), "✗")
)</f>
        <v>✓</v>
      </c>
      <c r="I51" t="str" cm="1">
        <f t="array" aca="1" ref="I51" ca="1">IF(
    ISNUMBER(VALUE(LEFT($A51, 1))),
    "",
    IFERROR(IF(_xlfn.XLOOKUP($A51, INDIRECT("'" &amp; I$2 &amp; "'!$A:$A"), INDIRECT("'" &amp; I$2 &amp; "'!$B:$B"), "")&lt;&gt;"", "✓", "✗"), "✗")
)</f>
        <v>✓</v>
      </c>
      <c r="J51" t="str" cm="1">
        <f t="array" aca="1" ref="J51" ca="1">IF(
    ISNUMBER(VALUE(LEFT($A51, 1))),
    "",
    IFERROR(IF(_xlfn.XLOOKUP($A51, INDIRECT("'" &amp; J$2 &amp; "'!$A:$A"), INDIRECT("'" &amp; J$2 &amp; "'!$B:$B"), "")&lt;&gt;"", "✓", "✗"), "✗")
)</f>
        <v>✓</v>
      </c>
      <c r="K51" t="str" cm="1">
        <f t="array" aca="1" ref="K51" ca="1">IF(
    ISNUMBER(VALUE(LEFT($A51, 1))),
    "",
    IFERROR(IF(_xlfn.XLOOKUP($A51, INDIRECT("'" &amp; K$2 &amp; "'!$A:$A"), INDIRECT("'" &amp; K$2 &amp; "'!$B:$B"), "")&lt;&gt;"", "✓", "✗"), "✗")
)</f>
        <v>✓</v>
      </c>
      <c r="L51" t="str" cm="1">
        <f t="array" aca="1" ref="L51" ca="1">IF(
    ISNUMBER(VALUE(LEFT($A51, 1))),
    "",
    IFERROR(IF(_xlfn.XLOOKUP($A51, INDIRECT("'" &amp; L$2 &amp; "'!$A:$A"), INDIRECT("'" &amp; L$2 &amp; "'!$B:$B"), "")&lt;&gt;"", "✓", "✗"), "✗")
)</f>
        <v>✓</v>
      </c>
      <c r="M51" t="str" cm="1">
        <f t="array" aca="1" ref="M51" ca="1">IF(
    ISNUMBER(VALUE(LEFT($A51, 1))),
    "",
    IFERROR(IF(_xlfn.XLOOKUP($A51, INDIRECT("'" &amp; M$2 &amp; "'!$A:$A"), INDIRECT("'" &amp; M$2 &amp; "'!$B:$B"), "")&lt;&gt;"", "✓", "✗"), "✗")
)</f>
        <v>✓</v>
      </c>
      <c r="N51" t="str" cm="1">
        <f t="array" aca="1" ref="N51" ca="1">IF(
    ISNUMBER(VALUE(LEFT($A51, 1))),
    "",
    IFERROR(IF(_xlfn.XLOOKUP($A51, INDIRECT("'" &amp; N$2 &amp; "'!$A:$A"), INDIRECT("'" &amp; N$2 &amp; "'!$B:$B"), "")&lt;&gt;"", "✓", "✗"), "✗")
)</f>
        <v>✓</v>
      </c>
      <c r="O51" t="str" cm="1">
        <f t="array" aca="1" ref="O51" ca="1">IF(
    ISNUMBER(VALUE(LEFT($A51, 1))),
    "",
    IFERROR(IF(_xlfn.XLOOKUP($A51, INDIRECT("'" &amp; O$2 &amp; "'!$A:$A"), INDIRECT("'" &amp; O$2 &amp; "'!$B:$B"), "")&lt;&gt;"", "✓", "✗"), "✗")
)</f>
        <v>✓</v>
      </c>
      <c r="P51" t="str" cm="1">
        <f t="array" aca="1" ref="P51" ca="1">IF(
    ISNUMBER(VALUE(LEFT($A51, 1))),
    "",
    IFERROR(IF(_xlfn.XLOOKUP($A51, INDIRECT("'" &amp; P$2 &amp; "'!$A:$A"), INDIRECT("'" &amp; P$2 &amp; "'!$B:$B"), "")&lt;&gt;"", "✓", "✗"), "✗")
)</f>
        <v>✓</v>
      </c>
      <c r="Q51" t="str" cm="1">
        <f t="array" aca="1" ref="Q51" ca="1">IF(
    ISNUMBER(VALUE(LEFT($A51, 1))),
    "",
    IFERROR(IF(_xlfn.XLOOKUP($A51, INDIRECT("'" &amp; Q$2 &amp; "'!$A:$A"), INDIRECT("'" &amp; Q$2 &amp; "'!$B:$B"), "")&lt;&gt;"", "✓", "✗"), "✗")
)</f>
        <v>✓</v>
      </c>
      <c r="R51" t="str" cm="1">
        <f t="array" aca="1" ref="R51" ca="1">IF(
    ISNUMBER(VALUE(LEFT($A51, 1))),
    "",
    IFERROR(IF(_xlfn.XLOOKUP($A51, INDIRECT("'" &amp; R$2 &amp; "'!$A:$A"), INDIRECT("'" &amp; R$2 &amp; "'!$B:$B"), "")&lt;&gt;"", "✓", "✗"), "✗")
)</f>
        <v>✓</v>
      </c>
      <c r="S51" t="str" cm="1">
        <f t="array" aca="1" ref="S51" ca="1">IF(
    ISNUMBER(VALUE(LEFT($A51, 1))),
    "",
    IFERROR(IF(_xlfn.XLOOKUP($A51, INDIRECT("'" &amp; S$2 &amp; "'!$A:$A"), INDIRECT("'" &amp; S$2 &amp; "'!$B:$B"), "")&lt;&gt;"", "✓", "✗"), "✗")
)</f>
        <v>✓</v>
      </c>
      <c r="T51" t="str" cm="1">
        <f t="array" aca="1" ref="T51" ca="1">IF(
    ISNUMBER(VALUE(LEFT($A51, 1))),
    "",
    IFERROR(IF(_xlfn.XLOOKUP($A51, INDIRECT("'" &amp; T$2 &amp; "'!$A:$A"), INDIRECT("'" &amp; T$2 &amp; "'!$B:$B"), "")&lt;&gt;"", "✓", "✗"), "✗")
)</f>
        <v>✓</v>
      </c>
      <c r="U51" t="str" cm="1">
        <f t="array" aca="1" ref="U51" ca="1">IF(
    ISNUMBER(VALUE(LEFT($A51, 1))),
    "",
    IFERROR(IF(_xlfn.XLOOKUP($A51, INDIRECT("'" &amp; U$2 &amp; "'!$A:$A"), INDIRECT("'" &amp; U$2 &amp; "'!$B:$B"), "")&lt;&gt;"", "✓", "✗"), "✗")
)</f>
        <v>✓</v>
      </c>
      <c r="V51" t="str" cm="1">
        <f t="array" aca="1" ref="V51" ca="1">IF(
    ISNUMBER(VALUE(LEFT($A51, 1))),
    "",
    IFERROR(IF(_xlfn.XLOOKUP($A51, INDIRECT("'" &amp; V$2 &amp; "'!$A:$A"), INDIRECT("'" &amp; V$2 &amp; "'!$B:$B"), "")&lt;&gt;"", "✓", "✗"), "✗")
)</f>
        <v>✓</v>
      </c>
      <c r="W51" t="str" cm="1">
        <f t="array" aca="1" ref="W51" ca="1">IF(
    ISNUMBER(VALUE(LEFT($A51, 1))),
    "",
    IFERROR(IF(_xlfn.XLOOKUP($A51, INDIRECT("'" &amp; W$2 &amp; "'!$A:$A"), INDIRECT("'" &amp; W$2 &amp; "'!$B:$B"), "")&lt;&gt;"", "✓", "✗"), "✗")
)</f>
        <v>✓</v>
      </c>
      <c r="X51" t="str" cm="1">
        <f t="array" aca="1" ref="X51" ca="1">IF(
    ISNUMBER(VALUE(LEFT($A51, 1))),
    "",
    IFERROR(IF(_xlfn.XLOOKUP($A51, INDIRECT("'" &amp; X$2 &amp; "'!$A:$A"), INDIRECT("'" &amp; X$2 &amp; "'!$B:$B"), "")&lt;&gt;"", "✓", "✗"), "✗")
)</f>
        <v>✓</v>
      </c>
      <c r="Y51" t="str" cm="1">
        <f t="array" aca="1" ref="Y51" ca="1">IF(
    ISNUMBER(VALUE(LEFT($A51, 1))),
    "",
    IFERROR(IF(_xlfn.XLOOKUP($A51, INDIRECT("'" &amp; Y$2 &amp; "'!$A:$A"), INDIRECT("'" &amp; Y$2 &amp; "'!$B:$B"), "")&lt;&gt;"", "✓", "✗"), "✗")
)</f>
        <v>✓</v>
      </c>
      <c r="Z51" t="str" cm="1">
        <f t="array" aca="1" ref="Z51" ca="1">IF(
    ISNUMBER(VALUE(LEFT($A51, 1))),
    "",
    IFERROR(IF(_xlfn.XLOOKUP($A51, INDIRECT("'" &amp; Z$2 &amp; "'!$A:$A"), INDIRECT("'" &amp; Z$2 &amp; "'!$B:$B"), "")&lt;&gt;"", "✓", "✗"), "✗")
)</f>
        <v>✓</v>
      </c>
      <c r="AA51" t="str" cm="1">
        <f t="array" aca="1" ref="AA51" ca="1">IF(
    ISNUMBER(VALUE(LEFT($A51, 1))),
    "",
    IFERROR(IF(_xlfn.XLOOKUP($A51, INDIRECT("'" &amp; AA$2 &amp; "'!$A:$A"), INDIRECT("'" &amp; AA$2 &amp; "'!$B:$B"), "")&lt;&gt;"", "✓", "✗"), "✗")
)</f>
        <v>✓</v>
      </c>
      <c r="AB51" t="str" cm="1">
        <f t="array" aca="1" ref="AB51" ca="1">IF(
    ISNUMBER(VALUE(LEFT($A51, 1))),
    "",
    IFERROR(IF(_xlfn.XLOOKUP($A51, INDIRECT("'" &amp; AB$2 &amp; "'!$A:$A"), INDIRECT("'" &amp; AB$2 &amp; "'!$B:$B"), "")&lt;&gt;"", "✓", "✗"), "✗")
)</f>
        <v>✓</v>
      </c>
      <c r="AC51" t="str" cm="1">
        <f t="array" aca="1" ref="AC51" ca="1">IF(
    ISNUMBER(VALUE(LEFT($A51, 1))),
    "",
    IFERROR(IF(_xlfn.XLOOKUP($A51, INDIRECT("'" &amp; AC$2 &amp; "'!$A:$A"), INDIRECT("'" &amp; AC$2 &amp; "'!$B:$B"), "")&lt;&gt;"", "✓", "✗"), "✗")
)</f>
        <v>✗</v>
      </c>
      <c r="AD51" t="str" cm="1">
        <f t="array" aca="1" ref="AD51" ca="1">IF(
    ISNUMBER(VALUE(LEFT($A51, 1))),
    "",
    IFERROR(IF(_xlfn.XLOOKUP($A51, INDIRECT("'" &amp; AD$2 &amp; "'!$A:$A"), INDIRECT("'" &amp; AD$2 &amp; "'!$B:$B"), "")&lt;&gt;"", "✓", "✗"), "✗")
)</f>
        <v>✗</v>
      </c>
      <c r="AE51" t="str" cm="1">
        <f t="array" aca="1" ref="AE51" ca="1">IF(
    ISNUMBER(VALUE(LEFT($A51, 1))),
    "",
    IFERROR(IF(_xlfn.XLOOKUP($A51, INDIRECT("'" &amp; AE$2 &amp; "'!$A:$A"), INDIRECT("'" &amp; AE$2 &amp; "'!$B:$B"), "")&lt;&gt;"", "✓", "✗"), "✗")
)</f>
        <v>✓</v>
      </c>
      <c r="AF51" t="str" cm="1">
        <f t="array" aca="1" ref="AF51" ca="1">IF(
    ISNUMBER(VALUE(LEFT($A51, 1))),
    "",
    IFERROR(IF(_xlfn.XLOOKUP($A51, INDIRECT("'" &amp; AF$2 &amp; "'!$A:$A"), INDIRECT("'" &amp; AF$2 &amp; "'!$B:$B"), "")&lt;&gt;"", "✓", "✗"), "✗")
)</f>
        <v>✓</v>
      </c>
      <c r="AG51" t="str" cm="1">
        <f t="array" aca="1" ref="AG51" ca="1">IF(
    ISNUMBER(VALUE(LEFT($A51, 1))),
    "",
    IFERROR(IF(_xlfn.XLOOKUP($A51, INDIRECT("'" &amp; AG$2 &amp; "'!$A:$A"), INDIRECT("'" &amp; AG$2 &amp; "'!$B:$B"), "")&lt;&gt;"", "✓", "✗"), "✗")
)</f>
        <v>✓</v>
      </c>
    </row>
    <row r="52" spans="1:33" x14ac:dyDescent="0.45">
      <c r="A52" t="str">
        <v>Contact Provided Permission</v>
      </c>
      <c r="B52" t="str" cm="1">
        <f t="array" aca="1" ref="B52" ca="1">IF(
    ISNUMBER(VALUE(LEFT($A52, 1))),
    "",
    IFERROR(IF(_xlfn.XLOOKUP($A52, INDIRECT("'" &amp; B$2 &amp; "'!$A:$A"), INDIRECT("'" &amp; B$2 &amp; "'!$B:$B"), "")&lt;&gt;"", "✓", "✗"), "✗")
)</f>
        <v>✗</v>
      </c>
      <c r="C52" t="str" cm="1">
        <f t="array" aca="1" ref="C52" ca="1">IF(
    ISNUMBER(VALUE(LEFT($A52, 1))),
    "",
    IFERROR(IF(_xlfn.XLOOKUP($A52, INDIRECT("'" &amp; C$2 &amp; "'!$A:$A"), INDIRECT("'" &amp; C$2 &amp; "'!$B:$B"), "")&lt;&gt;"", "✓", "✗"), "✗")
)</f>
        <v>✗</v>
      </c>
      <c r="D52" t="str" cm="1">
        <f t="array" aca="1" ref="D52" ca="1">IF(
    ISNUMBER(VALUE(LEFT($A52, 1))),
    "",
    IFERROR(IF(_xlfn.XLOOKUP($A52, INDIRECT("'" &amp; D$2 &amp; "'!$A:$A"), INDIRECT("'" &amp; D$2 &amp; "'!$B:$B"), "")&lt;&gt;"", "✓", "✗"), "✗")
)</f>
        <v>✗</v>
      </c>
      <c r="E52" t="str" cm="1">
        <f t="array" aca="1" ref="E52" ca="1">IF(
    ISNUMBER(VALUE(LEFT($A52, 1))),
    "",
    IFERROR(IF(_xlfn.XLOOKUP($A52, INDIRECT("'" &amp; E$2 &amp; "'!$A:$A"), INDIRECT("'" &amp; E$2 &amp; "'!$B:$B"), "")&lt;&gt;"", "✓", "✗"), "✗")
)</f>
        <v>✗</v>
      </c>
      <c r="F52" t="str" cm="1">
        <f t="array" aca="1" ref="F52" ca="1">IF(
    ISNUMBER(VALUE(LEFT($A52, 1))),
    "",
    IFERROR(IF(_xlfn.XLOOKUP($A52, INDIRECT("'" &amp; F$2 &amp; "'!$A:$A"), INDIRECT("'" &amp; F$2 &amp; "'!$B:$B"), "")&lt;&gt;"", "✓", "✗"), "✗")
)</f>
        <v>✗</v>
      </c>
      <c r="G52" t="str" cm="1">
        <f t="array" aca="1" ref="G52" ca="1">IF(
    ISNUMBER(VALUE(LEFT($A52, 1))),
    "",
    IFERROR(IF(_xlfn.XLOOKUP($A52, INDIRECT("'" &amp; G$2 &amp; "'!$A:$A"), INDIRECT("'" &amp; G$2 &amp; "'!$B:$B"), "")&lt;&gt;"", "✓", "✗"), "✗")
)</f>
        <v>✓</v>
      </c>
      <c r="H52" t="str" cm="1">
        <f t="array" aca="1" ref="H52" ca="1">IF(
    ISNUMBER(VALUE(LEFT($A52, 1))),
    "",
    IFERROR(IF(_xlfn.XLOOKUP($A52, INDIRECT("'" &amp; H$2 &amp; "'!$A:$A"), INDIRECT("'" &amp; H$2 &amp; "'!$B:$B"), "")&lt;&gt;"", "✓", "✗"), "✗")
)</f>
        <v>✓</v>
      </c>
      <c r="I52" t="str" cm="1">
        <f t="array" aca="1" ref="I52" ca="1">IF(
    ISNUMBER(VALUE(LEFT($A52, 1))),
    "",
    IFERROR(IF(_xlfn.XLOOKUP($A52, INDIRECT("'" &amp; I$2 &amp; "'!$A:$A"), INDIRECT("'" &amp; I$2 &amp; "'!$B:$B"), "")&lt;&gt;"", "✓", "✗"), "✗")
)</f>
        <v>✓</v>
      </c>
      <c r="J52" t="str" cm="1">
        <f t="array" aca="1" ref="J52" ca="1">IF(
    ISNUMBER(VALUE(LEFT($A52, 1))),
    "",
    IFERROR(IF(_xlfn.XLOOKUP($A52, INDIRECT("'" &amp; J$2 &amp; "'!$A:$A"), INDIRECT("'" &amp; J$2 &amp; "'!$B:$B"), "")&lt;&gt;"", "✓", "✗"), "✗")
)</f>
        <v>✓</v>
      </c>
      <c r="K52" t="str" cm="1">
        <f t="array" aca="1" ref="K52" ca="1">IF(
    ISNUMBER(VALUE(LEFT($A52, 1))),
    "",
    IFERROR(IF(_xlfn.XLOOKUP($A52, INDIRECT("'" &amp; K$2 &amp; "'!$A:$A"), INDIRECT("'" &amp; K$2 &amp; "'!$B:$B"), "")&lt;&gt;"", "✓", "✗"), "✗")
)</f>
        <v>✓</v>
      </c>
      <c r="L52" t="str" cm="1">
        <f t="array" aca="1" ref="L52" ca="1">IF(
    ISNUMBER(VALUE(LEFT($A52, 1))),
    "",
    IFERROR(IF(_xlfn.XLOOKUP($A52, INDIRECT("'" &amp; L$2 &amp; "'!$A:$A"), INDIRECT("'" &amp; L$2 &amp; "'!$B:$B"), "")&lt;&gt;"", "✓", "✗"), "✗")
)</f>
        <v>✓</v>
      </c>
      <c r="M52" t="str" cm="1">
        <f t="array" aca="1" ref="M52" ca="1">IF(
    ISNUMBER(VALUE(LEFT($A52, 1))),
    "",
    IFERROR(IF(_xlfn.XLOOKUP($A52, INDIRECT("'" &amp; M$2 &amp; "'!$A:$A"), INDIRECT("'" &amp; M$2 &amp; "'!$B:$B"), "")&lt;&gt;"", "✓", "✗"), "✗")
)</f>
        <v>✓</v>
      </c>
      <c r="N52" t="str" cm="1">
        <f t="array" aca="1" ref="N52" ca="1">IF(
    ISNUMBER(VALUE(LEFT($A52, 1))),
    "",
    IFERROR(IF(_xlfn.XLOOKUP($A52, INDIRECT("'" &amp; N$2 &amp; "'!$A:$A"), INDIRECT("'" &amp; N$2 &amp; "'!$B:$B"), "")&lt;&gt;"", "✓", "✗"), "✗")
)</f>
        <v>✓</v>
      </c>
      <c r="O52" t="str" cm="1">
        <f t="array" aca="1" ref="O52" ca="1">IF(
    ISNUMBER(VALUE(LEFT($A52, 1))),
    "",
    IFERROR(IF(_xlfn.XLOOKUP($A52, INDIRECT("'" &amp; O$2 &amp; "'!$A:$A"), INDIRECT("'" &amp; O$2 &amp; "'!$B:$B"), "")&lt;&gt;"", "✓", "✗"), "✗")
)</f>
        <v>✓</v>
      </c>
      <c r="P52" t="str" cm="1">
        <f t="array" aca="1" ref="P52" ca="1">IF(
    ISNUMBER(VALUE(LEFT($A52, 1))),
    "",
    IFERROR(IF(_xlfn.XLOOKUP($A52, INDIRECT("'" &amp; P$2 &amp; "'!$A:$A"), INDIRECT("'" &amp; P$2 &amp; "'!$B:$B"), "")&lt;&gt;"", "✓", "✗"), "✗")
)</f>
        <v>✓</v>
      </c>
      <c r="Q52" t="str" cm="1">
        <f t="array" aca="1" ref="Q52" ca="1">IF(
    ISNUMBER(VALUE(LEFT($A52, 1))),
    "",
    IFERROR(IF(_xlfn.XLOOKUP($A52, INDIRECT("'" &amp; Q$2 &amp; "'!$A:$A"), INDIRECT("'" &amp; Q$2 &amp; "'!$B:$B"), "")&lt;&gt;"", "✓", "✗"), "✗")
)</f>
        <v>✓</v>
      </c>
      <c r="R52" t="str" cm="1">
        <f t="array" aca="1" ref="R52" ca="1">IF(
    ISNUMBER(VALUE(LEFT($A52, 1))),
    "",
    IFERROR(IF(_xlfn.XLOOKUP($A52, INDIRECT("'" &amp; R$2 &amp; "'!$A:$A"), INDIRECT("'" &amp; R$2 &amp; "'!$B:$B"), "")&lt;&gt;"", "✓", "✗"), "✗")
)</f>
        <v>✓</v>
      </c>
      <c r="S52" t="str" cm="1">
        <f t="array" aca="1" ref="S52" ca="1">IF(
    ISNUMBER(VALUE(LEFT($A52, 1))),
    "",
    IFERROR(IF(_xlfn.XLOOKUP($A52, INDIRECT("'" &amp; S$2 &amp; "'!$A:$A"), INDIRECT("'" &amp; S$2 &amp; "'!$B:$B"), "")&lt;&gt;"", "✓", "✗"), "✗")
)</f>
        <v>✓</v>
      </c>
      <c r="T52" t="str" cm="1">
        <f t="array" aca="1" ref="T52" ca="1">IF(
    ISNUMBER(VALUE(LEFT($A52, 1))),
    "",
    IFERROR(IF(_xlfn.XLOOKUP($A52, INDIRECT("'" &amp; T$2 &amp; "'!$A:$A"), INDIRECT("'" &amp; T$2 &amp; "'!$B:$B"), "")&lt;&gt;"", "✓", "✗"), "✗")
)</f>
        <v>✓</v>
      </c>
      <c r="U52" t="str" cm="1">
        <f t="array" aca="1" ref="U52" ca="1">IF(
    ISNUMBER(VALUE(LEFT($A52, 1))),
    "",
    IFERROR(IF(_xlfn.XLOOKUP($A52, INDIRECT("'" &amp; U$2 &amp; "'!$A:$A"), INDIRECT("'" &amp; U$2 &amp; "'!$B:$B"), "")&lt;&gt;"", "✓", "✗"), "✗")
)</f>
        <v>✓</v>
      </c>
      <c r="V52" t="str" cm="1">
        <f t="array" aca="1" ref="V52" ca="1">IF(
    ISNUMBER(VALUE(LEFT($A52, 1))),
    "",
    IFERROR(IF(_xlfn.XLOOKUP($A52, INDIRECT("'" &amp; V$2 &amp; "'!$A:$A"), INDIRECT("'" &amp; V$2 &amp; "'!$B:$B"), "")&lt;&gt;"", "✓", "✗"), "✗")
)</f>
        <v>✓</v>
      </c>
      <c r="W52" t="str" cm="1">
        <f t="array" aca="1" ref="W52" ca="1">IF(
    ISNUMBER(VALUE(LEFT($A52, 1))),
    "",
    IFERROR(IF(_xlfn.XLOOKUP($A52, INDIRECT("'" &amp; W$2 &amp; "'!$A:$A"), INDIRECT("'" &amp; W$2 &amp; "'!$B:$B"), "")&lt;&gt;"", "✓", "✗"), "✗")
)</f>
        <v>✓</v>
      </c>
      <c r="X52" t="str" cm="1">
        <f t="array" aca="1" ref="X52" ca="1">IF(
    ISNUMBER(VALUE(LEFT($A52, 1))),
    "",
    IFERROR(IF(_xlfn.XLOOKUP($A52, INDIRECT("'" &amp; X$2 &amp; "'!$A:$A"), INDIRECT("'" &amp; X$2 &amp; "'!$B:$B"), "")&lt;&gt;"", "✓", "✗"), "✗")
)</f>
        <v>✓</v>
      </c>
      <c r="Y52" t="str" cm="1">
        <f t="array" aca="1" ref="Y52" ca="1">IF(
    ISNUMBER(VALUE(LEFT($A52, 1))),
    "",
    IFERROR(IF(_xlfn.XLOOKUP($A52, INDIRECT("'" &amp; Y$2 &amp; "'!$A:$A"), INDIRECT("'" &amp; Y$2 &amp; "'!$B:$B"), "")&lt;&gt;"", "✓", "✗"), "✗")
)</f>
        <v>✓</v>
      </c>
      <c r="Z52" t="str" cm="1">
        <f t="array" aca="1" ref="Z52" ca="1">IF(
    ISNUMBER(VALUE(LEFT($A52, 1))),
    "",
    IFERROR(IF(_xlfn.XLOOKUP($A52, INDIRECT("'" &amp; Z$2 &amp; "'!$A:$A"), INDIRECT("'" &amp; Z$2 &amp; "'!$B:$B"), "")&lt;&gt;"", "✓", "✗"), "✗")
)</f>
        <v>✓</v>
      </c>
      <c r="AA52" t="str" cm="1">
        <f t="array" aca="1" ref="AA52" ca="1">IF(
    ISNUMBER(VALUE(LEFT($A52, 1))),
    "",
    IFERROR(IF(_xlfn.XLOOKUP($A52, INDIRECT("'" &amp; AA$2 &amp; "'!$A:$A"), INDIRECT("'" &amp; AA$2 &amp; "'!$B:$B"), "")&lt;&gt;"", "✓", "✗"), "✗")
)</f>
        <v>✓</v>
      </c>
      <c r="AB52" t="str" cm="1">
        <f t="array" aca="1" ref="AB52" ca="1">IF(
    ISNUMBER(VALUE(LEFT($A52, 1))),
    "",
    IFERROR(IF(_xlfn.XLOOKUP($A52, INDIRECT("'" &amp; AB$2 &amp; "'!$A:$A"), INDIRECT("'" &amp; AB$2 &amp; "'!$B:$B"), "")&lt;&gt;"", "✓", "✗"), "✗")
)</f>
        <v>✗</v>
      </c>
      <c r="AC52" t="str" cm="1">
        <f t="array" aca="1" ref="AC52" ca="1">IF(
    ISNUMBER(VALUE(LEFT($A52, 1))),
    "",
    IFERROR(IF(_xlfn.XLOOKUP($A52, INDIRECT("'" &amp; AC$2 &amp; "'!$A:$A"), INDIRECT("'" &amp; AC$2 &amp; "'!$B:$B"), "")&lt;&gt;"", "✓", "✗"), "✗")
)</f>
        <v>✗</v>
      </c>
      <c r="AD52" t="str" cm="1">
        <f t="array" aca="1" ref="AD52" ca="1">IF(
    ISNUMBER(VALUE(LEFT($A52, 1))),
    "",
    IFERROR(IF(_xlfn.XLOOKUP($A52, INDIRECT("'" &amp; AD$2 &amp; "'!$A:$A"), INDIRECT("'" &amp; AD$2 &amp; "'!$B:$B"), "")&lt;&gt;"", "✓", "✗"), "✗")
)</f>
        <v>✗</v>
      </c>
      <c r="AE52" t="str" cm="1">
        <f t="array" aca="1" ref="AE52" ca="1">IF(
    ISNUMBER(VALUE(LEFT($A52, 1))),
    "",
    IFERROR(IF(_xlfn.XLOOKUP($A52, INDIRECT("'" &amp; AE$2 &amp; "'!$A:$A"), INDIRECT("'" &amp; AE$2 &amp; "'!$B:$B"), "")&lt;&gt;"", "✓", "✗"), "✗")
)</f>
        <v>✗</v>
      </c>
      <c r="AF52" t="str" cm="1">
        <f t="array" aca="1" ref="AF52" ca="1">IF(
    ISNUMBER(VALUE(LEFT($A52, 1))),
    "",
    IFERROR(IF(_xlfn.XLOOKUP($A52, INDIRECT("'" &amp; AF$2 &amp; "'!$A:$A"), INDIRECT("'" &amp; AF$2 &amp; "'!$B:$B"), "")&lt;&gt;"", "✓", "✗"), "✗")
)</f>
        <v>✗</v>
      </c>
      <c r="AG52" t="str" cm="1">
        <f t="array" aca="1" ref="AG52" ca="1">IF(
    ISNUMBER(VALUE(LEFT($A52, 1))),
    "",
    IFERROR(IF(_xlfn.XLOOKUP($A52, INDIRECT("'" &amp; AG$2 &amp; "'!$A:$A"), INDIRECT("'" &amp; AG$2 &amp; "'!$B:$B"), "")&lt;&gt;"", "✓", "✗"), "✗")
)</f>
        <v>✗</v>
      </c>
    </row>
    <row r="53" spans="1:33" x14ac:dyDescent="0.45">
      <c r="A53" t="str">
        <v>Consent / Permission Status</v>
      </c>
      <c r="B53" t="str" cm="1">
        <f t="array" aca="1" ref="B53" ca="1">IF(
    ISNUMBER(VALUE(LEFT($A53, 1))),
    "",
    IFERROR(IF(_xlfn.XLOOKUP($A53, INDIRECT("'" &amp; B$2 &amp; "'!$A:$A"), INDIRECT("'" &amp; B$2 &amp; "'!$B:$B"), "")&lt;&gt;"", "✓", "✗"), "✗")
)</f>
        <v>✗</v>
      </c>
      <c r="C53" t="str" cm="1">
        <f t="array" aca="1" ref="C53" ca="1">IF(
    ISNUMBER(VALUE(LEFT($A53, 1))),
    "",
    IFERROR(IF(_xlfn.XLOOKUP($A53, INDIRECT("'" &amp; C$2 &amp; "'!$A:$A"), INDIRECT("'" &amp; C$2 &amp; "'!$B:$B"), "")&lt;&gt;"", "✓", "✗"), "✗")
)</f>
        <v>✗</v>
      </c>
      <c r="D53" t="str" cm="1">
        <f t="array" aca="1" ref="D53" ca="1">IF(
    ISNUMBER(VALUE(LEFT($A53, 1))),
    "",
    IFERROR(IF(_xlfn.XLOOKUP($A53, INDIRECT("'" &amp; D$2 &amp; "'!$A:$A"), INDIRECT("'" &amp; D$2 &amp; "'!$B:$B"), "")&lt;&gt;"", "✓", "✗"), "✗")
)</f>
        <v>✗</v>
      </c>
      <c r="E53" t="str" cm="1">
        <f t="array" aca="1" ref="E53" ca="1">IF(
    ISNUMBER(VALUE(LEFT($A53, 1))),
    "",
    IFERROR(IF(_xlfn.XLOOKUP($A53, INDIRECT("'" &amp; E$2 &amp; "'!$A:$A"), INDIRECT("'" &amp; E$2 &amp; "'!$B:$B"), "")&lt;&gt;"", "✓", "✗"), "✗")
)</f>
        <v>✗</v>
      </c>
      <c r="F53" t="str" cm="1">
        <f t="array" aca="1" ref="F53" ca="1">IF(
    ISNUMBER(VALUE(LEFT($A53, 1))),
    "",
    IFERROR(IF(_xlfn.XLOOKUP($A53, INDIRECT("'" &amp; F$2 &amp; "'!$A:$A"), INDIRECT("'" &amp; F$2 &amp; "'!$B:$B"), "")&lt;&gt;"", "✓", "✗"), "✗")
)</f>
        <v>✗</v>
      </c>
      <c r="G53" t="str" cm="1">
        <f t="array" aca="1" ref="G53" ca="1">IF(
    ISNUMBER(VALUE(LEFT($A53, 1))),
    "",
    IFERROR(IF(_xlfn.XLOOKUP($A53, INDIRECT("'" &amp; G$2 &amp; "'!$A:$A"), INDIRECT("'" &amp; G$2 &amp; "'!$B:$B"), "")&lt;&gt;"", "✓", "✗"), "✗")
)</f>
        <v>✓</v>
      </c>
      <c r="H53" t="str" cm="1">
        <f t="array" aca="1" ref="H53" ca="1">IF(
    ISNUMBER(VALUE(LEFT($A53, 1))),
    "",
    IFERROR(IF(_xlfn.XLOOKUP($A53, INDIRECT("'" &amp; H$2 &amp; "'!$A:$A"), INDIRECT("'" &amp; H$2 &amp; "'!$B:$B"), "")&lt;&gt;"", "✓", "✗"), "✗")
)</f>
        <v>✓</v>
      </c>
      <c r="I53" t="str" cm="1">
        <f t="array" aca="1" ref="I53" ca="1">IF(
    ISNUMBER(VALUE(LEFT($A53, 1))),
    "",
    IFERROR(IF(_xlfn.XLOOKUP($A53, INDIRECT("'" &amp; I$2 &amp; "'!$A:$A"), INDIRECT("'" &amp; I$2 &amp; "'!$B:$B"), "")&lt;&gt;"", "✓", "✗"), "✗")
)</f>
        <v>✓</v>
      </c>
      <c r="J53" t="str" cm="1">
        <f t="array" aca="1" ref="J53" ca="1">IF(
    ISNUMBER(VALUE(LEFT($A53, 1))),
    "",
    IFERROR(IF(_xlfn.XLOOKUP($A53, INDIRECT("'" &amp; J$2 &amp; "'!$A:$A"), INDIRECT("'" &amp; J$2 &amp; "'!$B:$B"), "")&lt;&gt;"", "✓", "✗"), "✗")
)</f>
        <v>✓</v>
      </c>
      <c r="K53" t="str" cm="1">
        <f t="array" aca="1" ref="K53" ca="1">IF(
    ISNUMBER(VALUE(LEFT($A53, 1))),
    "",
    IFERROR(IF(_xlfn.XLOOKUP($A53, INDIRECT("'" &amp; K$2 &amp; "'!$A:$A"), INDIRECT("'" &amp; K$2 &amp; "'!$B:$B"), "")&lt;&gt;"", "✓", "✗"), "✗")
)</f>
        <v>✗</v>
      </c>
      <c r="L53" t="str" cm="1">
        <f t="array" aca="1" ref="L53" ca="1">IF(
    ISNUMBER(VALUE(LEFT($A53, 1))),
    "",
    IFERROR(IF(_xlfn.XLOOKUP($A53, INDIRECT("'" &amp; L$2 &amp; "'!$A:$A"), INDIRECT("'" &amp; L$2 &amp; "'!$B:$B"), "")&lt;&gt;"", "✓", "✗"), "✗")
)</f>
        <v>✗</v>
      </c>
      <c r="M53" t="str" cm="1">
        <f t="array" aca="1" ref="M53" ca="1">IF(
    ISNUMBER(VALUE(LEFT($A53, 1))),
    "",
    IFERROR(IF(_xlfn.XLOOKUP($A53, INDIRECT("'" &amp; M$2 &amp; "'!$A:$A"), INDIRECT("'" &amp; M$2 &amp; "'!$B:$B"), "")&lt;&gt;"", "✓", "✗"), "✗")
)</f>
        <v>✗</v>
      </c>
      <c r="N53" t="str" cm="1">
        <f t="array" aca="1" ref="N53" ca="1">IF(
    ISNUMBER(VALUE(LEFT($A53, 1))),
    "",
    IFERROR(IF(_xlfn.XLOOKUP($A53, INDIRECT("'" &amp; N$2 &amp; "'!$A:$A"), INDIRECT("'" &amp; N$2 &amp; "'!$B:$B"), "")&lt;&gt;"", "✓", "✗"), "✗")
)</f>
        <v>✗</v>
      </c>
      <c r="O53" t="str" cm="1">
        <f t="array" aca="1" ref="O53" ca="1">IF(
    ISNUMBER(VALUE(LEFT($A53, 1))),
    "",
    IFERROR(IF(_xlfn.XLOOKUP($A53, INDIRECT("'" &amp; O$2 &amp; "'!$A:$A"), INDIRECT("'" &amp; O$2 &amp; "'!$B:$B"), "")&lt;&gt;"", "✓", "✗"), "✗")
)</f>
        <v>✗</v>
      </c>
      <c r="P53" t="str" cm="1">
        <f t="array" aca="1" ref="P53" ca="1">IF(
    ISNUMBER(VALUE(LEFT($A53, 1))),
    "",
    IFERROR(IF(_xlfn.XLOOKUP($A53, INDIRECT("'" &amp; P$2 &amp; "'!$A:$A"), INDIRECT("'" &amp; P$2 &amp; "'!$B:$B"), "")&lt;&gt;"", "✓", "✗"), "✗")
)</f>
        <v>✗</v>
      </c>
      <c r="Q53" t="str" cm="1">
        <f t="array" aca="1" ref="Q53" ca="1">IF(
    ISNUMBER(VALUE(LEFT($A53, 1))),
    "",
    IFERROR(IF(_xlfn.XLOOKUP($A53, INDIRECT("'" &amp; Q$2 &amp; "'!$A:$A"), INDIRECT("'" &amp; Q$2 &amp; "'!$B:$B"), "")&lt;&gt;"", "✓", "✗"), "✗")
)</f>
        <v>✗</v>
      </c>
      <c r="R53" t="str" cm="1">
        <f t="array" aca="1" ref="R53" ca="1">IF(
    ISNUMBER(VALUE(LEFT($A53, 1))),
    "",
    IFERROR(IF(_xlfn.XLOOKUP($A53, INDIRECT("'" &amp; R$2 &amp; "'!$A:$A"), INDIRECT("'" &amp; R$2 &amp; "'!$B:$B"), "")&lt;&gt;"", "✓", "✗"), "✗")
)</f>
        <v>✗</v>
      </c>
      <c r="S53" t="str" cm="1">
        <f t="array" aca="1" ref="S53" ca="1">IF(
    ISNUMBER(VALUE(LEFT($A53, 1))),
    "",
    IFERROR(IF(_xlfn.XLOOKUP($A53, INDIRECT("'" &amp; S$2 &amp; "'!$A:$A"), INDIRECT("'" &amp; S$2 &amp; "'!$B:$B"), "")&lt;&gt;"", "✓", "✗"), "✗")
)</f>
        <v>✗</v>
      </c>
      <c r="T53" t="str" cm="1">
        <f t="array" aca="1" ref="T53" ca="1">IF(
    ISNUMBER(VALUE(LEFT($A53, 1))),
    "",
    IFERROR(IF(_xlfn.XLOOKUP($A53, INDIRECT("'" &amp; T$2 &amp; "'!$A:$A"), INDIRECT("'" &amp; T$2 &amp; "'!$B:$B"), "")&lt;&gt;"", "✓", "✗"), "✗")
)</f>
        <v>✗</v>
      </c>
      <c r="U53" t="str" cm="1">
        <f t="array" aca="1" ref="U53" ca="1">IF(
    ISNUMBER(VALUE(LEFT($A53, 1))),
    "",
    IFERROR(IF(_xlfn.XLOOKUP($A53, INDIRECT("'" &amp; U$2 &amp; "'!$A:$A"), INDIRECT("'" &amp; U$2 &amp; "'!$B:$B"), "")&lt;&gt;"", "✓", "✗"), "✗")
)</f>
        <v>✗</v>
      </c>
      <c r="V53" t="str" cm="1">
        <f t="array" aca="1" ref="V53" ca="1">IF(
    ISNUMBER(VALUE(LEFT($A53, 1))),
    "",
    IFERROR(IF(_xlfn.XLOOKUP($A53, INDIRECT("'" &amp; V$2 &amp; "'!$A:$A"), INDIRECT("'" &amp; V$2 &amp; "'!$B:$B"), "")&lt;&gt;"", "✓", "✗"), "✗")
)</f>
        <v>✗</v>
      </c>
      <c r="W53" t="str" cm="1">
        <f t="array" aca="1" ref="W53" ca="1">IF(
    ISNUMBER(VALUE(LEFT($A53, 1))),
    "",
    IFERROR(IF(_xlfn.XLOOKUP($A53, INDIRECT("'" &amp; W$2 &amp; "'!$A:$A"), INDIRECT("'" &amp; W$2 &amp; "'!$B:$B"), "")&lt;&gt;"", "✓", "✗"), "✗")
)</f>
        <v>✗</v>
      </c>
      <c r="X53" t="str" cm="1">
        <f t="array" aca="1" ref="X53" ca="1">IF(
    ISNUMBER(VALUE(LEFT($A53, 1))),
    "",
    IFERROR(IF(_xlfn.XLOOKUP($A53, INDIRECT("'" &amp; X$2 &amp; "'!$A:$A"), INDIRECT("'" &amp; X$2 &amp; "'!$B:$B"), "")&lt;&gt;"", "✓", "✗"), "✗")
)</f>
        <v>✗</v>
      </c>
      <c r="Y53" t="str" cm="1">
        <f t="array" aca="1" ref="Y53" ca="1">IF(
    ISNUMBER(VALUE(LEFT($A53, 1))),
    "",
    IFERROR(IF(_xlfn.XLOOKUP($A53, INDIRECT("'" &amp; Y$2 &amp; "'!$A:$A"), INDIRECT("'" &amp; Y$2 &amp; "'!$B:$B"), "")&lt;&gt;"", "✓", "✗"), "✗")
)</f>
        <v>✗</v>
      </c>
      <c r="Z53" t="str" cm="1">
        <f t="array" aca="1" ref="Z53" ca="1">IF(
    ISNUMBER(VALUE(LEFT($A53, 1))),
    "",
    IFERROR(IF(_xlfn.XLOOKUP($A53, INDIRECT("'" &amp; Z$2 &amp; "'!$A:$A"), INDIRECT("'" &amp; Z$2 &amp; "'!$B:$B"), "")&lt;&gt;"", "✓", "✗"), "✗")
)</f>
        <v>✗</v>
      </c>
      <c r="AA53" t="str" cm="1">
        <f t="array" aca="1" ref="AA53" ca="1">IF(
    ISNUMBER(VALUE(LEFT($A53, 1))),
    "",
    IFERROR(IF(_xlfn.XLOOKUP($A53, INDIRECT("'" &amp; AA$2 &amp; "'!$A:$A"), INDIRECT("'" &amp; AA$2 &amp; "'!$B:$B"), "")&lt;&gt;"", "✓", "✗"), "✗")
)</f>
        <v>✓</v>
      </c>
      <c r="AB53" t="str" cm="1">
        <f t="array" aca="1" ref="AB53" ca="1">IF(
    ISNUMBER(VALUE(LEFT($A53, 1))),
    "",
    IFERROR(IF(_xlfn.XLOOKUP($A53, INDIRECT("'" &amp; AB$2 &amp; "'!$A:$A"), INDIRECT("'" &amp; AB$2 &amp; "'!$B:$B"), "")&lt;&gt;"", "✓", "✗"), "✗")
)</f>
        <v>✗</v>
      </c>
      <c r="AC53" t="str" cm="1">
        <f t="array" aca="1" ref="AC53" ca="1">IF(
    ISNUMBER(VALUE(LEFT($A53, 1))),
    "",
    IFERROR(IF(_xlfn.XLOOKUP($A53, INDIRECT("'" &amp; AC$2 &amp; "'!$A:$A"), INDIRECT("'" &amp; AC$2 &amp; "'!$B:$B"), "")&lt;&gt;"", "✓", "✗"), "✗")
)</f>
        <v>✗</v>
      </c>
      <c r="AD53" t="str" cm="1">
        <f t="array" aca="1" ref="AD53" ca="1">IF(
    ISNUMBER(VALUE(LEFT($A53, 1))),
    "",
    IFERROR(IF(_xlfn.XLOOKUP($A53, INDIRECT("'" &amp; AD$2 &amp; "'!$A:$A"), INDIRECT("'" &amp; AD$2 &amp; "'!$B:$B"), "")&lt;&gt;"", "✓", "✗"), "✗")
)</f>
        <v>✗</v>
      </c>
      <c r="AE53" t="str" cm="1">
        <f t="array" aca="1" ref="AE53" ca="1">IF(
    ISNUMBER(VALUE(LEFT($A53, 1))),
    "",
    IFERROR(IF(_xlfn.XLOOKUP($A53, INDIRECT("'" &amp; AE$2 &amp; "'!$A:$A"), INDIRECT("'" &amp; AE$2 &amp; "'!$B:$B"), "")&lt;&gt;"", "✓", "✗"), "✗")
)</f>
        <v>✗</v>
      </c>
      <c r="AF53" t="str" cm="1">
        <f t="array" aca="1" ref="AF53" ca="1">IF(
    ISNUMBER(VALUE(LEFT($A53, 1))),
    "",
    IFERROR(IF(_xlfn.XLOOKUP($A53, INDIRECT("'" &amp; AF$2 &amp; "'!$A:$A"), INDIRECT("'" &amp; AF$2 &amp; "'!$B:$B"), "")&lt;&gt;"", "✓", "✗"), "✗")
)</f>
        <v>✗</v>
      </c>
      <c r="AG53" t="str" cm="1">
        <f t="array" aca="1" ref="AG53" ca="1">IF(
    ISNUMBER(VALUE(LEFT($A53, 1))),
    "",
    IFERROR(IF(_xlfn.XLOOKUP($A53, INDIRECT("'" &amp; AG$2 &amp; "'!$A:$A"), INDIRECT("'" &amp; AG$2 &amp; "'!$B:$B"), "")&lt;&gt;"", "✓", "✗"), "✗")
)</f>
        <v>✗</v>
      </c>
    </row>
    <row r="54" spans="1:33" x14ac:dyDescent="0.45">
      <c r="A54" t="str">
        <v>5 - Legacy Tracking Parameters</v>
      </c>
      <c r="B54" t="str" cm="1">
        <f t="array" aca="1" ref="B54" ca="1">IF(
    ISNUMBER(VALUE(LEFT($A54, 1))),
    "",
    IFERROR(IF(_xlfn.XLOOKUP($A54, INDIRECT("'" &amp; B$2 &amp; "'!$A:$A"), INDIRECT("'" &amp; B$2 &amp; "'!$B:$B"), "")&lt;&gt;"", "✓", "✗"), "✗")
)</f>
        <v/>
      </c>
      <c r="C54" t="str" cm="1">
        <f t="array" aca="1" ref="C54" ca="1">IF(
    ISNUMBER(VALUE(LEFT($A54, 1))),
    "",
    IFERROR(IF(_xlfn.XLOOKUP($A54, INDIRECT("'" &amp; C$2 &amp; "'!$A:$A"), INDIRECT("'" &amp; C$2 &amp; "'!$B:$B"), "")&lt;&gt;"", "✓", "✗"), "✗")
)</f>
        <v/>
      </c>
      <c r="D54" t="str" cm="1">
        <f t="array" aca="1" ref="D54" ca="1">IF(
    ISNUMBER(VALUE(LEFT($A54, 1))),
    "",
    IFERROR(IF(_xlfn.XLOOKUP($A54, INDIRECT("'" &amp; D$2 &amp; "'!$A:$A"), INDIRECT("'" &amp; D$2 &amp; "'!$B:$B"), "")&lt;&gt;"", "✓", "✗"), "✗")
)</f>
        <v/>
      </c>
      <c r="E54" t="str" cm="1">
        <f t="array" aca="1" ref="E54" ca="1">IF(
    ISNUMBER(VALUE(LEFT($A54, 1))),
    "",
    IFERROR(IF(_xlfn.XLOOKUP($A54, INDIRECT("'" &amp; E$2 &amp; "'!$A:$A"), INDIRECT("'" &amp; E$2 &amp; "'!$B:$B"), "")&lt;&gt;"", "✓", "✗"), "✗")
)</f>
        <v/>
      </c>
      <c r="F54" t="str" cm="1">
        <f t="array" aca="1" ref="F54" ca="1">IF(
    ISNUMBER(VALUE(LEFT($A54, 1))),
    "",
    IFERROR(IF(_xlfn.XLOOKUP($A54, INDIRECT("'" &amp; F$2 &amp; "'!$A:$A"), INDIRECT("'" &amp; F$2 &amp; "'!$B:$B"), "")&lt;&gt;"", "✓", "✗"), "✗")
)</f>
        <v/>
      </c>
      <c r="G54" t="str" cm="1">
        <f t="array" aca="1" ref="G54" ca="1">IF(
    ISNUMBER(VALUE(LEFT($A54, 1))),
    "",
    IFERROR(IF(_xlfn.XLOOKUP($A54, INDIRECT("'" &amp; G$2 &amp; "'!$A:$A"), INDIRECT("'" &amp; G$2 &amp; "'!$B:$B"), "")&lt;&gt;"", "✓", "✗"), "✗")
)</f>
        <v/>
      </c>
      <c r="H54" t="str" cm="1">
        <f t="array" aca="1" ref="H54" ca="1">IF(
    ISNUMBER(VALUE(LEFT($A54, 1))),
    "",
    IFERROR(IF(_xlfn.XLOOKUP($A54, INDIRECT("'" &amp; H$2 &amp; "'!$A:$A"), INDIRECT("'" &amp; H$2 &amp; "'!$B:$B"), "")&lt;&gt;"", "✓", "✗"), "✗")
)</f>
        <v/>
      </c>
      <c r="I54" t="str" cm="1">
        <f t="array" aca="1" ref="I54" ca="1">IF(
    ISNUMBER(VALUE(LEFT($A54, 1))),
    "",
    IFERROR(IF(_xlfn.XLOOKUP($A54, INDIRECT("'" &amp; I$2 &amp; "'!$A:$A"), INDIRECT("'" &amp; I$2 &amp; "'!$B:$B"), "")&lt;&gt;"", "✓", "✗"), "✗")
)</f>
        <v/>
      </c>
      <c r="J54" t="str" cm="1">
        <f t="array" aca="1" ref="J54" ca="1">IF(
    ISNUMBER(VALUE(LEFT($A54, 1))),
    "",
    IFERROR(IF(_xlfn.XLOOKUP($A54, INDIRECT("'" &amp; J$2 &amp; "'!$A:$A"), INDIRECT("'" &amp; J$2 &amp; "'!$B:$B"), "")&lt;&gt;"", "✓", "✗"), "✗")
)</f>
        <v/>
      </c>
      <c r="K54" t="str" cm="1">
        <f t="array" aca="1" ref="K54" ca="1">IF(
    ISNUMBER(VALUE(LEFT($A54, 1))),
    "",
    IFERROR(IF(_xlfn.XLOOKUP($A54, INDIRECT("'" &amp; K$2 &amp; "'!$A:$A"), INDIRECT("'" &amp; K$2 &amp; "'!$B:$B"), "")&lt;&gt;"", "✓", "✗"), "✗")
)</f>
        <v/>
      </c>
      <c r="L54" t="str" cm="1">
        <f t="array" aca="1" ref="L54" ca="1">IF(
    ISNUMBER(VALUE(LEFT($A54, 1))),
    "",
    IFERROR(IF(_xlfn.XLOOKUP($A54, INDIRECT("'" &amp; L$2 &amp; "'!$A:$A"), INDIRECT("'" &amp; L$2 &amp; "'!$B:$B"), "")&lt;&gt;"", "✓", "✗"), "✗")
)</f>
        <v/>
      </c>
      <c r="M54" t="str" cm="1">
        <f t="array" aca="1" ref="M54" ca="1">IF(
    ISNUMBER(VALUE(LEFT($A54, 1))),
    "",
    IFERROR(IF(_xlfn.XLOOKUP($A54, INDIRECT("'" &amp; M$2 &amp; "'!$A:$A"), INDIRECT("'" &amp; M$2 &amp; "'!$B:$B"), "")&lt;&gt;"", "✓", "✗"), "✗")
)</f>
        <v/>
      </c>
      <c r="N54" t="str" cm="1">
        <f t="array" aca="1" ref="N54" ca="1">IF(
    ISNUMBER(VALUE(LEFT($A54, 1))),
    "",
    IFERROR(IF(_xlfn.XLOOKUP($A54, INDIRECT("'" &amp; N$2 &amp; "'!$A:$A"), INDIRECT("'" &amp; N$2 &amp; "'!$B:$B"), "")&lt;&gt;"", "✓", "✗"), "✗")
)</f>
        <v/>
      </c>
      <c r="O54" t="str" cm="1">
        <f t="array" aca="1" ref="O54" ca="1">IF(
    ISNUMBER(VALUE(LEFT($A54, 1))),
    "",
    IFERROR(IF(_xlfn.XLOOKUP($A54, INDIRECT("'" &amp; O$2 &amp; "'!$A:$A"), INDIRECT("'" &amp; O$2 &amp; "'!$B:$B"), "")&lt;&gt;"", "✓", "✗"), "✗")
)</f>
        <v/>
      </c>
      <c r="P54" t="str" cm="1">
        <f t="array" aca="1" ref="P54" ca="1">IF(
    ISNUMBER(VALUE(LEFT($A54, 1))),
    "",
    IFERROR(IF(_xlfn.XLOOKUP($A54, INDIRECT("'" &amp; P$2 &amp; "'!$A:$A"), INDIRECT("'" &amp; P$2 &amp; "'!$B:$B"), "")&lt;&gt;"", "✓", "✗"), "✗")
)</f>
        <v/>
      </c>
      <c r="Q54" t="str" cm="1">
        <f t="array" aca="1" ref="Q54" ca="1">IF(
    ISNUMBER(VALUE(LEFT($A54, 1))),
    "",
    IFERROR(IF(_xlfn.XLOOKUP($A54, INDIRECT("'" &amp; Q$2 &amp; "'!$A:$A"), INDIRECT("'" &amp; Q$2 &amp; "'!$B:$B"), "")&lt;&gt;"", "✓", "✗"), "✗")
)</f>
        <v/>
      </c>
      <c r="R54" t="str" cm="1">
        <f t="array" aca="1" ref="R54" ca="1">IF(
    ISNUMBER(VALUE(LEFT($A54, 1))),
    "",
    IFERROR(IF(_xlfn.XLOOKUP($A54, INDIRECT("'" &amp; R$2 &amp; "'!$A:$A"), INDIRECT("'" &amp; R$2 &amp; "'!$B:$B"), "")&lt;&gt;"", "✓", "✗"), "✗")
)</f>
        <v/>
      </c>
      <c r="S54" t="str" cm="1">
        <f t="array" aca="1" ref="S54" ca="1">IF(
    ISNUMBER(VALUE(LEFT($A54, 1))),
    "",
    IFERROR(IF(_xlfn.XLOOKUP($A54, INDIRECT("'" &amp; S$2 &amp; "'!$A:$A"), INDIRECT("'" &amp; S$2 &amp; "'!$B:$B"), "")&lt;&gt;"", "✓", "✗"), "✗")
)</f>
        <v/>
      </c>
      <c r="T54" t="str" cm="1">
        <f t="array" aca="1" ref="T54" ca="1">IF(
    ISNUMBER(VALUE(LEFT($A54, 1))),
    "",
    IFERROR(IF(_xlfn.XLOOKUP($A54, INDIRECT("'" &amp; T$2 &amp; "'!$A:$A"), INDIRECT("'" &amp; T$2 &amp; "'!$B:$B"), "")&lt;&gt;"", "✓", "✗"), "✗")
)</f>
        <v/>
      </c>
      <c r="U54" t="str" cm="1">
        <f t="array" aca="1" ref="U54" ca="1">IF(
    ISNUMBER(VALUE(LEFT($A54, 1))),
    "",
    IFERROR(IF(_xlfn.XLOOKUP($A54, INDIRECT("'" &amp; U$2 &amp; "'!$A:$A"), INDIRECT("'" &amp; U$2 &amp; "'!$B:$B"), "")&lt;&gt;"", "✓", "✗"), "✗")
)</f>
        <v/>
      </c>
      <c r="V54" t="str" cm="1">
        <f t="array" aca="1" ref="V54" ca="1">IF(
    ISNUMBER(VALUE(LEFT($A54, 1))),
    "",
    IFERROR(IF(_xlfn.XLOOKUP($A54, INDIRECT("'" &amp; V$2 &amp; "'!$A:$A"), INDIRECT("'" &amp; V$2 &amp; "'!$B:$B"), "")&lt;&gt;"", "✓", "✗"), "✗")
)</f>
        <v/>
      </c>
      <c r="W54" t="str" cm="1">
        <f t="array" aca="1" ref="W54" ca="1">IF(
    ISNUMBER(VALUE(LEFT($A54, 1))),
    "",
    IFERROR(IF(_xlfn.XLOOKUP($A54, INDIRECT("'" &amp; W$2 &amp; "'!$A:$A"), INDIRECT("'" &amp; W$2 &amp; "'!$B:$B"), "")&lt;&gt;"", "✓", "✗"), "✗")
)</f>
        <v/>
      </c>
      <c r="X54" t="str" cm="1">
        <f t="array" aca="1" ref="X54" ca="1">IF(
    ISNUMBER(VALUE(LEFT($A54, 1))),
    "",
    IFERROR(IF(_xlfn.XLOOKUP($A54, INDIRECT("'" &amp; X$2 &amp; "'!$A:$A"), INDIRECT("'" &amp; X$2 &amp; "'!$B:$B"), "")&lt;&gt;"", "✓", "✗"), "✗")
)</f>
        <v/>
      </c>
      <c r="Y54" t="str" cm="1">
        <f t="array" aca="1" ref="Y54" ca="1">IF(
    ISNUMBER(VALUE(LEFT($A54, 1))),
    "",
    IFERROR(IF(_xlfn.XLOOKUP($A54, INDIRECT("'" &amp; Y$2 &amp; "'!$A:$A"), INDIRECT("'" &amp; Y$2 &amp; "'!$B:$B"), "")&lt;&gt;"", "✓", "✗"), "✗")
)</f>
        <v/>
      </c>
      <c r="Z54" t="str" cm="1">
        <f t="array" aca="1" ref="Z54" ca="1">IF(
    ISNUMBER(VALUE(LEFT($A54, 1))),
    "",
    IFERROR(IF(_xlfn.XLOOKUP($A54, INDIRECT("'" &amp; Z$2 &amp; "'!$A:$A"), INDIRECT("'" &amp; Z$2 &amp; "'!$B:$B"), "")&lt;&gt;"", "✓", "✗"), "✗")
)</f>
        <v/>
      </c>
      <c r="AA54" t="str" cm="1">
        <f t="array" aca="1" ref="AA54" ca="1">IF(
    ISNUMBER(VALUE(LEFT($A54, 1))),
    "",
    IFERROR(IF(_xlfn.XLOOKUP($A54, INDIRECT("'" &amp; AA$2 &amp; "'!$A:$A"), INDIRECT("'" &amp; AA$2 &amp; "'!$B:$B"), "")&lt;&gt;"", "✓", "✗"), "✗")
)</f>
        <v/>
      </c>
      <c r="AB54" t="str" cm="1">
        <f t="array" aca="1" ref="AB54" ca="1">IF(
    ISNUMBER(VALUE(LEFT($A54, 1))),
    "",
    IFERROR(IF(_xlfn.XLOOKUP($A54, INDIRECT("'" &amp; AB$2 &amp; "'!$A:$A"), INDIRECT("'" &amp; AB$2 &amp; "'!$B:$B"), "")&lt;&gt;"", "✓", "✗"), "✗")
)</f>
        <v/>
      </c>
      <c r="AC54" t="str" cm="1">
        <f t="array" aca="1" ref="AC54" ca="1">IF(
    ISNUMBER(VALUE(LEFT($A54, 1))),
    "",
    IFERROR(IF(_xlfn.XLOOKUP($A54, INDIRECT("'" &amp; AC$2 &amp; "'!$A:$A"), INDIRECT("'" &amp; AC$2 &amp; "'!$B:$B"), "")&lt;&gt;"", "✓", "✗"), "✗")
)</f>
        <v/>
      </c>
      <c r="AD54" t="str" cm="1">
        <f t="array" aca="1" ref="AD54" ca="1">IF(
    ISNUMBER(VALUE(LEFT($A54, 1))),
    "",
    IFERROR(IF(_xlfn.XLOOKUP($A54, INDIRECT("'" &amp; AD$2 &amp; "'!$A:$A"), INDIRECT("'" &amp; AD$2 &amp; "'!$B:$B"), "")&lt;&gt;"", "✓", "✗"), "✗")
)</f>
        <v/>
      </c>
      <c r="AE54" t="str" cm="1">
        <f t="array" aca="1" ref="AE54" ca="1">IF(
    ISNUMBER(VALUE(LEFT($A54, 1))),
    "",
    IFERROR(IF(_xlfn.XLOOKUP($A54, INDIRECT("'" &amp; AE$2 &amp; "'!$A:$A"), INDIRECT("'" &amp; AE$2 &amp; "'!$B:$B"), "")&lt;&gt;"", "✓", "✗"), "✗")
)</f>
        <v/>
      </c>
      <c r="AF54" t="str" cm="1">
        <f t="array" aca="1" ref="AF54" ca="1">IF(
    ISNUMBER(VALUE(LEFT($A54, 1))),
    "",
    IFERROR(IF(_xlfn.XLOOKUP($A54, INDIRECT("'" &amp; AF$2 &amp; "'!$A:$A"), INDIRECT("'" &amp; AF$2 &amp; "'!$B:$B"), "")&lt;&gt;"", "✓", "✗"), "✗")
)</f>
        <v/>
      </c>
      <c r="AG54" t="str" cm="1">
        <f t="array" aca="1" ref="AG54" ca="1">IF(
    ISNUMBER(VALUE(LEFT($A54, 1))),
    "",
    IFERROR(IF(_xlfn.XLOOKUP($A54, INDIRECT("'" &amp; AG$2 &amp; "'!$A:$A"), INDIRECT("'" &amp; AG$2 &amp; "'!$B:$B"), "")&lt;&gt;"", "✓", "✗"), "✗")
)</f>
        <v/>
      </c>
    </row>
    <row r="55" spans="1:33" x14ac:dyDescent="0.45">
      <c r="A55" t="str">
        <v>Campaign Name</v>
      </c>
      <c r="B55" t="str" cm="1">
        <f t="array" aca="1" ref="B55" ca="1">IF(
    ISNUMBER(VALUE(LEFT($A55, 1))),
    "",
    IFERROR(IF(_xlfn.XLOOKUP($A55, INDIRECT("'" &amp; B$2 &amp; "'!$A:$A"), INDIRECT("'" &amp; B$2 &amp; "'!$B:$B"), "")&lt;&gt;"", "✓", "✗"), "✗")
)</f>
        <v>✓</v>
      </c>
      <c r="C55" t="str" cm="1">
        <f t="array" aca="1" ref="C55" ca="1">IF(
    ISNUMBER(VALUE(LEFT($A55, 1))),
    "",
    IFERROR(IF(_xlfn.XLOOKUP($A55, INDIRECT("'" &amp; C$2 &amp; "'!$A:$A"), INDIRECT("'" &amp; C$2 &amp; "'!$B:$B"), "")&lt;&gt;"", "✓", "✗"), "✗")
)</f>
        <v>✓</v>
      </c>
      <c r="D55" t="str" cm="1">
        <f t="array" aca="1" ref="D55" ca="1">IF(
    ISNUMBER(VALUE(LEFT($A55, 1))),
    "",
    IFERROR(IF(_xlfn.XLOOKUP($A55, INDIRECT("'" &amp; D$2 &amp; "'!$A:$A"), INDIRECT("'" &amp; D$2 &amp; "'!$B:$B"), "")&lt;&gt;"", "✓", "✗"), "✗")
)</f>
        <v>✓</v>
      </c>
      <c r="E55" t="str" cm="1">
        <f t="array" aca="1" ref="E55" ca="1">IF(
    ISNUMBER(VALUE(LEFT($A55, 1))),
    "",
    IFERROR(IF(_xlfn.XLOOKUP($A55, INDIRECT("'" &amp; E$2 &amp; "'!$A:$A"), INDIRECT("'" &amp; E$2 &amp; "'!$B:$B"), "")&lt;&gt;"", "✓", "✗"), "✗")
)</f>
        <v>✓</v>
      </c>
      <c r="F55" t="str" cm="1">
        <f t="array" aca="1" ref="F55" ca="1">IF(
    ISNUMBER(VALUE(LEFT($A55, 1))),
    "",
    IFERROR(IF(_xlfn.XLOOKUP($A55, INDIRECT("'" &amp; F$2 &amp; "'!$A:$A"), INDIRECT("'" &amp; F$2 &amp; "'!$B:$B"), "")&lt;&gt;"", "✓", "✗"), "✗")
)</f>
        <v>✓</v>
      </c>
      <c r="G55" t="str" cm="1">
        <f t="array" aca="1" ref="G55" ca="1">IF(
    ISNUMBER(VALUE(LEFT($A55, 1))),
    "",
    IFERROR(IF(_xlfn.XLOOKUP($A55, INDIRECT("'" &amp; G$2 &amp; "'!$A:$A"), INDIRECT("'" &amp; G$2 &amp; "'!$B:$B"), "")&lt;&gt;"", "✓", "✗"), "✗")
)</f>
        <v>✓</v>
      </c>
      <c r="H55" t="str" cm="1">
        <f t="array" aca="1" ref="H55" ca="1">IF(
    ISNUMBER(VALUE(LEFT($A55, 1))),
    "",
    IFERROR(IF(_xlfn.XLOOKUP($A55, INDIRECT("'" &amp; H$2 &amp; "'!$A:$A"), INDIRECT("'" &amp; H$2 &amp; "'!$B:$B"), "")&lt;&gt;"", "✓", "✗"), "✗")
)</f>
        <v>✓</v>
      </c>
      <c r="I55" t="str" cm="1">
        <f t="array" aca="1" ref="I55" ca="1">IF(
    ISNUMBER(VALUE(LEFT($A55, 1))),
    "",
    IFERROR(IF(_xlfn.XLOOKUP($A55, INDIRECT("'" &amp; I$2 &amp; "'!$A:$A"), INDIRECT("'" &amp; I$2 &amp; "'!$B:$B"), "")&lt;&gt;"", "✓", "✗"), "✗")
)</f>
        <v>✓</v>
      </c>
      <c r="J55" t="str" cm="1">
        <f t="array" aca="1" ref="J55" ca="1">IF(
    ISNUMBER(VALUE(LEFT($A55, 1))),
    "",
    IFERROR(IF(_xlfn.XLOOKUP($A55, INDIRECT("'" &amp; J$2 &amp; "'!$A:$A"), INDIRECT("'" &amp; J$2 &amp; "'!$B:$B"), "")&lt;&gt;"", "✓", "✗"), "✗")
)</f>
        <v>✓</v>
      </c>
      <c r="K55" t="str" cm="1">
        <f t="array" aca="1" ref="K55" ca="1">IF(
    ISNUMBER(VALUE(LEFT($A55, 1))),
    "",
    IFERROR(IF(_xlfn.XLOOKUP($A55, INDIRECT("'" &amp; K$2 &amp; "'!$A:$A"), INDIRECT("'" &amp; K$2 &amp; "'!$B:$B"), "")&lt;&gt;"", "✓", "✗"), "✗")
)</f>
        <v>✓</v>
      </c>
      <c r="L55" t="str" cm="1">
        <f t="array" aca="1" ref="L55" ca="1">IF(
    ISNUMBER(VALUE(LEFT($A55, 1))),
    "",
    IFERROR(IF(_xlfn.XLOOKUP($A55, INDIRECT("'" &amp; L$2 &amp; "'!$A:$A"), INDIRECT("'" &amp; L$2 &amp; "'!$B:$B"), "")&lt;&gt;"", "✓", "✗"), "✗")
)</f>
        <v>✓</v>
      </c>
      <c r="M55" t="str" cm="1">
        <f t="array" aca="1" ref="M55" ca="1">IF(
    ISNUMBER(VALUE(LEFT($A55, 1))),
    "",
    IFERROR(IF(_xlfn.XLOOKUP($A55, INDIRECT("'" &amp; M$2 &amp; "'!$A:$A"), INDIRECT("'" &amp; M$2 &amp; "'!$B:$B"), "")&lt;&gt;"", "✓", "✗"), "✗")
)</f>
        <v>✓</v>
      </c>
      <c r="N55" t="str" cm="1">
        <f t="array" aca="1" ref="N55" ca="1">IF(
    ISNUMBER(VALUE(LEFT($A55, 1))),
    "",
    IFERROR(IF(_xlfn.XLOOKUP($A55, INDIRECT("'" &amp; N$2 &amp; "'!$A:$A"), INDIRECT("'" &amp; N$2 &amp; "'!$B:$B"), "")&lt;&gt;"", "✓", "✗"), "✗")
)</f>
        <v>✓</v>
      </c>
      <c r="O55" t="str" cm="1">
        <f t="array" aca="1" ref="O55" ca="1">IF(
    ISNUMBER(VALUE(LEFT($A55, 1))),
    "",
    IFERROR(IF(_xlfn.XLOOKUP($A55, INDIRECT("'" &amp; O$2 &amp; "'!$A:$A"), INDIRECT("'" &amp; O$2 &amp; "'!$B:$B"), "")&lt;&gt;"", "✓", "✗"), "✗")
)</f>
        <v>✓</v>
      </c>
      <c r="P55" t="str" cm="1">
        <f t="array" aca="1" ref="P55" ca="1">IF(
    ISNUMBER(VALUE(LEFT($A55, 1))),
    "",
    IFERROR(IF(_xlfn.XLOOKUP($A55, INDIRECT("'" &amp; P$2 &amp; "'!$A:$A"), INDIRECT("'" &amp; P$2 &amp; "'!$B:$B"), "")&lt;&gt;"", "✓", "✗"), "✗")
)</f>
        <v>✓</v>
      </c>
      <c r="Q55" t="str" cm="1">
        <f t="array" aca="1" ref="Q55" ca="1">IF(
    ISNUMBER(VALUE(LEFT($A55, 1))),
    "",
    IFERROR(IF(_xlfn.XLOOKUP($A55, INDIRECT("'" &amp; Q$2 &amp; "'!$A:$A"), INDIRECT("'" &amp; Q$2 &amp; "'!$B:$B"), "")&lt;&gt;"", "✓", "✗"), "✗")
)</f>
        <v>✓</v>
      </c>
      <c r="R55" t="str" cm="1">
        <f t="array" aca="1" ref="R55" ca="1">IF(
    ISNUMBER(VALUE(LEFT($A55, 1))),
    "",
    IFERROR(IF(_xlfn.XLOOKUP($A55, INDIRECT("'" &amp; R$2 &amp; "'!$A:$A"), INDIRECT("'" &amp; R$2 &amp; "'!$B:$B"), "")&lt;&gt;"", "✓", "✗"), "✗")
)</f>
        <v>✓</v>
      </c>
      <c r="S55" t="str" cm="1">
        <f t="array" aca="1" ref="S55" ca="1">IF(
    ISNUMBER(VALUE(LEFT($A55, 1))),
    "",
    IFERROR(IF(_xlfn.XLOOKUP($A55, INDIRECT("'" &amp; S$2 &amp; "'!$A:$A"), INDIRECT("'" &amp; S$2 &amp; "'!$B:$B"), "")&lt;&gt;"", "✓", "✗"), "✗")
)</f>
        <v>✓</v>
      </c>
      <c r="T55" t="str" cm="1">
        <f t="array" aca="1" ref="T55" ca="1">IF(
    ISNUMBER(VALUE(LEFT($A55, 1))),
    "",
    IFERROR(IF(_xlfn.XLOOKUP($A55, INDIRECT("'" &amp; T$2 &amp; "'!$A:$A"), INDIRECT("'" &amp; T$2 &amp; "'!$B:$B"), "")&lt;&gt;"", "✓", "✗"), "✗")
)</f>
        <v>✓</v>
      </c>
      <c r="U55" t="str" cm="1">
        <f t="array" aca="1" ref="U55" ca="1">IF(
    ISNUMBER(VALUE(LEFT($A55, 1))),
    "",
    IFERROR(IF(_xlfn.XLOOKUP($A55, INDIRECT("'" &amp; U$2 &amp; "'!$A:$A"), INDIRECT("'" &amp; U$2 &amp; "'!$B:$B"), "")&lt;&gt;"", "✓", "✗"), "✗")
)</f>
        <v>✓</v>
      </c>
      <c r="V55" t="str" cm="1">
        <f t="array" aca="1" ref="V55" ca="1">IF(
    ISNUMBER(VALUE(LEFT($A55, 1))),
    "",
    IFERROR(IF(_xlfn.XLOOKUP($A55, INDIRECT("'" &amp; V$2 &amp; "'!$A:$A"), INDIRECT("'" &amp; V$2 &amp; "'!$B:$B"), "")&lt;&gt;"", "✓", "✗"), "✗")
)</f>
        <v>✓</v>
      </c>
      <c r="W55" t="str" cm="1">
        <f t="array" aca="1" ref="W55" ca="1">IF(
    ISNUMBER(VALUE(LEFT($A55, 1))),
    "",
    IFERROR(IF(_xlfn.XLOOKUP($A55, INDIRECT("'" &amp; W$2 &amp; "'!$A:$A"), INDIRECT("'" &amp; W$2 &amp; "'!$B:$B"), "")&lt;&gt;"", "✓", "✗"), "✗")
)</f>
        <v>✓</v>
      </c>
      <c r="X55" t="str" cm="1">
        <f t="array" aca="1" ref="X55" ca="1">IF(
    ISNUMBER(VALUE(LEFT($A55, 1))),
    "",
    IFERROR(IF(_xlfn.XLOOKUP($A55, INDIRECT("'" &amp; X$2 &amp; "'!$A:$A"), INDIRECT("'" &amp; X$2 &amp; "'!$B:$B"), "")&lt;&gt;"", "✓", "✗"), "✗")
)</f>
        <v>✓</v>
      </c>
      <c r="Y55" t="str" cm="1">
        <f t="array" aca="1" ref="Y55" ca="1">IF(
    ISNUMBER(VALUE(LEFT($A55, 1))),
    "",
    IFERROR(IF(_xlfn.XLOOKUP($A55, INDIRECT("'" &amp; Y$2 &amp; "'!$A:$A"), INDIRECT("'" &amp; Y$2 &amp; "'!$B:$B"), "")&lt;&gt;"", "✓", "✗"), "✗")
)</f>
        <v>✓</v>
      </c>
      <c r="Z55" t="str" cm="1">
        <f t="array" aca="1" ref="Z55" ca="1">IF(
    ISNUMBER(VALUE(LEFT($A55, 1))),
    "",
    IFERROR(IF(_xlfn.XLOOKUP($A55, INDIRECT("'" &amp; Z$2 &amp; "'!$A:$A"), INDIRECT("'" &amp; Z$2 &amp; "'!$B:$B"), "")&lt;&gt;"", "✓", "✗"), "✗")
)</f>
        <v>✓</v>
      </c>
      <c r="AA55" t="str" cm="1">
        <f t="array" aca="1" ref="AA55" ca="1">IF(
    ISNUMBER(VALUE(LEFT($A55, 1))),
    "",
    IFERROR(IF(_xlfn.XLOOKUP($A55, INDIRECT("'" &amp; AA$2 &amp; "'!$A:$A"), INDIRECT("'" &amp; AA$2 &amp; "'!$B:$B"), "")&lt;&gt;"", "✓", "✗"), "✗")
)</f>
        <v>✓</v>
      </c>
      <c r="AB55" t="str" cm="1">
        <f t="array" aca="1" ref="AB55" ca="1">IF(
    ISNUMBER(VALUE(LEFT($A55, 1))),
    "",
    IFERROR(IF(_xlfn.XLOOKUP($A55, INDIRECT("'" &amp; AB$2 &amp; "'!$A:$A"), INDIRECT("'" &amp; AB$2 &amp; "'!$B:$B"), "")&lt;&gt;"", "✓", "✗"), "✗")
)</f>
        <v>✓</v>
      </c>
      <c r="AC55" t="str" cm="1">
        <f t="array" aca="1" ref="AC55" ca="1">IF(
    ISNUMBER(VALUE(LEFT($A55, 1))),
    "",
    IFERROR(IF(_xlfn.XLOOKUP($A55, INDIRECT("'" &amp; AC$2 &amp; "'!$A:$A"), INDIRECT("'" &amp; AC$2 &amp; "'!$B:$B"), "")&lt;&gt;"", "✓", "✗"), "✗")
)</f>
        <v>✗</v>
      </c>
      <c r="AD55" t="str" cm="1">
        <f t="array" aca="1" ref="AD55" ca="1">IF(
    ISNUMBER(VALUE(LEFT($A55, 1))),
    "",
    IFERROR(IF(_xlfn.XLOOKUP($A55, INDIRECT("'" &amp; AD$2 &amp; "'!$A:$A"), INDIRECT("'" &amp; AD$2 &amp; "'!$B:$B"), "")&lt;&gt;"", "✓", "✗"), "✗")
)</f>
        <v>✗</v>
      </c>
      <c r="AE55" t="str" cm="1">
        <f t="array" aca="1" ref="AE55" ca="1">IF(
    ISNUMBER(VALUE(LEFT($A55, 1))),
    "",
    IFERROR(IF(_xlfn.XLOOKUP($A55, INDIRECT("'" &amp; AE$2 &amp; "'!$A:$A"), INDIRECT("'" &amp; AE$2 &amp; "'!$B:$B"), "")&lt;&gt;"", "✓", "✗"), "✗")
)</f>
        <v>✓</v>
      </c>
      <c r="AF55" t="str" cm="1">
        <f t="array" aca="1" ref="AF55" ca="1">IF(
    ISNUMBER(VALUE(LEFT($A55, 1))),
    "",
    IFERROR(IF(_xlfn.XLOOKUP($A55, INDIRECT("'" &amp; AF$2 &amp; "'!$A:$A"), INDIRECT("'" &amp; AF$2 &amp; "'!$B:$B"), "")&lt;&gt;"", "✓", "✗"), "✗")
)</f>
        <v>✓</v>
      </c>
      <c r="AG55" t="str" cm="1">
        <f t="array" aca="1" ref="AG55" ca="1">IF(
    ISNUMBER(VALUE(LEFT($A55, 1))),
    "",
    IFERROR(IF(_xlfn.XLOOKUP($A55, INDIRECT("'" &amp; AG$2 &amp; "'!$A:$A"), INDIRECT("'" &amp; AG$2 &amp; "'!$B:$B"), "")&lt;&gt;"", "✓", "✗"), "✗")
)</f>
        <v>✓</v>
      </c>
    </row>
    <row r="56" spans="1:33" x14ac:dyDescent="0.45">
      <c r="A56" t="str">
        <v>Program Name</v>
      </c>
      <c r="B56" t="str" cm="1">
        <f t="array" aca="1" ref="B56" ca="1">IF(
    ISNUMBER(VALUE(LEFT($A56, 1))),
    "",
    IFERROR(IF(_xlfn.XLOOKUP($A56, INDIRECT("'" &amp; B$2 &amp; "'!$A:$A"), INDIRECT("'" &amp; B$2 &amp; "'!$B:$B"), "")&lt;&gt;"", "✓", "✗"), "✗")
)</f>
        <v>✓</v>
      </c>
      <c r="C56" t="str" cm="1">
        <f t="array" aca="1" ref="C56" ca="1">IF(
    ISNUMBER(VALUE(LEFT($A56, 1))),
    "",
    IFERROR(IF(_xlfn.XLOOKUP($A56, INDIRECT("'" &amp; C$2 &amp; "'!$A:$A"), INDIRECT("'" &amp; C$2 &amp; "'!$B:$B"), "")&lt;&gt;"", "✓", "✗"), "✗")
)</f>
        <v>✓</v>
      </c>
      <c r="D56" t="str" cm="1">
        <f t="array" aca="1" ref="D56" ca="1">IF(
    ISNUMBER(VALUE(LEFT($A56, 1))),
    "",
    IFERROR(IF(_xlfn.XLOOKUP($A56, INDIRECT("'" &amp; D$2 &amp; "'!$A:$A"), INDIRECT("'" &amp; D$2 &amp; "'!$B:$B"), "")&lt;&gt;"", "✓", "✗"), "✗")
)</f>
        <v>✓</v>
      </c>
      <c r="E56" t="str" cm="1">
        <f t="array" aca="1" ref="E56" ca="1">IF(
    ISNUMBER(VALUE(LEFT($A56, 1))),
    "",
    IFERROR(IF(_xlfn.XLOOKUP($A56, INDIRECT("'" &amp; E$2 &amp; "'!$A:$A"), INDIRECT("'" &amp; E$2 &amp; "'!$B:$B"), "")&lt;&gt;"", "✓", "✗"), "✗")
)</f>
        <v>✓</v>
      </c>
      <c r="F56" t="str" cm="1">
        <f t="array" aca="1" ref="F56" ca="1">IF(
    ISNUMBER(VALUE(LEFT($A56, 1))),
    "",
    IFERROR(IF(_xlfn.XLOOKUP($A56, INDIRECT("'" &amp; F$2 &amp; "'!$A:$A"), INDIRECT("'" &amp; F$2 &amp; "'!$B:$B"), "")&lt;&gt;"", "✓", "✗"), "✗")
)</f>
        <v>✓</v>
      </c>
      <c r="G56" t="str" cm="1">
        <f t="array" aca="1" ref="G56" ca="1">IF(
    ISNUMBER(VALUE(LEFT($A56, 1))),
    "",
    IFERROR(IF(_xlfn.XLOOKUP($A56, INDIRECT("'" &amp; G$2 &amp; "'!$A:$A"), INDIRECT("'" &amp; G$2 &amp; "'!$B:$B"), "")&lt;&gt;"", "✓", "✗"), "✗")
)</f>
        <v>✓</v>
      </c>
      <c r="H56" t="str" cm="1">
        <f t="array" aca="1" ref="H56" ca="1">IF(
    ISNUMBER(VALUE(LEFT($A56, 1))),
    "",
    IFERROR(IF(_xlfn.XLOOKUP($A56, INDIRECT("'" &amp; H$2 &amp; "'!$A:$A"), INDIRECT("'" &amp; H$2 &amp; "'!$B:$B"), "")&lt;&gt;"", "✓", "✗"), "✗")
)</f>
        <v>✓</v>
      </c>
      <c r="I56" t="str" cm="1">
        <f t="array" aca="1" ref="I56" ca="1">IF(
    ISNUMBER(VALUE(LEFT($A56, 1))),
    "",
    IFERROR(IF(_xlfn.XLOOKUP($A56, INDIRECT("'" &amp; I$2 &amp; "'!$A:$A"), INDIRECT("'" &amp; I$2 &amp; "'!$B:$B"), "")&lt;&gt;"", "✓", "✗"), "✗")
)</f>
        <v>✓</v>
      </c>
      <c r="J56" t="str" cm="1">
        <f t="array" aca="1" ref="J56" ca="1">IF(
    ISNUMBER(VALUE(LEFT($A56, 1))),
    "",
    IFERROR(IF(_xlfn.XLOOKUP($A56, INDIRECT("'" &amp; J$2 &amp; "'!$A:$A"), INDIRECT("'" &amp; J$2 &amp; "'!$B:$B"), "")&lt;&gt;"", "✓", "✗"), "✗")
)</f>
        <v>✓</v>
      </c>
      <c r="K56" t="str" cm="1">
        <f t="array" aca="1" ref="K56" ca="1">IF(
    ISNUMBER(VALUE(LEFT($A56, 1))),
    "",
    IFERROR(IF(_xlfn.XLOOKUP($A56, INDIRECT("'" &amp; K$2 &amp; "'!$A:$A"), INDIRECT("'" &amp; K$2 &amp; "'!$B:$B"), "")&lt;&gt;"", "✓", "✗"), "✗")
)</f>
        <v>✓</v>
      </c>
      <c r="L56" t="str" cm="1">
        <f t="array" aca="1" ref="L56" ca="1">IF(
    ISNUMBER(VALUE(LEFT($A56, 1))),
    "",
    IFERROR(IF(_xlfn.XLOOKUP($A56, INDIRECT("'" &amp; L$2 &amp; "'!$A:$A"), INDIRECT("'" &amp; L$2 &amp; "'!$B:$B"), "")&lt;&gt;"", "✓", "✗"), "✗")
)</f>
        <v>✓</v>
      </c>
      <c r="M56" t="str" cm="1">
        <f t="array" aca="1" ref="M56" ca="1">IF(
    ISNUMBER(VALUE(LEFT($A56, 1))),
    "",
    IFERROR(IF(_xlfn.XLOOKUP($A56, INDIRECT("'" &amp; M$2 &amp; "'!$A:$A"), INDIRECT("'" &amp; M$2 &amp; "'!$B:$B"), "")&lt;&gt;"", "✓", "✗"), "✗")
)</f>
        <v>✓</v>
      </c>
      <c r="N56" t="str" cm="1">
        <f t="array" aca="1" ref="N56" ca="1">IF(
    ISNUMBER(VALUE(LEFT($A56, 1))),
    "",
    IFERROR(IF(_xlfn.XLOOKUP($A56, INDIRECT("'" &amp; N$2 &amp; "'!$A:$A"), INDIRECT("'" &amp; N$2 &amp; "'!$B:$B"), "")&lt;&gt;"", "✓", "✗"), "✗")
)</f>
        <v>✓</v>
      </c>
      <c r="O56" t="str" cm="1">
        <f t="array" aca="1" ref="O56" ca="1">IF(
    ISNUMBER(VALUE(LEFT($A56, 1))),
    "",
    IFERROR(IF(_xlfn.XLOOKUP($A56, INDIRECT("'" &amp; O$2 &amp; "'!$A:$A"), INDIRECT("'" &amp; O$2 &amp; "'!$B:$B"), "")&lt;&gt;"", "✓", "✗"), "✗")
)</f>
        <v>✓</v>
      </c>
      <c r="P56" t="str" cm="1">
        <f t="array" aca="1" ref="P56" ca="1">IF(
    ISNUMBER(VALUE(LEFT($A56, 1))),
    "",
    IFERROR(IF(_xlfn.XLOOKUP($A56, INDIRECT("'" &amp; P$2 &amp; "'!$A:$A"), INDIRECT("'" &amp; P$2 &amp; "'!$B:$B"), "")&lt;&gt;"", "✓", "✗"), "✗")
)</f>
        <v>✓</v>
      </c>
      <c r="Q56" t="str" cm="1">
        <f t="array" aca="1" ref="Q56" ca="1">IF(
    ISNUMBER(VALUE(LEFT($A56, 1))),
    "",
    IFERROR(IF(_xlfn.XLOOKUP($A56, INDIRECT("'" &amp; Q$2 &amp; "'!$A:$A"), INDIRECT("'" &amp; Q$2 &amp; "'!$B:$B"), "")&lt;&gt;"", "✓", "✗"), "✗")
)</f>
        <v>✓</v>
      </c>
      <c r="R56" t="str" cm="1">
        <f t="array" aca="1" ref="R56" ca="1">IF(
    ISNUMBER(VALUE(LEFT($A56, 1))),
    "",
    IFERROR(IF(_xlfn.XLOOKUP($A56, INDIRECT("'" &amp; R$2 &amp; "'!$A:$A"), INDIRECT("'" &amp; R$2 &amp; "'!$B:$B"), "")&lt;&gt;"", "✓", "✗"), "✗")
)</f>
        <v>✓</v>
      </c>
      <c r="S56" t="str" cm="1">
        <f t="array" aca="1" ref="S56" ca="1">IF(
    ISNUMBER(VALUE(LEFT($A56, 1))),
    "",
    IFERROR(IF(_xlfn.XLOOKUP($A56, INDIRECT("'" &amp; S$2 &amp; "'!$A:$A"), INDIRECT("'" &amp; S$2 &amp; "'!$B:$B"), "")&lt;&gt;"", "✓", "✗"), "✗")
)</f>
        <v>✓</v>
      </c>
      <c r="T56" t="str" cm="1">
        <f t="array" aca="1" ref="T56" ca="1">IF(
    ISNUMBER(VALUE(LEFT($A56, 1))),
    "",
    IFERROR(IF(_xlfn.XLOOKUP($A56, INDIRECT("'" &amp; T$2 &amp; "'!$A:$A"), INDIRECT("'" &amp; T$2 &amp; "'!$B:$B"), "")&lt;&gt;"", "✓", "✗"), "✗")
)</f>
        <v>✓</v>
      </c>
      <c r="U56" t="str" cm="1">
        <f t="array" aca="1" ref="U56" ca="1">IF(
    ISNUMBER(VALUE(LEFT($A56, 1))),
    "",
    IFERROR(IF(_xlfn.XLOOKUP($A56, INDIRECT("'" &amp; U$2 &amp; "'!$A:$A"), INDIRECT("'" &amp; U$2 &amp; "'!$B:$B"), "")&lt;&gt;"", "✓", "✗"), "✗")
)</f>
        <v>✓</v>
      </c>
      <c r="V56" t="str" cm="1">
        <f t="array" aca="1" ref="V56" ca="1">IF(
    ISNUMBER(VALUE(LEFT($A56, 1))),
    "",
    IFERROR(IF(_xlfn.XLOOKUP($A56, INDIRECT("'" &amp; V$2 &amp; "'!$A:$A"), INDIRECT("'" &amp; V$2 &amp; "'!$B:$B"), "")&lt;&gt;"", "✓", "✗"), "✗")
)</f>
        <v>✓</v>
      </c>
      <c r="W56" t="str" cm="1">
        <f t="array" aca="1" ref="W56" ca="1">IF(
    ISNUMBER(VALUE(LEFT($A56, 1))),
    "",
    IFERROR(IF(_xlfn.XLOOKUP($A56, INDIRECT("'" &amp; W$2 &amp; "'!$A:$A"), INDIRECT("'" &amp; W$2 &amp; "'!$B:$B"), "")&lt;&gt;"", "✓", "✗"), "✗")
)</f>
        <v>✓</v>
      </c>
      <c r="X56" t="str" cm="1">
        <f t="array" aca="1" ref="X56" ca="1">IF(
    ISNUMBER(VALUE(LEFT($A56, 1))),
    "",
    IFERROR(IF(_xlfn.XLOOKUP($A56, INDIRECT("'" &amp; X$2 &amp; "'!$A:$A"), INDIRECT("'" &amp; X$2 &amp; "'!$B:$B"), "")&lt;&gt;"", "✓", "✗"), "✗")
)</f>
        <v>✓</v>
      </c>
      <c r="Y56" t="str" cm="1">
        <f t="array" aca="1" ref="Y56" ca="1">IF(
    ISNUMBER(VALUE(LEFT($A56, 1))),
    "",
    IFERROR(IF(_xlfn.XLOOKUP($A56, INDIRECT("'" &amp; Y$2 &amp; "'!$A:$A"), INDIRECT("'" &amp; Y$2 &amp; "'!$B:$B"), "")&lt;&gt;"", "✓", "✗"), "✗")
)</f>
        <v>✓</v>
      </c>
      <c r="Z56" t="str" cm="1">
        <f t="array" aca="1" ref="Z56" ca="1">IF(
    ISNUMBER(VALUE(LEFT($A56, 1))),
    "",
    IFERROR(IF(_xlfn.XLOOKUP($A56, INDIRECT("'" &amp; Z$2 &amp; "'!$A:$A"), INDIRECT("'" &amp; Z$2 &amp; "'!$B:$B"), "")&lt;&gt;"", "✓", "✗"), "✗")
)</f>
        <v>✓</v>
      </c>
      <c r="AA56" t="str" cm="1">
        <f t="array" aca="1" ref="AA56" ca="1">IF(
    ISNUMBER(VALUE(LEFT($A56, 1))),
    "",
    IFERROR(IF(_xlfn.XLOOKUP($A56, INDIRECT("'" &amp; AA$2 &amp; "'!$A:$A"), INDIRECT("'" &amp; AA$2 &amp; "'!$B:$B"), "")&lt;&gt;"", "✓", "✗"), "✗")
)</f>
        <v>✓</v>
      </c>
      <c r="AB56" t="str" cm="1">
        <f t="array" aca="1" ref="AB56" ca="1">IF(
    ISNUMBER(VALUE(LEFT($A56, 1))),
    "",
    IFERROR(IF(_xlfn.XLOOKUP($A56, INDIRECT("'" &amp; AB$2 &amp; "'!$A:$A"), INDIRECT("'" &amp; AB$2 &amp; "'!$B:$B"), "")&lt;&gt;"", "✓", "✗"), "✗")
)</f>
        <v>✓</v>
      </c>
      <c r="AC56" t="str" cm="1">
        <f t="array" aca="1" ref="AC56" ca="1">IF(
    ISNUMBER(VALUE(LEFT($A56, 1))),
    "",
    IFERROR(IF(_xlfn.XLOOKUP($A56, INDIRECT("'" &amp; AC$2 &amp; "'!$A:$A"), INDIRECT("'" &amp; AC$2 &amp; "'!$B:$B"), "")&lt;&gt;"", "✓", "✗"), "✗")
)</f>
        <v>✗</v>
      </c>
      <c r="AD56" t="str" cm="1">
        <f t="array" aca="1" ref="AD56" ca="1">IF(
    ISNUMBER(VALUE(LEFT($A56, 1))),
    "",
    IFERROR(IF(_xlfn.XLOOKUP($A56, INDIRECT("'" &amp; AD$2 &amp; "'!$A:$A"), INDIRECT("'" &amp; AD$2 &amp; "'!$B:$B"), "")&lt;&gt;"", "✓", "✗"), "✗")
)</f>
        <v>✗</v>
      </c>
      <c r="AE56" t="str" cm="1">
        <f t="array" aca="1" ref="AE56" ca="1">IF(
    ISNUMBER(VALUE(LEFT($A56, 1))),
    "",
    IFERROR(IF(_xlfn.XLOOKUP($A56, INDIRECT("'" &amp; AE$2 &amp; "'!$A:$A"), INDIRECT("'" &amp; AE$2 &amp; "'!$B:$B"), "")&lt;&gt;"", "✓", "✗"), "✗")
)</f>
        <v>✓</v>
      </c>
      <c r="AF56" t="str" cm="1">
        <f t="array" aca="1" ref="AF56" ca="1">IF(
    ISNUMBER(VALUE(LEFT($A56, 1))),
    "",
    IFERROR(IF(_xlfn.XLOOKUP($A56, INDIRECT("'" &amp; AF$2 &amp; "'!$A:$A"), INDIRECT("'" &amp; AF$2 &amp; "'!$B:$B"), "")&lt;&gt;"", "✓", "✗"), "✗")
)</f>
        <v>✓</v>
      </c>
      <c r="AG56" t="str" cm="1">
        <f t="array" aca="1" ref="AG56" ca="1">IF(
    ISNUMBER(VALUE(LEFT($A56, 1))),
    "",
    IFERROR(IF(_xlfn.XLOOKUP($A56, INDIRECT("'" &amp; AG$2 &amp; "'!$A:$A"), INDIRECT("'" &amp; AG$2 &amp; "'!$B:$B"), "")&lt;&gt;"", "✓", "✗"), "✗")
)</f>
        <v>✓</v>
      </c>
    </row>
    <row r="57" spans="1:33" x14ac:dyDescent="0.45">
      <c r="A57" t="str">
        <v>Activity ID</v>
      </c>
      <c r="B57" t="str" cm="1">
        <f t="array" aca="1" ref="B57" ca="1">IF(
    ISNUMBER(VALUE(LEFT($A57, 1))),
    "",
    IFERROR(IF(_xlfn.XLOOKUP($A57, INDIRECT("'" &amp; B$2 &amp; "'!$A:$A"), INDIRECT("'" &amp; B$2 &amp; "'!$B:$B"), "")&lt;&gt;"", "✓", "✗"), "✗")
)</f>
        <v>✓</v>
      </c>
      <c r="C57" t="str" cm="1">
        <f t="array" aca="1" ref="C57" ca="1">IF(
    ISNUMBER(VALUE(LEFT($A57, 1))),
    "",
    IFERROR(IF(_xlfn.XLOOKUP($A57, INDIRECT("'" &amp; C$2 &amp; "'!$A:$A"), INDIRECT("'" &amp; C$2 &amp; "'!$B:$B"), "")&lt;&gt;"", "✓", "✗"), "✗")
)</f>
        <v>✓</v>
      </c>
      <c r="D57" t="str" cm="1">
        <f t="array" aca="1" ref="D57" ca="1">IF(
    ISNUMBER(VALUE(LEFT($A57, 1))),
    "",
    IFERROR(IF(_xlfn.XLOOKUP($A57, INDIRECT("'" &amp; D$2 &amp; "'!$A:$A"), INDIRECT("'" &amp; D$2 &amp; "'!$B:$B"), "")&lt;&gt;"", "✓", "✗"), "✗")
)</f>
        <v>✓</v>
      </c>
      <c r="E57" t="str" cm="1">
        <f t="array" aca="1" ref="E57" ca="1">IF(
    ISNUMBER(VALUE(LEFT($A57, 1))),
    "",
    IFERROR(IF(_xlfn.XLOOKUP($A57, INDIRECT("'" &amp; E$2 &amp; "'!$A:$A"), INDIRECT("'" &amp; E$2 &amp; "'!$B:$B"), "")&lt;&gt;"", "✓", "✗"), "✗")
)</f>
        <v>✓</v>
      </c>
      <c r="F57" t="str" cm="1">
        <f t="array" aca="1" ref="F57" ca="1">IF(
    ISNUMBER(VALUE(LEFT($A57, 1))),
    "",
    IFERROR(IF(_xlfn.XLOOKUP($A57, INDIRECT("'" &amp; F$2 &amp; "'!$A:$A"), INDIRECT("'" &amp; F$2 &amp; "'!$B:$B"), "")&lt;&gt;"", "✓", "✗"), "✗")
)</f>
        <v>✓</v>
      </c>
      <c r="G57" t="str" cm="1">
        <f t="array" aca="1" ref="G57" ca="1">IF(
    ISNUMBER(VALUE(LEFT($A57, 1))),
    "",
    IFERROR(IF(_xlfn.XLOOKUP($A57, INDIRECT("'" &amp; G$2 &amp; "'!$A:$A"), INDIRECT("'" &amp; G$2 &amp; "'!$B:$B"), "")&lt;&gt;"", "✓", "✗"), "✗")
)</f>
        <v>✓</v>
      </c>
      <c r="H57" t="str" cm="1">
        <f t="array" aca="1" ref="H57" ca="1">IF(
    ISNUMBER(VALUE(LEFT($A57, 1))),
    "",
    IFERROR(IF(_xlfn.XLOOKUP($A57, INDIRECT("'" &amp; H$2 &amp; "'!$A:$A"), INDIRECT("'" &amp; H$2 &amp; "'!$B:$B"), "")&lt;&gt;"", "✓", "✗"), "✗")
)</f>
        <v>✓</v>
      </c>
      <c r="I57" t="str" cm="1">
        <f t="array" aca="1" ref="I57" ca="1">IF(
    ISNUMBER(VALUE(LEFT($A57, 1))),
    "",
    IFERROR(IF(_xlfn.XLOOKUP($A57, INDIRECT("'" &amp; I$2 &amp; "'!$A:$A"), INDIRECT("'" &amp; I$2 &amp; "'!$B:$B"), "")&lt;&gt;"", "✓", "✗"), "✗")
)</f>
        <v>✓</v>
      </c>
      <c r="J57" t="str" cm="1">
        <f t="array" aca="1" ref="J57" ca="1">IF(
    ISNUMBER(VALUE(LEFT($A57, 1))),
    "",
    IFERROR(IF(_xlfn.XLOOKUP($A57, INDIRECT("'" &amp; J$2 &amp; "'!$A:$A"), INDIRECT("'" &amp; J$2 &amp; "'!$B:$B"), "")&lt;&gt;"", "✓", "✗"), "✗")
)</f>
        <v>✓</v>
      </c>
      <c r="K57" t="str" cm="1">
        <f t="array" aca="1" ref="K57" ca="1">IF(
    ISNUMBER(VALUE(LEFT($A57, 1))),
    "",
    IFERROR(IF(_xlfn.XLOOKUP($A57, INDIRECT("'" &amp; K$2 &amp; "'!$A:$A"), INDIRECT("'" &amp; K$2 &amp; "'!$B:$B"), "")&lt;&gt;"", "✓", "✗"), "✗")
)</f>
        <v>✓</v>
      </c>
      <c r="L57" t="str" cm="1">
        <f t="array" aca="1" ref="L57" ca="1">IF(
    ISNUMBER(VALUE(LEFT($A57, 1))),
    "",
    IFERROR(IF(_xlfn.XLOOKUP($A57, INDIRECT("'" &amp; L$2 &amp; "'!$A:$A"), INDIRECT("'" &amp; L$2 &amp; "'!$B:$B"), "")&lt;&gt;"", "✓", "✗"), "✗")
)</f>
        <v>✓</v>
      </c>
      <c r="M57" t="str" cm="1">
        <f t="array" aca="1" ref="M57" ca="1">IF(
    ISNUMBER(VALUE(LEFT($A57, 1))),
    "",
    IFERROR(IF(_xlfn.XLOOKUP($A57, INDIRECT("'" &amp; M$2 &amp; "'!$A:$A"), INDIRECT("'" &amp; M$2 &amp; "'!$B:$B"), "")&lt;&gt;"", "✓", "✗"), "✗")
)</f>
        <v>✓</v>
      </c>
      <c r="N57" t="str" cm="1">
        <f t="array" aca="1" ref="N57" ca="1">IF(
    ISNUMBER(VALUE(LEFT($A57, 1))),
    "",
    IFERROR(IF(_xlfn.XLOOKUP($A57, INDIRECT("'" &amp; N$2 &amp; "'!$A:$A"), INDIRECT("'" &amp; N$2 &amp; "'!$B:$B"), "")&lt;&gt;"", "✓", "✗"), "✗")
)</f>
        <v>✓</v>
      </c>
      <c r="O57" t="str" cm="1">
        <f t="array" aca="1" ref="O57" ca="1">IF(
    ISNUMBER(VALUE(LEFT($A57, 1))),
    "",
    IFERROR(IF(_xlfn.XLOOKUP($A57, INDIRECT("'" &amp; O$2 &amp; "'!$A:$A"), INDIRECT("'" &amp; O$2 &amp; "'!$B:$B"), "")&lt;&gt;"", "✓", "✗"), "✗")
)</f>
        <v>✓</v>
      </c>
      <c r="P57" t="str" cm="1">
        <f t="array" aca="1" ref="P57" ca="1">IF(
    ISNUMBER(VALUE(LEFT($A57, 1))),
    "",
    IFERROR(IF(_xlfn.XLOOKUP($A57, INDIRECT("'" &amp; P$2 &amp; "'!$A:$A"), INDIRECT("'" &amp; P$2 &amp; "'!$B:$B"), "")&lt;&gt;"", "✓", "✗"), "✗")
)</f>
        <v>✓</v>
      </c>
      <c r="Q57" t="str" cm="1">
        <f t="array" aca="1" ref="Q57" ca="1">IF(
    ISNUMBER(VALUE(LEFT($A57, 1))),
    "",
    IFERROR(IF(_xlfn.XLOOKUP($A57, INDIRECT("'" &amp; Q$2 &amp; "'!$A:$A"), INDIRECT("'" &amp; Q$2 &amp; "'!$B:$B"), "")&lt;&gt;"", "✓", "✗"), "✗")
)</f>
        <v>✓</v>
      </c>
      <c r="R57" t="str" cm="1">
        <f t="array" aca="1" ref="R57" ca="1">IF(
    ISNUMBER(VALUE(LEFT($A57, 1))),
    "",
    IFERROR(IF(_xlfn.XLOOKUP($A57, INDIRECT("'" &amp; R$2 &amp; "'!$A:$A"), INDIRECT("'" &amp; R$2 &amp; "'!$B:$B"), "")&lt;&gt;"", "✓", "✗"), "✗")
)</f>
        <v>✓</v>
      </c>
      <c r="S57" t="str" cm="1">
        <f t="array" aca="1" ref="S57" ca="1">IF(
    ISNUMBER(VALUE(LEFT($A57, 1))),
    "",
    IFERROR(IF(_xlfn.XLOOKUP($A57, INDIRECT("'" &amp; S$2 &amp; "'!$A:$A"), INDIRECT("'" &amp; S$2 &amp; "'!$B:$B"), "")&lt;&gt;"", "✓", "✗"), "✗")
)</f>
        <v>✓</v>
      </c>
      <c r="T57" t="str" cm="1">
        <f t="array" aca="1" ref="T57" ca="1">IF(
    ISNUMBER(VALUE(LEFT($A57, 1))),
    "",
    IFERROR(IF(_xlfn.XLOOKUP($A57, INDIRECT("'" &amp; T$2 &amp; "'!$A:$A"), INDIRECT("'" &amp; T$2 &amp; "'!$B:$B"), "")&lt;&gt;"", "✓", "✗"), "✗")
)</f>
        <v>✓</v>
      </c>
      <c r="U57" t="str" cm="1">
        <f t="array" aca="1" ref="U57" ca="1">IF(
    ISNUMBER(VALUE(LEFT($A57, 1))),
    "",
    IFERROR(IF(_xlfn.XLOOKUP($A57, INDIRECT("'" &amp; U$2 &amp; "'!$A:$A"), INDIRECT("'" &amp; U$2 &amp; "'!$B:$B"), "")&lt;&gt;"", "✓", "✗"), "✗")
)</f>
        <v>✓</v>
      </c>
      <c r="V57" t="str" cm="1">
        <f t="array" aca="1" ref="V57" ca="1">IF(
    ISNUMBER(VALUE(LEFT($A57, 1))),
    "",
    IFERROR(IF(_xlfn.XLOOKUP($A57, INDIRECT("'" &amp; V$2 &amp; "'!$A:$A"), INDIRECT("'" &amp; V$2 &amp; "'!$B:$B"), "")&lt;&gt;"", "✓", "✗"), "✗")
)</f>
        <v>✓</v>
      </c>
      <c r="W57" t="str" cm="1">
        <f t="array" aca="1" ref="W57" ca="1">IF(
    ISNUMBER(VALUE(LEFT($A57, 1))),
    "",
    IFERROR(IF(_xlfn.XLOOKUP($A57, INDIRECT("'" &amp; W$2 &amp; "'!$A:$A"), INDIRECT("'" &amp; W$2 &amp; "'!$B:$B"), "")&lt;&gt;"", "✓", "✗"), "✗")
)</f>
        <v>✓</v>
      </c>
      <c r="X57" t="str" cm="1">
        <f t="array" aca="1" ref="X57" ca="1">IF(
    ISNUMBER(VALUE(LEFT($A57, 1))),
    "",
    IFERROR(IF(_xlfn.XLOOKUP($A57, INDIRECT("'" &amp; X$2 &amp; "'!$A:$A"), INDIRECT("'" &amp; X$2 &amp; "'!$B:$B"), "")&lt;&gt;"", "✓", "✗"), "✗")
)</f>
        <v>✓</v>
      </c>
      <c r="Y57" t="str" cm="1">
        <f t="array" aca="1" ref="Y57" ca="1">IF(
    ISNUMBER(VALUE(LEFT($A57, 1))),
    "",
    IFERROR(IF(_xlfn.XLOOKUP($A57, INDIRECT("'" &amp; Y$2 &amp; "'!$A:$A"), INDIRECT("'" &amp; Y$2 &amp; "'!$B:$B"), "")&lt;&gt;"", "✓", "✗"), "✗")
)</f>
        <v>✓</v>
      </c>
      <c r="Z57" t="str" cm="1">
        <f t="array" aca="1" ref="Z57" ca="1">IF(
    ISNUMBER(VALUE(LEFT($A57, 1))),
    "",
    IFERROR(IF(_xlfn.XLOOKUP($A57, INDIRECT("'" &amp; Z$2 &amp; "'!$A:$A"), INDIRECT("'" &amp; Z$2 &amp; "'!$B:$B"), "")&lt;&gt;"", "✓", "✗"), "✗")
)</f>
        <v>✓</v>
      </c>
      <c r="AA57" t="str" cm="1">
        <f t="array" aca="1" ref="AA57" ca="1">IF(
    ISNUMBER(VALUE(LEFT($A57, 1))),
    "",
    IFERROR(IF(_xlfn.XLOOKUP($A57, INDIRECT("'" &amp; AA$2 &amp; "'!$A:$A"), INDIRECT("'" &amp; AA$2 &amp; "'!$B:$B"), "")&lt;&gt;"", "✓", "✗"), "✗")
)</f>
        <v>✓</v>
      </c>
      <c r="AB57" t="str" cm="1">
        <f t="array" aca="1" ref="AB57" ca="1">IF(
    ISNUMBER(VALUE(LEFT($A57, 1))),
    "",
    IFERROR(IF(_xlfn.XLOOKUP($A57, INDIRECT("'" &amp; AB$2 &amp; "'!$A:$A"), INDIRECT("'" &amp; AB$2 &amp; "'!$B:$B"), "")&lt;&gt;"", "✓", "✗"), "✗")
)</f>
        <v>✓</v>
      </c>
      <c r="AC57" t="str" cm="1">
        <f t="array" aca="1" ref="AC57" ca="1">IF(
    ISNUMBER(VALUE(LEFT($A57, 1))),
    "",
    IFERROR(IF(_xlfn.XLOOKUP($A57, INDIRECT("'" &amp; AC$2 &amp; "'!$A:$A"), INDIRECT("'" &amp; AC$2 &amp; "'!$B:$B"), "")&lt;&gt;"", "✓", "✗"), "✗")
)</f>
        <v>✗</v>
      </c>
      <c r="AD57" t="str" cm="1">
        <f t="array" aca="1" ref="AD57" ca="1">IF(
    ISNUMBER(VALUE(LEFT($A57, 1))),
    "",
    IFERROR(IF(_xlfn.XLOOKUP($A57, INDIRECT("'" &amp; AD$2 &amp; "'!$A:$A"), INDIRECT("'" &amp; AD$2 &amp; "'!$B:$B"), "")&lt;&gt;"", "✓", "✗"), "✗")
)</f>
        <v>✗</v>
      </c>
      <c r="AE57" t="str" cm="1">
        <f t="array" aca="1" ref="AE57" ca="1">IF(
    ISNUMBER(VALUE(LEFT($A57, 1))),
    "",
    IFERROR(IF(_xlfn.XLOOKUP($A57, INDIRECT("'" &amp; AE$2 &amp; "'!$A:$A"), INDIRECT("'" &amp; AE$2 &amp; "'!$B:$B"), "")&lt;&gt;"", "✓", "✗"), "✗")
)</f>
        <v>✓</v>
      </c>
      <c r="AF57" t="str" cm="1">
        <f t="array" aca="1" ref="AF57" ca="1">IF(
    ISNUMBER(VALUE(LEFT($A57, 1))),
    "",
    IFERROR(IF(_xlfn.XLOOKUP($A57, INDIRECT("'" &amp; AF$2 &amp; "'!$A:$A"), INDIRECT("'" &amp; AF$2 &amp; "'!$B:$B"), "")&lt;&gt;"", "✓", "✗"), "✗")
)</f>
        <v>✓</v>
      </c>
      <c r="AG57" t="str" cm="1">
        <f t="array" aca="1" ref="AG57" ca="1">IF(
    ISNUMBER(VALUE(LEFT($A57, 1))),
    "",
    IFERROR(IF(_xlfn.XLOOKUP($A57, INDIRECT("'" &amp; AG$2 &amp; "'!$A:$A"), INDIRECT("'" &amp; AG$2 &amp; "'!$B:$B"), "")&lt;&gt;"", "✓", "✗"), "✗")
)</f>
        <v>✓</v>
      </c>
    </row>
    <row r="58" spans="1:33" x14ac:dyDescent="0.45">
      <c r="A58" t="str">
        <v>Activity Name</v>
      </c>
      <c r="B58" t="str" cm="1">
        <f t="array" aca="1" ref="B58" ca="1">IF(
    ISNUMBER(VALUE(LEFT($A58, 1))),
    "",
    IFERROR(IF(_xlfn.XLOOKUP($A58, INDIRECT("'" &amp; B$2 &amp; "'!$A:$A"), INDIRECT("'" &amp; B$2 &amp; "'!$B:$B"), "")&lt;&gt;"", "✓", "✗"), "✗")
)</f>
        <v>✓</v>
      </c>
      <c r="C58" t="str" cm="1">
        <f t="array" aca="1" ref="C58" ca="1">IF(
    ISNUMBER(VALUE(LEFT($A58, 1))),
    "",
    IFERROR(IF(_xlfn.XLOOKUP($A58, INDIRECT("'" &amp; C$2 &amp; "'!$A:$A"), INDIRECT("'" &amp; C$2 &amp; "'!$B:$B"), "")&lt;&gt;"", "✓", "✗"), "✗")
)</f>
        <v>✓</v>
      </c>
      <c r="D58" t="str" cm="1">
        <f t="array" aca="1" ref="D58" ca="1">IF(
    ISNUMBER(VALUE(LEFT($A58, 1))),
    "",
    IFERROR(IF(_xlfn.XLOOKUP($A58, INDIRECT("'" &amp; D$2 &amp; "'!$A:$A"), INDIRECT("'" &amp; D$2 &amp; "'!$B:$B"), "")&lt;&gt;"", "✓", "✗"), "✗")
)</f>
        <v>✓</v>
      </c>
      <c r="E58" t="str" cm="1">
        <f t="array" aca="1" ref="E58" ca="1">IF(
    ISNUMBER(VALUE(LEFT($A58, 1))),
    "",
    IFERROR(IF(_xlfn.XLOOKUP($A58, INDIRECT("'" &amp; E$2 &amp; "'!$A:$A"), INDIRECT("'" &amp; E$2 &amp; "'!$B:$B"), "")&lt;&gt;"", "✓", "✗"), "✗")
)</f>
        <v>✓</v>
      </c>
      <c r="F58" t="str" cm="1">
        <f t="array" aca="1" ref="F58" ca="1">IF(
    ISNUMBER(VALUE(LEFT($A58, 1))),
    "",
    IFERROR(IF(_xlfn.XLOOKUP($A58, INDIRECT("'" &amp; F$2 &amp; "'!$A:$A"), INDIRECT("'" &amp; F$2 &amp; "'!$B:$B"), "")&lt;&gt;"", "✓", "✗"), "✗")
)</f>
        <v>✓</v>
      </c>
      <c r="G58" t="str" cm="1">
        <f t="array" aca="1" ref="G58" ca="1">IF(
    ISNUMBER(VALUE(LEFT($A58, 1))),
    "",
    IFERROR(IF(_xlfn.XLOOKUP($A58, INDIRECT("'" &amp; G$2 &amp; "'!$A:$A"), INDIRECT("'" &amp; G$2 &amp; "'!$B:$B"), "")&lt;&gt;"", "✓", "✗"), "✗")
)</f>
        <v>✓</v>
      </c>
      <c r="H58" t="str" cm="1">
        <f t="array" aca="1" ref="H58" ca="1">IF(
    ISNUMBER(VALUE(LEFT($A58, 1))),
    "",
    IFERROR(IF(_xlfn.XLOOKUP($A58, INDIRECT("'" &amp; H$2 &amp; "'!$A:$A"), INDIRECT("'" &amp; H$2 &amp; "'!$B:$B"), "")&lt;&gt;"", "✓", "✗"), "✗")
)</f>
        <v>✓</v>
      </c>
      <c r="I58" t="str" cm="1">
        <f t="array" aca="1" ref="I58" ca="1">IF(
    ISNUMBER(VALUE(LEFT($A58, 1))),
    "",
    IFERROR(IF(_xlfn.XLOOKUP($A58, INDIRECT("'" &amp; I$2 &amp; "'!$A:$A"), INDIRECT("'" &amp; I$2 &amp; "'!$B:$B"), "")&lt;&gt;"", "✓", "✗"), "✗")
)</f>
        <v>✓</v>
      </c>
      <c r="J58" t="str" cm="1">
        <f t="array" aca="1" ref="J58" ca="1">IF(
    ISNUMBER(VALUE(LEFT($A58, 1))),
    "",
    IFERROR(IF(_xlfn.XLOOKUP($A58, INDIRECT("'" &amp; J$2 &amp; "'!$A:$A"), INDIRECT("'" &amp; J$2 &amp; "'!$B:$B"), "")&lt;&gt;"", "✓", "✗"), "✗")
)</f>
        <v>✓</v>
      </c>
      <c r="K58" t="str" cm="1">
        <f t="array" aca="1" ref="K58" ca="1">IF(
    ISNUMBER(VALUE(LEFT($A58, 1))),
    "",
    IFERROR(IF(_xlfn.XLOOKUP($A58, INDIRECT("'" &amp; K$2 &amp; "'!$A:$A"), INDIRECT("'" &amp; K$2 &amp; "'!$B:$B"), "")&lt;&gt;"", "✓", "✗"), "✗")
)</f>
        <v>✓</v>
      </c>
      <c r="L58" t="str" cm="1">
        <f t="array" aca="1" ref="L58" ca="1">IF(
    ISNUMBER(VALUE(LEFT($A58, 1))),
    "",
    IFERROR(IF(_xlfn.XLOOKUP($A58, INDIRECT("'" &amp; L$2 &amp; "'!$A:$A"), INDIRECT("'" &amp; L$2 &amp; "'!$B:$B"), "")&lt;&gt;"", "✓", "✗"), "✗")
)</f>
        <v>✓</v>
      </c>
      <c r="M58" t="str" cm="1">
        <f t="array" aca="1" ref="M58" ca="1">IF(
    ISNUMBER(VALUE(LEFT($A58, 1))),
    "",
    IFERROR(IF(_xlfn.XLOOKUP($A58, INDIRECT("'" &amp; M$2 &amp; "'!$A:$A"), INDIRECT("'" &amp; M$2 &amp; "'!$B:$B"), "")&lt;&gt;"", "✓", "✗"), "✗")
)</f>
        <v>✓</v>
      </c>
      <c r="N58" t="str" cm="1">
        <f t="array" aca="1" ref="N58" ca="1">IF(
    ISNUMBER(VALUE(LEFT($A58, 1))),
    "",
    IFERROR(IF(_xlfn.XLOOKUP($A58, INDIRECT("'" &amp; N$2 &amp; "'!$A:$A"), INDIRECT("'" &amp; N$2 &amp; "'!$B:$B"), "")&lt;&gt;"", "✓", "✗"), "✗")
)</f>
        <v>✓</v>
      </c>
      <c r="O58" t="str" cm="1">
        <f t="array" aca="1" ref="O58" ca="1">IF(
    ISNUMBER(VALUE(LEFT($A58, 1))),
    "",
    IFERROR(IF(_xlfn.XLOOKUP($A58, INDIRECT("'" &amp; O$2 &amp; "'!$A:$A"), INDIRECT("'" &amp; O$2 &amp; "'!$B:$B"), "")&lt;&gt;"", "✓", "✗"), "✗")
)</f>
        <v>✓</v>
      </c>
      <c r="P58" t="str" cm="1">
        <f t="array" aca="1" ref="P58" ca="1">IF(
    ISNUMBER(VALUE(LEFT($A58, 1))),
    "",
    IFERROR(IF(_xlfn.XLOOKUP($A58, INDIRECT("'" &amp; P$2 &amp; "'!$A:$A"), INDIRECT("'" &amp; P$2 &amp; "'!$B:$B"), "")&lt;&gt;"", "✓", "✗"), "✗")
)</f>
        <v>✓</v>
      </c>
      <c r="Q58" t="str" cm="1">
        <f t="array" aca="1" ref="Q58" ca="1">IF(
    ISNUMBER(VALUE(LEFT($A58, 1))),
    "",
    IFERROR(IF(_xlfn.XLOOKUP($A58, INDIRECT("'" &amp; Q$2 &amp; "'!$A:$A"), INDIRECT("'" &amp; Q$2 &amp; "'!$B:$B"), "")&lt;&gt;"", "✓", "✗"), "✗")
)</f>
        <v>✓</v>
      </c>
      <c r="R58" t="str" cm="1">
        <f t="array" aca="1" ref="R58" ca="1">IF(
    ISNUMBER(VALUE(LEFT($A58, 1))),
    "",
    IFERROR(IF(_xlfn.XLOOKUP($A58, INDIRECT("'" &amp; R$2 &amp; "'!$A:$A"), INDIRECT("'" &amp; R$2 &amp; "'!$B:$B"), "")&lt;&gt;"", "✓", "✗"), "✗")
)</f>
        <v>✓</v>
      </c>
      <c r="S58" t="str" cm="1">
        <f t="array" aca="1" ref="S58" ca="1">IF(
    ISNUMBER(VALUE(LEFT($A58, 1))),
    "",
    IFERROR(IF(_xlfn.XLOOKUP($A58, INDIRECT("'" &amp; S$2 &amp; "'!$A:$A"), INDIRECT("'" &amp; S$2 &amp; "'!$B:$B"), "")&lt;&gt;"", "✓", "✗"), "✗")
)</f>
        <v>✓</v>
      </c>
      <c r="T58" t="str" cm="1">
        <f t="array" aca="1" ref="T58" ca="1">IF(
    ISNUMBER(VALUE(LEFT($A58, 1))),
    "",
    IFERROR(IF(_xlfn.XLOOKUP($A58, INDIRECT("'" &amp; T$2 &amp; "'!$A:$A"), INDIRECT("'" &amp; T$2 &amp; "'!$B:$B"), "")&lt;&gt;"", "✓", "✗"), "✗")
)</f>
        <v>✓</v>
      </c>
      <c r="U58" t="str" cm="1">
        <f t="array" aca="1" ref="U58" ca="1">IF(
    ISNUMBER(VALUE(LEFT($A58, 1))),
    "",
    IFERROR(IF(_xlfn.XLOOKUP($A58, INDIRECT("'" &amp; U$2 &amp; "'!$A:$A"), INDIRECT("'" &amp; U$2 &amp; "'!$B:$B"), "")&lt;&gt;"", "✓", "✗"), "✗")
)</f>
        <v>✓</v>
      </c>
      <c r="V58" t="str" cm="1">
        <f t="array" aca="1" ref="V58" ca="1">IF(
    ISNUMBER(VALUE(LEFT($A58, 1))),
    "",
    IFERROR(IF(_xlfn.XLOOKUP($A58, INDIRECT("'" &amp; V$2 &amp; "'!$A:$A"), INDIRECT("'" &amp; V$2 &amp; "'!$B:$B"), "")&lt;&gt;"", "✓", "✗"), "✗")
)</f>
        <v>✓</v>
      </c>
      <c r="W58" t="str" cm="1">
        <f t="array" aca="1" ref="W58" ca="1">IF(
    ISNUMBER(VALUE(LEFT($A58, 1))),
    "",
    IFERROR(IF(_xlfn.XLOOKUP($A58, INDIRECT("'" &amp; W$2 &amp; "'!$A:$A"), INDIRECT("'" &amp; W$2 &amp; "'!$B:$B"), "")&lt;&gt;"", "✓", "✗"), "✗")
)</f>
        <v>✓</v>
      </c>
      <c r="X58" t="str" cm="1">
        <f t="array" aca="1" ref="X58" ca="1">IF(
    ISNUMBER(VALUE(LEFT($A58, 1))),
    "",
    IFERROR(IF(_xlfn.XLOOKUP($A58, INDIRECT("'" &amp; X$2 &amp; "'!$A:$A"), INDIRECT("'" &amp; X$2 &amp; "'!$B:$B"), "")&lt;&gt;"", "✓", "✗"), "✗")
)</f>
        <v>✓</v>
      </c>
      <c r="Y58" t="str" cm="1">
        <f t="array" aca="1" ref="Y58" ca="1">IF(
    ISNUMBER(VALUE(LEFT($A58, 1))),
    "",
    IFERROR(IF(_xlfn.XLOOKUP($A58, INDIRECT("'" &amp; Y$2 &amp; "'!$A:$A"), INDIRECT("'" &amp; Y$2 &amp; "'!$B:$B"), "")&lt;&gt;"", "✓", "✗"), "✗")
)</f>
        <v>✓</v>
      </c>
      <c r="Z58" t="str" cm="1">
        <f t="array" aca="1" ref="Z58" ca="1">IF(
    ISNUMBER(VALUE(LEFT($A58, 1))),
    "",
    IFERROR(IF(_xlfn.XLOOKUP($A58, INDIRECT("'" &amp; Z$2 &amp; "'!$A:$A"), INDIRECT("'" &amp; Z$2 &amp; "'!$B:$B"), "")&lt;&gt;"", "✓", "✗"), "✗")
)</f>
        <v>✓</v>
      </c>
      <c r="AA58" t="str" cm="1">
        <f t="array" aca="1" ref="AA58" ca="1">IF(
    ISNUMBER(VALUE(LEFT($A58, 1))),
    "",
    IFERROR(IF(_xlfn.XLOOKUP($A58, INDIRECT("'" &amp; AA$2 &amp; "'!$A:$A"), INDIRECT("'" &amp; AA$2 &amp; "'!$B:$B"), "")&lt;&gt;"", "✓", "✗"), "✗")
)</f>
        <v>✓</v>
      </c>
      <c r="AB58" t="str" cm="1">
        <f t="array" aca="1" ref="AB58" ca="1">IF(
    ISNUMBER(VALUE(LEFT($A58, 1))),
    "",
    IFERROR(IF(_xlfn.XLOOKUP($A58, INDIRECT("'" &amp; AB$2 &amp; "'!$A:$A"), INDIRECT("'" &amp; AB$2 &amp; "'!$B:$B"), "")&lt;&gt;"", "✓", "✗"), "✗")
)</f>
        <v>✓</v>
      </c>
      <c r="AC58" t="str" cm="1">
        <f t="array" aca="1" ref="AC58" ca="1">IF(
    ISNUMBER(VALUE(LEFT($A58, 1))),
    "",
    IFERROR(IF(_xlfn.XLOOKUP($A58, INDIRECT("'" &amp; AC$2 &amp; "'!$A:$A"), INDIRECT("'" &amp; AC$2 &amp; "'!$B:$B"), "")&lt;&gt;"", "✓", "✗"), "✗")
)</f>
        <v>✗</v>
      </c>
      <c r="AD58" t="str" cm="1">
        <f t="array" aca="1" ref="AD58" ca="1">IF(
    ISNUMBER(VALUE(LEFT($A58, 1))),
    "",
    IFERROR(IF(_xlfn.XLOOKUP($A58, INDIRECT("'" &amp; AD$2 &amp; "'!$A:$A"), INDIRECT("'" &amp; AD$2 &amp; "'!$B:$B"), "")&lt;&gt;"", "✓", "✗"), "✗")
)</f>
        <v>✗</v>
      </c>
      <c r="AE58" t="str" cm="1">
        <f t="array" aca="1" ref="AE58" ca="1">IF(
    ISNUMBER(VALUE(LEFT($A58, 1))),
    "",
    IFERROR(IF(_xlfn.XLOOKUP($A58, INDIRECT("'" &amp; AE$2 &amp; "'!$A:$A"), INDIRECT("'" &amp; AE$2 &amp; "'!$B:$B"), "")&lt;&gt;"", "✓", "✗"), "✗")
)</f>
        <v>✓</v>
      </c>
      <c r="AF58" t="str" cm="1">
        <f t="array" aca="1" ref="AF58" ca="1">IF(
    ISNUMBER(VALUE(LEFT($A58, 1))),
    "",
    IFERROR(IF(_xlfn.XLOOKUP($A58, INDIRECT("'" &amp; AF$2 &amp; "'!$A:$A"), INDIRECT("'" &amp; AF$2 &amp; "'!$B:$B"), "")&lt;&gt;"", "✓", "✗"), "✗")
)</f>
        <v>✓</v>
      </c>
      <c r="AG58" t="str" cm="1">
        <f t="array" aca="1" ref="AG58" ca="1">IF(
    ISNUMBER(VALUE(LEFT($A58, 1))),
    "",
    IFERROR(IF(_xlfn.XLOOKUP($A58, INDIRECT("'" &amp; AG$2 &amp; "'!$A:$A"), INDIRECT("'" &amp; AG$2 &amp; "'!$B:$B"), "")&lt;&gt;"", "✓", "✗"), "✗")
)</f>
        <v>✓</v>
      </c>
    </row>
    <row r="59" spans="1:33" x14ac:dyDescent="0.45">
      <c r="A59" t="str">
        <v>Activity Description</v>
      </c>
      <c r="B59" t="str" cm="1">
        <f t="array" aca="1" ref="B59" ca="1">IF(
    ISNUMBER(VALUE(LEFT($A59, 1))),
    "",
    IFERROR(IF(_xlfn.XLOOKUP($A59, INDIRECT("'" &amp; B$2 &amp; "'!$A:$A"), INDIRECT("'" &amp; B$2 &amp; "'!$B:$B"), "")&lt;&gt;"", "✓", "✗"), "✗")
)</f>
        <v>✓</v>
      </c>
      <c r="C59" t="str" cm="1">
        <f t="array" aca="1" ref="C59" ca="1">IF(
    ISNUMBER(VALUE(LEFT($A59, 1))),
    "",
    IFERROR(IF(_xlfn.XLOOKUP($A59, INDIRECT("'" &amp; C$2 &amp; "'!$A:$A"), INDIRECT("'" &amp; C$2 &amp; "'!$B:$B"), "")&lt;&gt;"", "✓", "✗"), "✗")
)</f>
        <v>✓</v>
      </c>
      <c r="D59" t="str" cm="1">
        <f t="array" aca="1" ref="D59" ca="1">IF(
    ISNUMBER(VALUE(LEFT($A59, 1))),
    "",
    IFERROR(IF(_xlfn.XLOOKUP($A59, INDIRECT("'" &amp; D$2 &amp; "'!$A:$A"), INDIRECT("'" &amp; D$2 &amp; "'!$B:$B"), "")&lt;&gt;"", "✓", "✗"), "✗")
)</f>
        <v>✓</v>
      </c>
      <c r="E59" t="str" cm="1">
        <f t="array" aca="1" ref="E59" ca="1">IF(
    ISNUMBER(VALUE(LEFT($A59, 1))),
    "",
    IFERROR(IF(_xlfn.XLOOKUP($A59, INDIRECT("'" &amp; E$2 &amp; "'!$A:$A"), INDIRECT("'" &amp; E$2 &amp; "'!$B:$B"), "")&lt;&gt;"", "✓", "✗"), "✗")
)</f>
        <v>✓</v>
      </c>
      <c r="F59" t="str" cm="1">
        <f t="array" aca="1" ref="F59" ca="1">IF(
    ISNUMBER(VALUE(LEFT($A59, 1))),
    "",
    IFERROR(IF(_xlfn.XLOOKUP($A59, INDIRECT("'" &amp; F$2 &amp; "'!$A:$A"), INDIRECT("'" &amp; F$2 &amp; "'!$B:$B"), "")&lt;&gt;"", "✓", "✗"), "✗")
)</f>
        <v>✓</v>
      </c>
      <c r="G59" t="str" cm="1">
        <f t="array" aca="1" ref="G59" ca="1">IF(
    ISNUMBER(VALUE(LEFT($A59, 1))),
    "",
    IFERROR(IF(_xlfn.XLOOKUP($A59, INDIRECT("'" &amp; G$2 &amp; "'!$A:$A"), INDIRECT("'" &amp; G$2 &amp; "'!$B:$B"), "")&lt;&gt;"", "✓", "✗"), "✗")
)</f>
        <v>✓</v>
      </c>
      <c r="H59" t="str" cm="1">
        <f t="array" aca="1" ref="H59" ca="1">IF(
    ISNUMBER(VALUE(LEFT($A59, 1))),
    "",
    IFERROR(IF(_xlfn.XLOOKUP($A59, INDIRECT("'" &amp; H$2 &amp; "'!$A:$A"), INDIRECT("'" &amp; H$2 &amp; "'!$B:$B"), "")&lt;&gt;"", "✓", "✗"), "✗")
)</f>
        <v>✓</v>
      </c>
      <c r="I59" t="str" cm="1">
        <f t="array" aca="1" ref="I59" ca="1">IF(
    ISNUMBER(VALUE(LEFT($A59, 1))),
    "",
    IFERROR(IF(_xlfn.XLOOKUP($A59, INDIRECT("'" &amp; I$2 &amp; "'!$A:$A"), INDIRECT("'" &amp; I$2 &amp; "'!$B:$B"), "")&lt;&gt;"", "✓", "✗"), "✗")
)</f>
        <v>✓</v>
      </c>
      <c r="J59" t="str" cm="1">
        <f t="array" aca="1" ref="J59" ca="1">IF(
    ISNUMBER(VALUE(LEFT($A59, 1))),
    "",
    IFERROR(IF(_xlfn.XLOOKUP($A59, INDIRECT("'" &amp; J$2 &amp; "'!$A:$A"), INDIRECT("'" &amp; J$2 &amp; "'!$B:$B"), "")&lt;&gt;"", "✓", "✗"), "✗")
)</f>
        <v>✓</v>
      </c>
      <c r="K59" t="str" cm="1">
        <f t="array" aca="1" ref="K59" ca="1">IF(
    ISNUMBER(VALUE(LEFT($A59, 1))),
    "",
    IFERROR(IF(_xlfn.XLOOKUP($A59, INDIRECT("'" &amp; K$2 &amp; "'!$A:$A"), INDIRECT("'" &amp; K$2 &amp; "'!$B:$B"), "")&lt;&gt;"", "✓", "✗"), "✗")
)</f>
        <v>✓</v>
      </c>
      <c r="L59" t="str" cm="1">
        <f t="array" aca="1" ref="L59" ca="1">IF(
    ISNUMBER(VALUE(LEFT($A59, 1))),
    "",
    IFERROR(IF(_xlfn.XLOOKUP($A59, INDIRECT("'" &amp; L$2 &amp; "'!$A:$A"), INDIRECT("'" &amp; L$2 &amp; "'!$B:$B"), "")&lt;&gt;"", "✓", "✗"), "✗")
)</f>
        <v>✓</v>
      </c>
      <c r="M59" t="str" cm="1">
        <f t="array" aca="1" ref="M59" ca="1">IF(
    ISNUMBER(VALUE(LEFT($A59, 1))),
    "",
    IFERROR(IF(_xlfn.XLOOKUP($A59, INDIRECT("'" &amp; M$2 &amp; "'!$A:$A"), INDIRECT("'" &amp; M$2 &amp; "'!$B:$B"), "")&lt;&gt;"", "✓", "✗"), "✗")
)</f>
        <v>✓</v>
      </c>
      <c r="N59" t="str" cm="1">
        <f t="array" aca="1" ref="N59" ca="1">IF(
    ISNUMBER(VALUE(LEFT($A59, 1))),
    "",
    IFERROR(IF(_xlfn.XLOOKUP($A59, INDIRECT("'" &amp; N$2 &amp; "'!$A:$A"), INDIRECT("'" &amp; N$2 &amp; "'!$B:$B"), "")&lt;&gt;"", "✓", "✗"), "✗")
)</f>
        <v>✓</v>
      </c>
      <c r="O59" t="str" cm="1">
        <f t="array" aca="1" ref="O59" ca="1">IF(
    ISNUMBER(VALUE(LEFT($A59, 1))),
    "",
    IFERROR(IF(_xlfn.XLOOKUP($A59, INDIRECT("'" &amp; O$2 &amp; "'!$A:$A"), INDIRECT("'" &amp; O$2 &amp; "'!$B:$B"), "")&lt;&gt;"", "✓", "✗"), "✗")
)</f>
        <v>✓</v>
      </c>
      <c r="P59" t="str" cm="1">
        <f t="array" aca="1" ref="P59" ca="1">IF(
    ISNUMBER(VALUE(LEFT($A59, 1))),
    "",
    IFERROR(IF(_xlfn.XLOOKUP($A59, INDIRECT("'" &amp; P$2 &amp; "'!$A:$A"), INDIRECT("'" &amp; P$2 &amp; "'!$B:$B"), "")&lt;&gt;"", "✓", "✗"), "✗")
)</f>
        <v>✓</v>
      </c>
      <c r="Q59" t="str" cm="1">
        <f t="array" aca="1" ref="Q59" ca="1">IF(
    ISNUMBER(VALUE(LEFT($A59, 1))),
    "",
    IFERROR(IF(_xlfn.XLOOKUP($A59, INDIRECT("'" &amp; Q$2 &amp; "'!$A:$A"), INDIRECT("'" &amp; Q$2 &amp; "'!$B:$B"), "")&lt;&gt;"", "✓", "✗"), "✗")
)</f>
        <v>✓</v>
      </c>
      <c r="R59" t="str" cm="1">
        <f t="array" aca="1" ref="R59" ca="1">IF(
    ISNUMBER(VALUE(LEFT($A59, 1))),
    "",
    IFERROR(IF(_xlfn.XLOOKUP($A59, INDIRECT("'" &amp; R$2 &amp; "'!$A:$A"), INDIRECT("'" &amp; R$2 &amp; "'!$B:$B"), "")&lt;&gt;"", "✓", "✗"), "✗")
)</f>
        <v>✓</v>
      </c>
      <c r="S59" t="str" cm="1">
        <f t="array" aca="1" ref="S59" ca="1">IF(
    ISNUMBER(VALUE(LEFT($A59, 1))),
    "",
    IFERROR(IF(_xlfn.XLOOKUP($A59, INDIRECT("'" &amp; S$2 &amp; "'!$A:$A"), INDIRECT("'" &amp; S$2 &amp; "'!$B:$B"), "")&lt;&gt;"", "✓", "✗"), "✗")
)</f>
        <v>✓</v>
      </c>
      <c r="T59" t="str" cm="1">
        <f t="array" aca="1" ref="T59" ca="1">IF(
    ISNUMBER(VALUE(LEFT($A59, 1))),
    "",
    IFERROR(IF(_xlfn.XLOOKUP($A59, INDIRECT("'" &amp; T$2 &amp; "'!$A:$A"), INDIRECT("'" &amp; T$2 &amp; "'!$B:$B"), "")&lt;&gt;"", "✓", "✗"), "✗")
)</f>
        <v>✓</v>
      </c>
      <c r="U59" t="str" cm="1">
        <f t="array" aca="1" ref="U59" ca="1">IF(
    ISNUMBER(VALUE(LEFT($A59, 1))),
    "",
    IFERROR(IF(_xlfn.XLOOKUP($A59, INDIRECT("'" &amp; U$2 &amp; "'!$A:$A"), INDIRECT("'" &amp; U$2 &amp; "'!$B:$B"), "")&lt;&gt;"", "✓", "✗"), "✗")
)</f>
        <v>✓</v>
      </c>
      <c r="V59" t="str" cm="1">
        <f t="array" aca="1" ref="V59" ca="1">IF(
    ISNUMBER(VALUE(LEFT($A59, 1))),
    "",
    IFERROR(IF(_xlfn.XLOOKUP($A59, INDIRECT("'" &amp; V$2 &amp; "'!$A:$A"), INDIRECT("'" &amp; V$2 &amp; "'!$B:$B"), "")&lt;&gt;"", "✓", "✗"), "✗")
)</f>
        <v>✓</v>
      </c>
      <c r="W59" t="str" cm="1">
        <f t="array" aca="1" ref="W59" ca="1">IF(
    ISNUMBER(VALUE(LEFT($A59, 1))),
    "",
    IFERROR(IF(_xlfn.XLOOKUP($A59, INDIRECT("'" &amp; W$2 &amp; "'!$A:$A"), INDIRECT("'" &amp; W$2 &amp; "'!$B:$B"), "")&lt;&gt;"", "✓", "✗"), "✗")
)</f>
        <v>✓</v>
      </c>
      <c r="X59" t="str" cm="1">
        <f t="array" aca="1" ref="X59" ca="1">IF(
    ISNUMBER(VALUE(LEFT($A59, 1))),
    "",
    IFERROR(IF(_xlfn.XLOOKUP($A59, INDIRECT("'" &amp; X$2 &amp; "'!$A:$A"), INDIRECT("'" &amp; X$2 &amp; "'!$B:$B"), "")&lt;&gt;"", "✓", "✗"), "✗")
)</f>
        <v>✓</v>
      </c>
      <c r="Y59" t="str" cm="1">
        <f t="array" aca="1" ref="Y59" ca="1">IF(
    ISNUMBER(VALUE(LEFT($A59, 1))),
    "",
    IFERROR(IF(_xlfn.XLOOKUP($A59, INDIRECT("'" &amp; Y$2 &amp; "'!$A:$A"), INDIRECT("'" &amp; Y$2 &amp; "'!$B:$B"), "")&lt;&gt;"", "✓", "✗"), "✗")
)</f>
        <v>✓</v>
      </c>
      <c r="Z59" t="str" cm="1">
        <f t="array" aca="1" ref="Z59" ca="1">IF(
    ISNUMBER(VALUE(LEFT($A59, 1))),
    "",
    IFERROR(IF(_xlfn.XLOOKUP($A59, INDIRECT("'" &amp; Z$2 &amp; "'!$A:$A"), INDIRECT("'" &amp; Z$2 &amp; "'!$B:$B"), "")&lt;&gt;"", "✓", "✗"), "✗")
)</f>
        <v>✓</v>
      </c>
      <c r="AA59" t="str" cm="1">
        <f t="array" aca="1" ref="AA59" ca="1">IF(
    ISNUMBER(VALUE(LEFT($A59, 1))),
    "",
    IFERROR(IF(_xlfn.XLOOKUP($A59, INDIRECT("'" &amp; AA$2 &amp; "'!$A:$A"), INDIRECT("'" &amp; AA$2 &amp; "'!$B:$B"), "")&lt;&gt;"", "✓", "✗"), "✗")
)</f>
        <v>✓</v>
      </c>
      <c r="AB59" t="str" cm="1">
        <f t="array" aca="1" ref="AB59" ca="1">IF(
    ISNUMBER(VALUE(LEFT($A59, 1))),
    "",
    IFERROR(IF(_xlfn.XLOOKUP($A59, INDIRECT("'" &amp; AB$2 &amp; "'!$A:$A"), INDIRECT("'" &amp; AB$2 &amp; "'!$B:$B"), "")&lt;&gt;"", "✓", "✗"), "✗")
)</f>
        <v>✓</v>
      </c>
      <c r="AC59" t="str" cm="1">
        <f t="array" aca="1" ref="AC59" ca="1">IF(
    ISNUMBER(VALUE(LEFT($A59, 1))),
    "",
    IFERROR(IF(_xlfn.XLOOKUP($A59, INDIRECT("'" &amp; AC$2 &amp; "'!$A:$A"), INDIRECT("'" &amp; AC$2 &amp; "'!$B:$B"), "")&lt;&gt;"", "✓", "✗"), "✗")
)</f>
        <v>✗</v>
      </c>
      <c r="AD59" t="str" cm="1">
        <f t="array" aca="1" ref="AD59" ca="1">IF(
    ISNUMBER(VALUE(LEFT($A59, 1))),
    "",
    IFERROR(IF(_xlfn.XLOOKUP($A59, INDIRECT("'" &amp; AD$2 &amp; "'!$A:$A"), INDIRECT("'" &amp; AD$2 &amp; "'!$B:$B"), "")&lt;&gt;"", "✓", "✗"), "✗")
)</f>
        <v>✗</v>
      </c>
      <c r="AE59" t="str" cm="1">
        <f t="array" aca="1" ref="AE59" ca="1">IF(
    ISNUMBER(VALUE(LEFT($A59, 1))),
    "",
    IFERROR(IF(_xlfn.XLOOKUP($A59, INDIRECT("'" &amp; AE$2 &amp; "'!$A:$A"), INDIRECT("'" &amp; AE$2 &amp; "'!$B:$B"), "")&lt;&gt;"", "✓", "✗"), "✗")
)</f>
        <v>✓</v>
      </c>
      <c r="AF59" t="str" cm="1">
        <f t="array" aca="1" ref="AF59" ca="1">IF(
    ISNUMBER(VALUE(LEFT($A59, 1))),
    "",
    IFERROR(IF(_xlfn.XLOOKUP($A59, INDIRECT("'" &amp; AF$2 &amp; "'!$A:$A"), INDIRECT("'" &amp; AF$2 &amp; "'!$B:$B"), "")&lt;&gt;"", "✓", "✗"), "✗")
)</f>
        <v>✓</v>
      </c>
      <c r="AG59" t="str" cm="1">
        <f t="array" aca="1" ref="AG59" ca="1">IF(
    ISNUMBER(VALUE(LEFT($A59, 1))),
    "",
    IFERROR(IF(_xlfn.XLOOKUP($A59, INDIRECT("'" &amp; AG$2 &amp; "'!$A:$A"), INDIRECT("'" &amp; AG$2 &amp; "'!$B:$B"), "")&lt;&gt;"", "✓", "✗"), "✗")
)</f>
        <v>✓</v>
      </c>
    </row>
    <row r="60" spans="1:33" x14ac:dyDescent="0.45">
      <c r="A60" t="str">
        <v>Drive To ID</v>
      </c>
      <c r="B60" t="str" cm="1">
        <f t="array" aca="1" ref="B60" ca="1">IF(
    ISNUMBER(VALUE(LEFT($A60, 1))),
    "",
    IFERROR(IF(_xlfn.XLOOKUP($A60, INDIRECT("'" &amp; B$2 &amp; "'!$A:$A"), INDIRECT("'" &amp; B$2 &amp; "'!$B:$B"), "")&lt;&gt;"", "✓", "✗"), "✗")
)</f>
        <v>✓</v>
      </c>
      <c r="C60" t="str" cm="1">
        <f t="array" aca="1" ref="C60" ca="1">IF(
    ISNUMBER(VALUE(LEFT($A60, 1))),
    "",
    IFERROR(IF(_xlfn.XLOOKUP($A60, INDIRECT("'" &amp; C$2 &amp; "'!$A:$A"), INDIRECT("'" &amp; C$2 &amp; "'!$B:$B"), "")&lt;&gt;"", "✓", "✗"), "✗")
)</f>
        <v>✓</v>
      </c>
      <c r="D60" t="str" cm="1">
        <f t="array" aca="1" ref="D60" ca="1">IF(
    ISNUMBER(VALUE(LEFT($A60, 1))),
    "",
    IFERROR(IF(_xlfn.XLOOKUP($A60, INDIRECT("'" &amp; D$2 &amp; "'!$A:$A"), INDIRECT("'" &amp; D$2 &amp; "'!$B:$B"), "")&lt;&gt;"", "✓", "✗"), "✗")
)</f>
        <v>✓</v>
      </c>
      <c r="E60" t="str" cm="1">
        <f t="array" aca="1" ref="E60" ca="1">IF(
    ISNUMBER(VALUE(LEFT($A60, 1))),
    "",
    IFERROR(IF(_xlfn.XLOOKUP($A60, INDIRECT("'" &amp; E$2 &amp; "'!$A:$A"), INDIRECT("'" &amp; E$2 &amp; "'!$B:$B"), "")&lt;&gt;"", "✓", "✗"), "✗")
)</f>
        <v>✓</v>
      </c>
      <c r="F60" t="str" cm="1">
        <f t="array" aca="1" ref="F60" ca="1">IF(
    ISNUMBER(VALUE(LEFT($A60, 1))),
    "",
    IFERROR(IF(_xlfn.XLOOKUP($A60, INDIRECT("'" &amp; F$2 &amp; "'!$A:$A"), INDIRECT("'" &amp; F$2 &amp; "'!$B:$B"), "")&lt;&gt;"", "✓", "✗"), "✗")
)</f>
        <v>✓</v>
      </c>
      <c r="G60" t="str" cm="1">
        <f t="array" aca="1" ref="G60" ca="1">IF(
    ISNUMBER(VALUE(LEFT($A60, 1))),
    "",
    IFERROR(IF(_xlfn.XLOOKUP($A60, INDIRECT("'" &amp; G$2 &amp; "'!$A:$A"), INDIRECT("'" &amp; G$2 &amp; "'!$B:$B"), "")&lt;&gt;"", "✓", "✗"), "✗")
)</f>
        <v>✓</v>
      </c>
      <c r="H60" t="str" cm="1">
        <f t="array" aca="1" ref="H60" ca="1">IF(
    ISNUMBER(VALUE(LEFT($A60, 1))),
    "",
    IFERROR(IF(_xlfn.XLOOKUP($A60, INDIRECT("'" &amp; H$2 &amp; "'!$A:$A"), INDIRECT("'" &amp; H$2 &amp; "'!$B:$B"), "")&lt;&gt;"", "✓", "✗"), "✗")
)</f>
        <v>✓</v>
      </c>
      <c r="I60" t="str" cm="1">
        <f t="array" aca="1" ref="I60" ca="1">IF(
    ISNUMBER(VALUE(LEFT($A60, 1))),
    "",
    IFERROR(IF(_xlfn.XLOOKUP($A60, INDIRECT("'" &amp; I$2 &amp; "'!$A:$A"), INDIRECT("'" &amp; I$2 &amp; "'!$B:$B"), "")&lt;&gt;"", "✓", "✗"), "✗")
)</f>
        <v>✓</v>
      </c>
      <c r="J60" t="str" cm="1">
        <f t="array" aca="1" ref="J60" ca="1">IF(
    ISNUMBER(VALUE(LEFT($A60, 1))),
    "",
    IFERROR(IF(_xlfn.XLOOKUP($A60, INDIRECT("'" &amp; J$2 &amp; "'!$A:$A"), INDIRECT("'" &amp; J$2 &amp; "'!$B:$B"), "")&lt;&gt;"", "✓", "✗"), "✗")
)</f>
        <v>✓</v>
      </c>
      <c r="K60" t="str" cm="1">
        <f t="array" aca="1" ref="K60" ca="1">IF(
    ISNUMBER(VALUE(LEFT($A60, 1))),
    "",
    IFERROR(IF(_xlfn.XLOOKUP($A60, INDIRECT("'" &amp; K$2 &amp; "'!$A:$A"), INDIRECT("'" &amp; K$2 &amp; "'!$B:$B"), "")&lt;&gt;"", "✓", "✗"), "✗")
)</f>
        <v>✓</v>
      </c>
      <c r="L60" t="str" cm="1">
        <f t="array" aca="1" ref="L60" ca="1">IF(
    ISNUMBER(VALUE(LEFT($A60, 1))),
    "",
    IFERROR(IF(_xlfn.XLOOKUP($A60, INDIRECT("'" &amp; L$2 &amp; "'!$A:$A"), INDIRECT("'" &amp; L$2 &amp; "'!$B:$B"), "")&lt;&gt;"", "✓", "✗"), "✗")
)</f>
        <v>✓</v>
      </c>
      <c r="M60" t="str" cm="1">
        <f t="array" aca="1" ref="M60" ca="1">IF(
    ISNUMBER(VALUE(LEFT($A60, 1))),
    "",
    IFERROR(IF(_xlfn.XLOOKUP($A60, INDIRECT("'" &amp; M$2 &amp; "'!$A:$A"), INDIRECT("'" &amp; M$2 &amp; "'!$B:$B"), "")&lt;&gt;"", "✓", "✗"), "✗")
)</f>
        <v>✓</v>
      </c>
      <c r="N60" t="str" cm="1">
        <f t="array" aca="1" ref="N60" ca="1">IF(
    ISNUMBER(VALUE(LEFT($A60, 1))),
    "",
    IFERROR(IF(_xlfn.XLOOKUP($A60, INDIRECT("'" &amp; N$2 &amp; "'!$A:$A"), INDIRECT("'" &amp; N$2 &amp; "'!$B:$B"), "")&lt;&gt;"", "✓", "✗"), "✗")
)</f>
        <v>✓</v>
      </c>
      <c r="O60" t="str" cm="1">
        <f t="array" aca="1" ref="O60" ca="1">IF(
    ISNUMBER(VALUE(LEFT($A60, 1))),
    "",
    IFERROR(IF(_xlfn.XLOOKUP($A60, INDIRECT("'" &amp; O$2 &amp; "'!$A:$A"), INDIRECT("'" &amp; O$2 &amp; "'!$B:$B"), "")&lt;&gt;"", "✓", "✗"), "✗")
)</f>
        <v>✓</v>
      </c>
      <c r="P60" t="str" cm="1">
        <f t="array" aca="1" ref="P60" ca="1">IF(
    ISNUMBER(VALUE(LEFT($A60, 1))),
    "",
    IFERROR(IF(_xlfn.XLOOKUP($A60, INDIRECT("'" &amp; P$2 &amp; "'!$A:$A"), INDIRECT("'" &amp; P$2 &amp; "'!$B:$B"), "")&lt;&gt;"", "✓", "✗"), "✗")
)</f>
        <v>✓</v>
      </c>
      <c r="Q60" t="str" cm="1">
        <f t="array" aca="1" ref="Q60" ca="1">IF(
    ISNUMBER(VALUE(LEFT($A60, 1))),
    "",
    IFERROR(IF(_xlfn.XLOOKUP($A60, INDIRECT("'" &amp; Q$2 &amp; "'!$A:$A"), INDIRECT("'" &amp; Q$2 &amp; "'!$B:$B"), "")&lt;&gt;"", "✓", "✗"), "✗")
)</f>
        <v>✓</v>
      </c>
      <c r="R60" t="str" cm="1">
        <f t="array" aca="1" ref="R60" ca="1">IF(
    ISNUMBER(VALUE(LEFT($A60, 1))),
    "",
    IFERROR(IF(_xlfn.XLOOKUP($A60, INDIRECT("'" &amp; R$2 &amp; "'!$A:$A"), INDIRECT("'" &amp; R$2 &amp; "'!$B:$B"), "")&lt;&gt;"", "✓", "✗"), "✗")
)</f>
        <v>✓</v>
      </c>
      <c r="S60" t="str" cm="1">
        <f t="array" aca="1" ref="S60" ca="1">IF(
    ISNUMBER(VALUE(LEFT($A60, 1))),
    "",
    IFERROR(IF(_xlfn.XLOOKUP($A60, INDIRECT("'" &amp; S$2 &amp; "'!$A:$A"), INDIRECT("'" &amp; S$2 &amp; "'!$B:$B"), "")&lt;&gt;"", "✓", "✗"), "✗")
)</f>
        <v>✓</v>
      </c>
      <c r="T60" t="str" cm="1">
        <f t="array" aca="1" ref="T60" ca="1">IF(
    ISNUMBER(VALUE(LEFT($A60, 1))),
    "",
    IFERROR(IF(_xlfn.XLOOKUP($A60, INDIRECT("'" &amp; T$2 &amp; "'!$A:$A"), INDIRECT("'" &amp; T$2 &amp; "'!$B:$B"), "")&lt;&gt;"", "✓", "✗"), "✗")
)</f>
        <v>✓</v>
      </c>
      <c r="U60" t="str" cm="1">
        <f t="array" aca="1" ref="U60" ca="1">IF(
    ISNUMBER(VALUE(LEFT($A60, 1))),
    "",
    IFERROR(IF(_xlfn.XLOOKUP($A60, INDIRECT("'" &amp; U$2 &amp; "'!$A:$A"), INDIRECT("'" &amp; U$2 &amp; "'!$B:$B"), "")&lt;&gt;"", "✓", "✗"), "✗")
)</f>
        <v>✓</v>
      </c>
      <c r="V60" t="str" cm="1">
        <f t="array" aca="1" ref="V60" ca="1">IF(
    ISNUMBER(VALUE(LEFT($A60, 1))),
    "",
    IFERROR(IF(_xlfn.XLOOKUP($A60, INDIRECT("'" &amp; V$2 &amp; "'!$A:$A"), INDIRECT("'" &amp; V$2 &amp; "'!$B:$B"), "")&lt;&gt;"", "✓", "✗"), "✗")
)</f>
        <v>✓</v>
      </c>
      <c r="W60" t="str" cm="1">
        <f t="array" aca="1" ref="W60" ca="1">IF(
    ISNUMBER(VALUE(LEFT($A60, 1))),
    "",
    IFERROR(IF(_xlfn.XLOOKUP($A60, INDIRECT("'" &amp; W$2 &amp; "'!$A:$A"), INDIRECT("'" &amp; W$2 &amp; "'!$B:$B"), "")&lt;&gt;"", "✓", "✗"), "✗")
)</f>
        <v>✓</v>
      </c>
      <c r="X60" t="str" cm="1">
        <f t="array" aca="1" ref="X60" ca="1">IF(
    ISNUMBER(VALUE(LEFT($A60, 1))),
    "",
    IFERROR(IF(_xlfn.XLOOKUP($A60, INDIRECT("'" &amp; X$2 &amp; "'!$A:$A"), INDIRECT("'" &amp; X$2 &amp; "'!$B:$B"), "")&lt;&gt;"", "✓", "✗"), "✗")
)</f>
        <v>✓</v>
      </c>
      <c r="Y60" t="str" cm="1">
        <f t="array" aca="1" ref="Y60" ca="1">IF(
    ISNUMBER(VALUE(LEFT($A60, 1))),
    "",
    IFERROR(IF(_xlfn.XLOOKUP($A60, INDIRECT("'" &amp; Y$2 &amp; "'!$A:$A"), INDIRECT("'" &amp; Y$2 &amp; "'!$B:$B"), "")&lt;&gt;"", "✓", "✗"), "✗")
)</f>
        <v>✓</v>
      </c>
      <c r="Z60" t="str" cm="1">
        <f t="array" aca="1" ref="Z60" ca="1">IF(
    ISNUMBER(VALUE(LEFT($A60, 1))),
    "",
    IFERROR(IF(_xlfn.XLOOKUP($A60, INDIRECT("'" &amp; Z$2 &amp; "'!$A:$A"), INDIRECT("'" &amp; Z$2 &amp; "'!$B:$B"), "")&lt;&gt;"", "✓", "✗"), "✗")
)</f>
        <v>✓</v>
      </c>
      <c r="AA60" t="str" cm="1">
        <f t="array" aca="1" ref="AA60" ca="1">IF(
    ISNUMBER(VALUE(LEFT($A60, 1))),
    "",
    IFERROR(IF(_xlfn.XLOOKUP($A60, INDIRECT("'" &amp; AA$2 &amp; "'!$A:$A"), INDIRECT("'" &amp; AA$2 &amp; "'!$B:$B"), "")&lt;&gt;"", "✓", "✗"), "✗")
)</f>
        <v>✓</v>
      </c>
      <c r="AB60" t="str" cm="1">
        <f t="array" aca="1" ref="AB60" ca="1">IF(
    ISNUMBER(VALUE(LEFT($A60, 1))),
    "",
    IFERROR(IF(_xlfn.XLOOKUP($A60, INDIRECT("'" &amp; AB$2 &amp; "'!$A:$A"), INDIRECT("'" &amp; AB$2 &amp; "'!$B:$B"), "")&lt;&gt;"", "✓", "✗"), "✗")
)</f>
        <v>✓</v>
      </c>
      <c r="AC60" t="str" cm="1">
        <f t="array" aca="1" ref="AC60" ca="1">IF(
    ISNUMBER(VALUE(LEFT($A60, 1))),
    "",
    IFERROR(IF(_xlfn.XLOOKUP($A60, INDIRECT("'" &amp; AC$2 &amp; "'!$A:$A"), INDIRECT("'" &amp; AC$2 &amp; "'!$B:$B"), "")&lt;&gt;"", "✓", "✗"), "✗")
)</f>
        <v>✗</v>
      </c>
      <c r="AD60" t="str" cm="1">
        <f t="array" aca="1" ref="AD60" ca="1">IF(
    ISNUMBER(VALUE(LEFT($A60, 1))),
    "",
    IFERROR(IF(_xlfn.XLOOKUP($A60, INDIRECT("'" &amp; AD$2 &amp; "'!$A:$A"), INDIRECT("'" &amp; AD$2 &amp; "'!$B:$B"), "")&lt;&gt;"", "✓", "✗"), "✗")
)</f>
        <v>✗</v>
      </c>
      <c r="AE60" t="str" cm="1">
        <f t="array" aca="1" ref="AE60" ca="1">IF(
    ISNUMBER(VALUE(LEFT($A60, 1))),
    "",
    IFERROR(IF(_xlfn.XLOOKUP($A60, INDIRECT("'" &amp; AE$2 &amp; "'!$A:$A"), INDIRECT("'" &amp; AE$2 &amp; "'!$B:$B"), "")&lt;&gt;"", "✓", "✗"), "✗")
)</f>
        <v>✓</v>
      </c>
      <c r="AF60" t="str" cm="1">
        <f t="array" aca="1" ref="AF60" ca="1">IF(
    ISNUMBER(VALUE(LEFT($A60, 1))),
    "",
    IFERROR(IF(_xlfn.XLOOKUP($A60, INDIRECT("'" &amp; AF$2 &amp; "'!$A:$A"), INDIRECT("'" &amp; AF$2 &amp; "'!$B:$B"), "")&lt;&gt;"", "✓", "✗"), "✗")
)</f>
        <v>✓</v>
      </c>
      <c r="AG60" t="str" cm="1">
        <f t="array" aca="1" ref="AG60" ca="1">IF(
    ISNUMBER(VALUE(LEFT($A60, 1))),
    "",
    IFERROR(IF(_xlfn.XLOOKUP($A60, INDIRECT("'" &amp; AG$2 &amp; "'!$A:$A"), INDIRECT("'" &amp; AG$2 &amp; "'!$B:$B"), "")&lt;&gt;"", "✓", "✗"), "✗")
)</f>
        <v>✓</v>
      </c>
    </row>
    <row r="61" spans="1:33" x14ac:dyDescent="0.45">
      <c r="A61" t="str">
        <v>DTID Reporting Channel</v>
      </c>
      <c r="B61" t="str" cm="1">
        <f t="array" aca="1" ref="B61" ca="1">IF(
    ISNUMBER(VALUE(LEFT($A61, 1))),
    "",
    IFERROR(IF(_xlfn.XLOOKUP($A61, INDIRECT("'" &amp; B$2 &amp; "'!$A:$A"), INDIRECT("'" &amp; B$2 &amp; "'!$B:$B"), "")&lt;&gt;"", "✓", "✗"), "✗")
)</f>
        <v>✓</v>
      </c>
      <c r="C61" t="str" cm="1">
        <f t="array" aca="1" ref="C61" ca="1">IF(
    ISNUMBER(VALUE(LEFT($A61, 1))),
    "",
    IFERROR(IF(_xlfn.XLOOKUP($A61, INDIRECT("'" &amp; C$2 &amp; "'!$A:$A"), INDIRECT("'" &amp; C$2 &amp; "'!$B:$B"), "")&lt;&gt;"", "✓", "✗"), "✗")
)</f>
        <v>✓</v>
      </c>
      <c r="D61" t="str" cm="1">
        <f t="array" aca="1" ref="D61" ca="1">IF(
    ISNUMBER(VALUE(LEFT($A61, 1))),
    "",
    IFERROR(IF(_xlfn.XLOOKUP($A61, INDIRECT("'" &amp; D$2 &amp; "'!$A:$A"), INDIRECT("'" &amp; D$2 &amp; "'!$B:$B"), "")&lt;&gt;"", "✓", "✗"), "✗")
)</f>
        <v>✓</v>
      </c>
      <c r="E61" t="str" cm="1">
        <f t="array" aca="1" ref="E61" ca="1">IF(
    ISNUMBER(VALUE(LEFT($A61, 1))),
    "",
    IFERROR(IF(_xlfn.XLOOKUP($A61, INDIRECT("'" &amp; E$2 &amp; "'!$A:$A"), INDIRECT("'" &amp; E$2 &amp; "'!$B:$B"), "")&lt;&gt;"", "✓", "✗"), "✗")
)</f>
        <v>✓</v>
      </c>
      <c r="F61" t="str" cm="1">
        <f t="array" aca="1" ref="F61" ca="1">IF(
    ISNUMBER(VALUE(LEFT($A61, 1))),
    "",
    IFERROR(IF(_xlfn.XLOOKUP($A61, INDIRECT("'" &amp; F$2 &amp; "'!$A:$A"), INDIRECT("'" &amp; F$2 &amp; "'!$B:$B"), "")&lt;&gt;"", "✓", "✗"), "✗")
)</f>
        <v>✓</v>
      </c>
      <c r="G61" t="str" cm="1">
        <f t="array" aca="1" ref="G61" ca="1">IF(
    ISNUMBER(VALUE(LEFT($A61, 1))),
    "",
    IFERROR(IF(_xlfn.XLOOKUP($A61, INDIRECT("'" &amp; G$2 &amp; "'!$A:$A"), INDIRECT("'" &amp; G$2 &amp; "'!$B:$B"), "")&lt;&gt;"", "✓", "✗"), "✗")
)</f>
        <v>✗</v>
      </c>
      <c r="H61" t="str" cm="1">
        <f t="array" aca="1" ref="H61" ca="1">IF(
    ISNUMBER(VALUE(LEFT($A61, 1))),
    "",
    IFERROR(IF(_xlfn.XLOOKUP($A61, INDIRECT("'" &amp; H$2 &amp; "'!$A:$A"), INDIRECT("'" &amp; H$2 &amp; "'!$B:$B"), "")&lt;&gt;"", "✓", "✗"), "✗")
)</f>
        <v>✗</v>
      </c>
      <c r="I61" t="str" cm="1">
        <f t="array" aca="1" ref="I61" ca="1">IF(
    ISNUMBER(VALUE(LEFT($A61, 1))),
    "",
    IFERROR(IF(_xlfn.XLOOKUP($A61, INDIRECT("'" &amp; I$2 &amp; "'!$A:$A"), INDIRECT("'" &amp; I$2 &amp; "'!$B:$B"), "")&lt;&gt;"", "✓", "✗"), "✗")
)</f>
        <v>✓</v>
      </c>
      <c r="J61" t="str" cm="1">
        <f t="array" aca="1" ref="J61" ca="1">IF(
    ISNUMBER(VALUE(LEFT($A61, 1))),
    "",
    IFERROR(IF(_xlfn.XLOOKUP($A61, INDIRECT("'" &amp; J$2 &amp; "'!$A:$A"), INDIRECT("'" &amp; J$2 &amp; "'!$B:$B"), "")&lt;&gt;"", "✓", "✗"), "✗")
)</f>
        <v>✓</v>
      </c>
      <c r="K61" t="str" cm="1">
        <f t="array" aca="1" ref="K61" ca="1">IF(
    ISNUMBER(VALUE(LEFT($A61, 1))),
    "",
    IFERROR(IF(_xlfn.XLOOKUP($A61, INDIRECT("'" &amp; K$2 &amp; "'!$A:$A"), INDIRECT("'" &amp; K$2 &amp; "'!$B:$B"), "")&lt;&gt;"", "✓", "✗"), "✗")
)</f>
        <v>✗</v>
      </c>
      <c r="L61" t="str" cm="1">
        <f t="array" aca="1" ref="L61" ca="1">IF(
    ISNUMBER(VALUE(LEFT($A61, 1))),
    "",
    IFERROR(IF(_xlfn.XLOOKUP($A61, INDIRECT("'" &amp; L$2 &amp; "'!$A:$A"), INDIRECT("'" &amp; L$2 &amp; "'!$B:$B"), "")&lt;&gt;"", "✓", "✗"), "✗")
)</f>
        <v>✗</v>
      </c>
      <c r="M61" t="str" cm="1">
        <f t="array" aca="1" ref="M61" ca="1">IF(
    ISNUMBER(VALUE(LEFT($A61, 1))),
    "",
    IFERROR(IF(_xlfn.XLOOKUP($A61, INDIRECT("'" &amp; M$2 &amp; "'!$A:$A"), INDIRECT("'" &amp; M$2 &amp; "'!$B:$B"), "")&lt;&gt;"", "✓", "✗"), "✗")
)</f>
        <v>✗</v>
      </c>
      <c r="N61" t="str" cm="1">
        <f t="array" aca="1" ref="N61" ca="1">IF(
    ISNUMBER(VALUE(LEFT($A61, 1))),
    "",
    IFERROR(IF(_xlfn.XLOOKUP($A61, INDIRECT("'" &amp; N$2 &amp; "'!$A:$A"), INDIRECT("'" &amp; N$2 &amp; "'!$B:$B"), "")&lt;&gt;"", "✓", "✗"), "✗")
)</f>
        <v>✗</v>
      </c>
      <c r="O61" t="str" cm="1">
        <f t="array" aca="1" ref="O61" ca="1">IF(
    ISNUMBER(VALUE(LEFT($A61, 1))),
    "",
    IFERROR(IF(_xlfn.XLOOKUP($A61, INDIRECT("'" &amp; O$2 &amp; "'!$A:$A"), INDIRECT("'" &amp; O$2 &amp; "'!$B:$B"), "")&lt;&gt;"", "✓", "✗"), "✗")
)</f>
        <v>✗</v>
      </c>
      <c r="P61" t="str" cm="1">
        <f t="array" aca="1" ref="P61" ca="1">IF(
    ISNUMBER(VALUE(LEFT($A61, 1))),
    "",
    IFERROR(IF(_xlfn.XLOOKUP($A61, INDIRECT("'" &amp; P$2 &amp; "'!$A:$A"), INDIRECT("'" &amp; P$2 &amp; "'!$B:$B"), "")&lt;&gt;"", "✓", "✗"), "✗")
)</f>
        <v>✗</v>
      </c>
      <c r="Q61" t="str" cm="1">
        <f t="array" aca="1" ref="Q61" ca="1">IF(
    ISNUMBER(VALUE(LEFT($A61, 1))),
    "",
    IFERROR(IF(_xlfn.XLOOKUP($A61, INDIRECT("'" &amp; Q$2 &amp; "'!$A:$A"), INDIRECT("'" &amp; Q$2 &amp; "'!$B:$B"), "")&lt;&gt;"", "✓", "✗"), "✗")
)</f>
        <v>✗</v>
      </c>
      <c r="R61" t="str" cm="1">
        <f t="array" aca="1" ref="R61" ca="1">IF(
    ISNUMBER(VALUE(LEFT($A61, 1))),
    "",
    IFERROR(IF(_xlfn.XLOOKUP($A61, INDIRECT("'" &amp; R$2 &amp; "'!$A:$A"), INDIRECT("'" &amp; R$2 &amp; "'!$B:$B"), "")&lt;&gt;"", "✓", "✗"), "✗")
)</f>
        <v>✗</v>
      </c>
      <c r="S61" t="str" cm="1">
        <f t="array" aca="1" ref="S61" ca="1">IF(
    ISNUMBER(VALUE(LEFT($A61, 1))),
    "",
    IFERROR(IF(_xlfn.XLOOKUP($A61, INDIRECT("'" &amp; S$2 &amp; "'!$A:$A"), INDIRECT("'" &amp; S$2 &amp; "'!$B:$B"), "")&lt;&gt;"", "✓", "✗"), "✗")
)</f>
        <v>✗</v>
      </c>
      <c r="T61" t="str" cm="1">
        <f t="array" aca="1" ref="T61" ca="1">IF(
    ISNUMBER(VALUE(LEFT($A61, 1))),
    "",
    IFERROR(IF(_xlfn.XLOOKUP($A61, INDIRECT("'" &amp; T$2 &amp; "'!$A:$A"), INDIRECT("'" &amp; T$2 &amp; "'!$B:$B"), "")&lt;&gt;"", "✓", "✗"), "✗")
)</f>
        <v>✗</v>
      </c>
      <c r="U61" t="str" cm="1">
        <f t="array" aca="1" ref="U61" ca="1">IF(
    ISNUMBER(VALUE(LEFT($A61, 1))),
    "",
    IFERROR(IF(_xlfn.XLOOKUP($A61, INDIRECT("'" &amp; U$2 &amp; "'!$A:$A"), INDIRECT("'" &amp; U$2 &amp; "'!$B:$B"), "")&lt;&gt;"", "✓", "✗"), "✗")
)</f>
        <v>✗</v>
      </c>
      <c r="V61" t="str" cm="1">
        <f t="array" aca="1" ref="V61" ca="1">IF(
    ISNUMBER(VALUE(LEFT($A61, 1))),
    "",
    IFERROR(IF(_xlfn.XLOOKUP($A61, INDIRECT("'" &amp; V$2 &amp; "'!$A:$A"), INDIRECT("'" &amp; V$2 &amp; "'!$B:$B"), "")&lt;&gt;"", "✓", "✗"), "✗")
)</f>
        <v>✗</v>
      </c>
      <c r="W61" t="str" cm="1">
        <f t="array" aca="1" ref="W61" ca="1">IF(
    ISNUMBER(VALUE(LEFT($A61, 1))),
    "",
    IFERROR(IF(_xlfn.XLOOKUP($A61, INDIRECT("'" &amp; W$2 &amp; "'!$A:$A"), INDIRECT("'" &amp; W$2 &amp; "'!$B:$B"), "")&lt;&gt;"", "✓", "✗"), "✗")
)</f>
        <v>✗</v>
      </c>
      <c r="X61" t="str" cm="1">
        <f t="array" aca="1" ref="X61" ca="1">IF(
    ISNUMBER(VALUE(LEFT($A61, 1))),
    "",
    IFERROR(IF(_xlfn.XLOOKUP($A61, INDIRECT("'" &amp; X$2 &amp; "'!$A:$A"), INDIRECT("'" &amp; X$2 &amp; "'!$B:$B"), "")&lt;&gt;"", "✓", "✗"), "✗")
)</f>
        <v>✓</v>
      </c>
      <c r="Y61" t="str" cm="1">
        <f t="array" aca="1" ref="Y61" ca="1">IF(
    ISNUMBER(VALUE(LEFT($A61, 1))),
    "",
    IFERROR(IF(_xlfn.XLOOKUP($A61, INDIRECT("'" &amp; Y$2 &amp; "'!$A:$A"), INDIRECT("'" &amp; Y$2 &amp; "'!$B:$B"), "")&lt;&gt;"", "✓", "✗"), "✗")
)</f>
        <v>✓</v>
      </c>
      <c r="Z61" t="str" cm="1">
        <f t="array" aca="1" ref="Z61" ca="1">IF(
    ISNUMBER(VALUE(LEFT($A61, 1))),
    "",
    IFERROR(IF(_xlfn.XLOOKUP($A61, INDIRECT("'" &amp; Z$2 &amp; "'!$A:$A"), INDIRECT("'" &amp; Z$2 &amp; "'!$B:$B"), "")&lt;&gt;"", "✓", "✗"), "✗")
)</f>
        <v>✓</v>
      </c>
      <c r="AA61" t="str" cm="1">
        <f t="array" aca="1" ref="AA61" ca="1">IF(
    ISNUMBER(VALUE(LEFT($A61, 1))),
    "",
    IFERROR(IF(_xlfn.XLOOKUP($A61, INDIRECT("'" &amp; AA$2 &amp; "'!$A:$A"), INDIRECT("'" &amp; AA$2 &amp; "'!$B:$B"), "")&lt;&gt;"", "✓", "✗"), "✗")
)</f>
        <v>✗</v>
      </c>
      <c r="AB61" t="str" cm="1">
        <f t="array" aca="1" ref="AB61" ca="1">IF(
    ISNUMBER(VALUE(LEFT($A61, 1))),
    "",
    IFERROR(IF(_xlfn.XLOOKUP($A61, INDIRECT("'" &amp; AB$2 &amp; "'!$A:$A"), INDIRECT("'" &amp; AB$2 &amp; "'!$B:$B"), "")&lt;&gt;"", "✓", "✗"), "✗")
)</f>
        <v>✓</v>
      </c>
      <c r="AC61" t="str" cm="1">
        <f t="array" aca="1" ref="AC61" ca="1">IF(
    ISNUMBER(VALUE(LEFT($A61, 1))),
    "",
    IFERROR(IF(_xlfn.XLOOKUP($A61, INDIRECT("'" &amp; AC$2 &amp; "'!$A:$A"), INDIRECT("'" &amp; AC$2 &amp; "'!$B:$B"), "")&lt;&gt;"", "✓", "✗"), "✗")
)</f>
        <v>✗</v>
      </c>
      <c r="AD61" t="str" cm="1">
        <f t="array" aca="1" ref="AD61" ca="1">IF(
    ISNUMBER(VALUE(LEFT($A61, 1))),
    "",
    IFERROR(IF(_xlfn.XLOOKUP($A61, INDIRECT("'" &amp; AD$2 &amp; "'!$A:$A"), INDIRECT("'" &amp; AD$2 &amp; "'!$B:$B"), "")&lt;&gt;"", "✓", "✗"), "✗")
)</f>
        <v>✗</v>
      </c>
      <c r="AE61" t="str" cm="1">
        <f t="array" aca="1" ref="AE61" ca="1">IF(
    ISNUMBER(VALUE(LEFT($A61, 1))),
    "",
    IFERROR(IF(_xlfn.XLOOKUP($A61, INDIRECT("'" &amp; AE$2 &amp; "'!$A:$A"), INDIRECT("'" &amp; AE$2 &amp; "'!$B:$B"), "")&lt;&gt;"", "✓", "✗"), "✗")
)</f>
        <v>✓</v>
      </c>
      <c r="AF61" t="str" cm="1">
        <f t="array" aca="1" ref="AF61" ca="1">IF(
    ISNUMBER(VALUE(LEFT($A61, 1))),
    "",
    IFERROR(IF(_xlfn.XLOOKUP($A61, INDIRECT("'" &amp; AF$2 &amp; "'!$A:$A"), INDIRECT("'" &amp; AF$2 &amp; "'!$B:$B"), "")&lt;&gt;"", "✓", "✗"), "✗")
)</f>
        <v>✓</v>
      </c>
      <c r="AG61" t="str" cm="1">
        <f t="array" aca="1" ref="AG61" ca="1">IF(
    ISNUMBER(VALUE(LEFT($A61, 1))),
    "",
    IFERROR(IF(_xlfn.XLOOKUP($A61, INDIRECT("'" &amp; AG$2 &amp; "'!$A:$A"), INDIRECT("'" &amp; AG$2 &amp; "'!$B:$B"), "")&lt;&gt;"", "✓", "✗"), "✗")
)</f>
        <v>✓</v>
      </c>
    </row>
    <row r="62" spans="1:33" x14ac:dyDescent="0.45">
      <c r="A62" t="str">
        <v>Vehicle</v>
      </c>
      <c r="B62" t="str" cm="1">
        <f t="array" aca="1" ref="B62" ca="1">IF(
    ISNUMBER(VALUE(LEFT($A62, 1))),
    "",
    IFERROR(IF(_xlfn.XLOOKUP($A62, INDIRECT("'" &amp; B$2 &amp; "'!$A:$A"), INDIRECT("'" &amp; B$2 &amp; "'!$B:$B"), "")&lt;&gt;"", "✓", "✗"), "✗")
)</f>
        <v>✓</v>
      </c>
      <c r="C62" t="str" cm="1">
        <f t="array" aca="1" ref="C62" ca="1">IF(
    ISNUMBER(VALUE(LEFT($A62, 1))),
    "",
    IFERROR(IF(_xlfn.XLOOKUP($A62, INDIRECT("'" &amp; C$2 &amp; "'!$A:$A"), INDIRECT("'" &amp; C$2 &amp; "'!$B:$B"), "")&lt;&gt;"", "✓", "✗"), "✗")
)</f>
        <v>✓</v>
      </c>
      <c r="D62" t="str" cm="1">
        <f t="array" aca="1" ref="D62" ca="1">IF(
    ISNUMBER(VALUE(LEFT($A62, 1))),
    "",
    IFERROR(IF(_xlfn.XLOOKUP($A62, INDIRECT("'" &amp; D$2 &amp; "'!$A:$A"), INDIRECT("'" &amp; D$2 &amp; "'!$B:$B"), "")&lt;&gt;"", "✓", "✗"), "✗")
)</f>
        <v>✓</v>
      </c>
      <c r="E62" t="str" cm="1">
        <f t="array" aca="1" ref="E62" ca="1">IF(
    ISNUMBER(VALUE(LEFT($A62, 1))),
    "",
    IFERROR(IF(_xlfn.XLOOKUP($A62, INDIRECT("'" &amp; E$2 &amp; "'!$A:$A"), INDIRECT("'" &amp; E$2 &amp; "'!$B:$B"), "")&lt;&gt;"", "✓", "✗"), "✗")
)</f>
        <v>✓</v>
      </c>
      <c r="F62" t="str" cm="1">
        <f t="array" aca="1" ref="F62" ca="1">IF(
    ISNUMBER(VALUE(LEFT($A62, 1))),
    "",
    IFERROR(IF(_xlfn.XLOOKUP($A62, INDIRECT("'" &amp; F$2 &amp; "'!$A:$A"), INDIRECT("'" &amp; F$2 &amp; "'!$B:$B"), "")&lt;&gt;"", "✓", "✗"), "✗")
)</f>
        <v>✓</v>
      </c>
      <c r="G62" t="str" cm="1">
        <f t="array" aca="1" ref="G62" ca="1">IF(
    ISNUMBER(VALUE(LEFT($A62, 1))),
    "",
    IFERROR(IF(_xlfn.XLOOKUP($A62, INDIRECT("'" &amp; G$2 &amp; "'!$A:$A"), INDIRECT("'" &amp; G$2 &amp; "'!$B:$B"), "")&lt;&gt;"", "✓", "✗"), "✗")
)</f>
        <v>✓</v>
      </c>
      <c r="H62" t="str" cm="1">
        <f t="array" aca="1" ref="H62" ca="1">IF(
    ISNUMBER(VALUE(LEFT($A62, 1))),
    "",
    IFERROR(IF(_xlfn.XLOOKUP($A62, INDIRECT("'" &amp; H$2 &amp; "'!$A:$A"), INDIRECT("'" &amp; H$2 &amp; "'!$B:$B"), "")&lt;&gt;"", "✓", "✗"), "✗")
)</f>
        <v>✓</v>
      </c>
      <c r="I62" t="str" cm="1">
        <f t="array" aca="1" ref="I62" ca="1">IF(
    ISNUMBER(VALUE(LEFT($A62, 1))),
    "",
    IFERROR(IF(_xlfn.XLOOKUP($A62, INDIRECT("'" &amp; I$2 &amp; "'!$A:$A"), INDIRECT("'" &amp; I$2 &amp; "'!$B:$B"), "")&lt;&gt;"", "✓", "✗"), "✗")
)</f>
        <v>✓</v>
      </c>
      <c r="J62" t="str" cm="1">
        <f t="array" aca="1" ref="J62" ca="1">IF(
    ISNUMBER(VALUE(LEFT($A62, 1))),
    "",
    IFERROR(IF(_xlfn.XLOOKUP($A62, INDIRECT("'" &amp; J$2 &amp; "'!$A:$A"), INDIRECT("'" &amp; J$2 &amp; "'!$B:$B"), "")&lt;&gt;"", "✓", "✗"), "✗")
)</f>
        <v>✓</v>
      </c>
      <c r="K62" t="str" cm="1">
        <f t="array" aca="1" ref="K62" ca="1">IF(
    ISNUMBER(VALUE(LEFT($A62, 1))),
    "",
    IFERROR(IF(_xlfn.XLOOKUP($A62, INDIRECT("'" &amp; K$2 &amp; "'!$A:$A"), INDIRECT("'" &amp; K$2 &amp; "'!$B:$B"), "")&lt;&gt;"", "✓", "✗"), "✗")
)</f>
        <v>✓</v>
      </c>
      <c r="L62" t="str" cm="1">
        <f t="array" aca="1" ref="L62" ca="1">IF(
    ISNUMBER(VALUE(LEFT($A62, 1))),
    "",
    IFERROR(IF(_xlfn.XLOOKUP($A62, INDIRECT("'" &amp; L$2 &amp; "'!$A:$A"), INDIRECT("'" &amp; L$2 &amp; "'!$B:$B"), "")&lt;&gt;"", "✓", "✗"), "✗")
)</f>
        <v>✓</v>
      </c>
      <c r="M62" t="str" cm="1">
        <f t="array" aca="1" ref="M62" ca="1">IF(
    ISNUMBER(VALUE(LEFT($A62, 1))),
    "",
    IFERROR(IF(_xlfn.XLOOKUP($A62, INDIRECT("'" &amp; M$2 &amp; "'!$A:$A"), INDIRECT("'" &amp; M$2 &amp; "'!$B:$B"), "")&lt;&gt;"", "✓", "✗"), "✗")
)</f>
        <v>✓</v>
      </c>
      <c r="N62" t="str" cm="1">
        <f t="array" aca="1" ref="N62" ca="1">IF(
    ISNUMBER(VALUE(LEFT($A62, 1))),
    "",
    IFERROR(IF(_xlfn.XLOOKUP($A62, INDIRECT("'" &amp; N$2 &amp; "'!$A:$A"), INDIRECT("'" &amp; N$2 &amp; "'!$B:$B"), "")&lt;&gt;"", "✓", "✗"), "✗")
)</f>
        <v>✓</v>
      </c>
      <c r="O62" t="str" cm="1">
        <f t="array" aca="1" ref="O62" ca="1">IF(
    ISNUMBER(VALUE(LEFT($A62, 1))),
    "",
    IFERROR(IF(_xlfn.XLOOKUP($A62, INDIRECT("'" &amp; O$2 &amp; "'!$A:$A"), INDIRECT("'" &amp; O$2 &amp; "'!$B:$B"), "")&lt;&gt;"", "✓", "✗"), "✗")
)</f>
        <v>✓</v>
      </c>
      <c r="P62" t="str" cm="1">
        <f t="array" aca="1" ref="P62" ca="1">IF(
    ISNUMBER(VALUE(LEFT($A62, 1))),
    "",
    IFERROR(IF(_xlfn.XLOOKUP($A62, INDIRECT("'" &amp; P$2 &amp; "'!$A:$A"), INDIRECT("'" &amp; P$2 &amp; "'!$B:$B"), "")&lt;&gt;"", "✓", "✗"), "✗")
)</f>
        <v>✓</v>
      </c>
      <c r="Q62" t="str" cm="1">
        <f t="array" aca="1" ref="Q62" ca="1">IF(
    ISNUMBER(VALUE(LEFT($A62, 1))),
    "",
    IFERROR(IF(_xlfn.XLOOKUP($A62, INDIRECT("'" &amp; Q$2 &amp; "'!$A:$A"), INDIRECT("'" &amp; Q$2 &amp; "'!$B:$B"), "")&lt;&gt;"", "✓", "✗"), "✗")
)</f>
        <v>✓</v>
      </c>
      <c r="R62" t="str" cm="1">
        <f t="array" aca="1" ref="R62" ca="1">IF(
    ISNUMBER(VALUE(LEFT($A62, 1))),
    "",
    IFERROR(IF(_xlfn.XLOOKUP($A62, INDIRECT("'" &amp; R$2 &amp; "'!$A:$A"), INDIRECT("'" &amp; R$2 &amp; "'!$B:$B"), "")&lt;&gt;"", "✓", "✗"), "✗")
)</f>
        <v>✓</v>
      </c>
      <c r="S62" t="str" cm="1">
        <f t="array" aca="1" ref="S62" ca="1">IF(
    ISNUMBER(VALUE(LEFT($A62, 1))),
    "",
    IFERROR(IF(_xlfn.XLOOKUP($A62, INDIRECT("'" &amp; S$2 &amp; "'!$A:$A"), INDIRECT("'" &amp; S$2 &amp; "'!$B:$B"), "")&lt;&gt;"", "✓", "✗"), "✗")
)</f>
        <v>✓</v>
      </c>
      <c r="T62" t="str" cm="1">
        <f t="array" aca="1" ref="T62" ca="1">IF(
    ISNUMBER(VALUE(LEFT($A62, 1))),
    "",
    IFERROR(IF(_xlfn.XLOOKUP($A62, INDIRECT("'" &amp; T$2 &amp; "'!$A:$A"), INDIRECT("'" &amp; T$2 &amp; "'!$B:$B"), "")&lt;&gt;"", "✓", "✗"), "✗")
)</f>
        <v>✓</v>
      </c>
      <c r="U62" t="str" cm="1">
        <f t="array" aca="1" ref="U62" ca="1">IF(
    ISNUMBER(VALUE(LEFT($A62, 1))),
    "",
    IFERROR(IF(_xlfn.XLOOKUP($A62, INDIRECT("'" &amp; U$2 &amp; "'!$A:$A"), INDIRECT("'" &amp; U$2 &amp; "'!$B:$B"), "")&lt;&gt;"", "✓", "✗"), "✗")
)</f>
        <v>✓</v>
      </c>
      <c r="V62" t="str" cm="1">
        <f t="array" aca="1" ref="V62" ca="1">IF(
    ISNUMBER(VALUE(LEFT($A62, 1))),
    "",
    IFERROR(IF(_xlfn.XLOOKUP($A62, INDIRECT("'" &amp; V$2 &amp; "'!$A:$A"), INDIRECT("'" &amp; V$2 &amp; "'!$B:$B"), "")&lt;&gt;"", "✓", "✗"), "✗")
)</f>
        <v>✓</v>
      </c>
      <c r="W62" t="str" cm="1">
        <f t="array" aca="1" ref="W62" ca="1">IF(
    ISNUMBER(VALUE(LEFT($A62, 1))),
    "",
    IFERROR(IF(_xlfn.XLOOKUP($A62, INDIRECT("'" &amp; W$2 &amp; "'!$A:$A"), INDIRECT("'" &amp; W$2 &amp; "'!$B:$B"), "")&lt;&gt;"", "✓", "✗"), "✗")
)</f>
        <v>✓</v>
      </c>
      <c r="X62" t="str" cm="1">
        <f t="array" aca="1" ref="X62" ca="1">IF(
    ISNUMBER(VALUE(LEFT($A62, 1))),
    "",
    IFERROR(IF(_xlfn.XLOOKUP($A62, INDIRECT("'" &amp; X$2 &amp; "'!$A:$A"), INDIRECT("'" &amp; X$2 &amp; "'!$B:$B"), "")&lt;&gt;"", "✓", "✗"), "✗")
)</f>
        <v>✓</v>
      </c>
      <c r="Y62" t="str" cm="1">
        <f t="array" aca="1" ref="Y62" ca="1">IF(
    ISNUMBER(VALUE(LEFT($A62, 1))),
    "",
    IFERROR(IF(_xlfn.XLOOKUP($A62, INDIRECT("'" &amp; Y$2 &amp; "'!$A:$A"), INDIRECT("'" &amp; Y$2 &amp; "'!$B:$B"), "")&lt;&gt;"", "✓", "✗"), "✗")
)</f>
        <v>✓</v>
      </c>
      <c r="Z62" t="str" cm="1">
        <f t="array" aca="1" ref="Z62" ca="1">IF(
    ISNUMBER(VALUE(LEFT($A62, 1))),
    "",
    IFERROR(IF(_xlfn.XLOOKUP($A62, INDIRECT("'" &amp; Z$2 &amp; "'!$A:$A"), INDIRECT("'" &amp; Z$2 &amp; "'!$B:$B"), "")&lt;&gt;"", "✓", "✗"), "✗")
)</f>
        <v>✓</v>
      </c>
      <c r="AA62" t="str" cm="1">
        <f t="array" aca="1" ref="AA62" ca="1">IF(
    ISNUMBER(VALUE(LEFT($A62, 1))),
    "",
    IFERROR(IF(_xlfn.XLOOKUP($A62, INDIRECT("'" &amp; AA$2 &amp; "'!$A:$A"), INDIRECT("'" &amp; AA$2 &amp; "'!$B:$B"), "")&lt;&gt;"", "✓", "✗"), "✗")
)</f>
        <v>✓</v>
      </c>
      <c r="AB62" t="str" cm="1">
        <f t="array" aca="1" ref="AB62" ca="1">IF(
    ISNUMBER(VALUE(LEFT($A62, 1))),
    "",
    IFERROR(IF(_xlfn.XLOOKUP($A62, INDIRECT("'" &amp; AB$2 &amp; "'!$A:$A"), INDIRECT("'" &amp; AB$2 &amp; "'!$B:$B"), "")&lt;&gt;"", "✓", "✗"), "✗")
)</f>
        <v>✓</v>
      </c>
      <c r="AC62" t="str" cm="1">
        <f t="array" aca="1" ref="AC62" ca="1">IF(
    ISNUMBER(VALUE(LEFT($A62, 1))),
    "",
    IFERROR(IF(_xlfn.XLOOKUP($A62, INDIRECT("'" &amp; AC$2 &amp; "'!$A:$A"), INDIRECT("'" &amp; AC$2 &amp; "'!$B:$B"), "")&lt;&gt;"", "✓", "✗"), "✗")
)</f>
        <v>✗</v>
      </c>
      <c r="AD62" t="str" cm="1">
        <f t="array" aca="1" ref="AD62" ca="1">IF(
    ISNUMBER(VALUE(LEFT($A62, 1))),
    "",
    IFERROR(IF(_xlfn.XLOOKUP($A62, INDIRECT("'" &amp; AD$2 &amp; "'!$A:$A"), INDIRECT("'" &amp; AD$2 &amp; "'!$B:$B"), "")&lt;&gt;"", "✓", "✗"), "✗")
)</f>
        <v>✗</v>
      </c>
      <c r="AE62" t="str" cm="1">
        <f t="array" aca="1" ref="AE62" ca="1">IF(
    ISNUMBER(VALUE(LEFT($A62, 1))),
    "",
    IFERROR(IF(_xlfn.XLOOKUP($A62, INDIRECT("'" &amp; AE$2 &amp; "'!$A:$A"), INDIRECT("'" &amp; AE$2 &amp; "'!$B:$B"), "")&lt;&gt;"", "✓", "✗"), "✗")
)</f>
        <v>✓</v>
      </c>
      <c r="AF62" t="str" cm="1">
        <f t="array" aca="1" ref="AF62" ca="1">IF(
    ISNUMBER(VALUE(LEFT($A62, 1))),
    "",
    IFERROR(IF(_xlfn.XLOOKUP($A62, INDIRECT("'" &amp; AF$2 &amp; "'!$A:$A"), INDIRECT("'" &amp; AF$2 &amp; "'!$B:$B"), "")&lt;&gt;"", "✓", "✗"), "✗")
)</f>
        <v>✓</v>
      </c>
      <c r="AG62" t="str" cm="1">
        <f t="array" aca="1" ref="AG62" ca="1">IF(
    ISNUMBER(VALUE(LEFT($A62, 1))),
    "",
    IFERROR(IF(_xlfn.XLOOKUP($A62, INDIRECT("'" &amp; AG$2 &amp; "'!$A:$A"), INDIRECT("'" &amp; AG$2 &amp; "'!$B:$B"), "")&lt;&gt;"", "✓", "✗"), "✗")
)</f>
        <v>✓</v>
      </c>
    </row>
    <row r="63" spans="1:33" x14ac:dyDescent="0.45">
      <c r="A63" t="str">
        <v>Offer ID</v>
      </c>
      <c r="B63" t="str" cm="1">
        <f t="array" aca="1" ref="B63" ca="1">IF(
    ISNUMBER(VALUE(LEFT($A63, 1))),
    "",
    IFERROR(IF(_xlfn.XLOOKUP($A63, INDIRECT("'" &amp; B$2 &amp; "'!$A:$A"), INDIRECT("'" &amp; B$2 &amp; "'!$B:$B"), "")&lt;&gt;"", "✓", "✗"), "✗")
)</f>
        <v>✓</v>
      </c>
      <c r="C63" t="str" cm="1">
        <f t="array" aca="1" ref="C63" ca="1">IF(
    ISNUMBER(VALUE(LEFT($A63, 1))),
    "",
    IFERROR(IF(_xlfn.XLOOKUP($A63, INDIRECT("'" &amp; C$2 &amp; "'!$A:$A"), INDIRECT("'" &amp; C$2 &amp; "'!$B:$B"), "")&lt;&gt;"", "✓", "✗"), "✗")
)</f>
        <v>✓</v>
      </c>
      <c r="D63" t="str" cm="1">
        <f t="array" aca="1" ref="D63" ca="1">IF(
    ISNUMBER(VALUE(LEFT($A63, 1))),
    "",
    IFERROR(IF(_xlfn.XLOOKUP($A63, INDIRECT("'" &amp; D$2 &amp; "'!$A:$A"), INDIRECT("'" &amp; D$2 &amp; "'!$B:$B"), "")&lt;&gt;"", "✓", "✗"), "✗")
)</f>
        <v>✓</v>
      </c>
      <c r="E63" t="str" cm="1">
        <f t="array" aca="1" ref="E63" ca="1">IF(
    ISNUMBER(VALUE(LEFT($A63, 1))),
    "",
    IFERROR(IF(_xlfn.XLOOKUP($A63, INDIRECT("'" &amp; E$2 &amp; "'!$A:$A"), INDIRECT("'" &amp; E$2 &amp; "'!$B:$B"), "")&lt;&gt;"", "✓", "✗"), "✗")
)</f>
        <v>✓</v>
      </c>
      <c r="F63" t="str" cm="1">
        <f t="array" aca="1" ref="F63" ca="1">IF(
    ISNUMBER(VALUE(LEFT($A63, 1))),
    "",
    IFERROR(IF(_xlfn.XLOOKUP($A63, INDIRECT("'" &amp; F$2 &amp; "'!$A:$A"), INDIRECT("'" &amp; F$2 &amp; "'!$B:$B"), "")&lt;&gt;"", "✓", "✗"), "✗")
)</f>
        <v>✓</v>
      </c>
      <c r="G63" t="str" cm="1">
        <f t="array" aca="1" ref="G63" ca="1">IF(
    ISNUMBER(VALUE(LEFT($A63, 1))),
    "",
    IFERROR(IF(_xlfn.XLOOKUP($A63, INDIRECT("'" &amp; G$2 &amp; "'!$A:$A"), INDIRECT("'" &amp; G$2 &amp; "'!$B:$B"), "")&lt;&gt;"", "✓", "✗"), "✗")
)</f>
        <v>✓</v>
      </c>
      <c r="H63" t="str" cm="1">
        <f t="array" aca="1" ref="H63" ca="1">IF(
    ISNUMBER(VALUE(LEFT($A63, 1))),
    "",
    IFERROR(IF(_xlfn.XLOOKUP($A63, INDIRECT("'" &amp; H$2 &amp; "'!$A:$A"), INDIRECT("'" &amp; H$2 &amp; "'!$B:$B"), "")&lt;&gt;"", "✓", "✗"), "✗")
)</f>
        <v>✓</v>
      </c>
      <c r="I63" t="str" cm="1">
        <f t="array" aca="1" ref="I63" ca="1">IF(
    ISNUMBER(VALUE(LEFT($A63, 1))),
    "",
    IFERROR(IF(_xlfn.XLOOKUP($A63, INDIRECT("'" &amp; I$2 &amp; "'!$A:$A"), INDIRECT("'" &amp; I$2 &amp; "'!$B:$B"), "")&lt;&gt;"", "✓", "✗"), "✗")
)</f>
        <v>✓</v>
      </c>
      <c r="J63" t="str" cm="1">
        <f t="array" aca="1" ref="J63" ca="1">IF(
    ISNUMBER(VALUE(LEFT($A63, 1))),
    "",
    IFERROR(IF(_xlfn.XLOOKUP($A63, INDIRECT("'" &amp; J$2 &amp; "'!$A:$A"), INDIRECT("'" &amp; J$2 &amp; "'!$B:$B"), "")&lt;&gt;"", "✓", "✗"), "✗")
)</f>
        <v>✓</v>
      </c>
      <c r="K63" t="str" cm="1">
        <f t="array" aca="1" ref="K63" ca="1">IF(
    ISNUMBER(VALUE(LEFT($A63, 1))),
    "",
    IFERROR(IF(_xlfn.XLOOKUP($A63, INDIRECT("'" &amp; K$2 &amp; "'!$A:$A"), INDIRECT("'" &amp; K$2 &amp; "'!$B:$B"), "")&lt;&gt;"", "✓", "✗"), "✗")
)</f>
        <v>✓</v>
      </c>
      <c r="L63" t="str" cm="1">
        <f t="array" aca="1" ref="L63" ca="1">IF(
    ISNUMBER(VALUE(LEFT($A63, 1))),
    "",
    IFERROR(IF(_xlfn.XLOOKUP($A63, INDIRECT("'" &amp; L$2 &amp; "'!$A:$A"), INDIRECT("'" &amp; L$2 &amp; "'!$B:$B"), "")&lt;&gt;"", "✓", "✗"), "✗")
)</f>
        <v>✓</v>
      </c>
      <c r="M63" t="str" cm="1">
        <f t="array" aca="1" ref="M63" ca="1">IF(
    ISNUMBER(VALUE(LEFT($A63, 1))),
    "",
    IFERROR(IF(_xlfn.XLOOKUP($A63, INDIRECT("'" &amp; M$2 &amp; "'!$A:$A"), INDIRECT("'" &amp; M$2 &amp; "'!$B:$B"), "")&lt;&gt;"", "✓", "✗"), "✗")
)</f>
        <v>✓</v>
      </c>
      <c r="N63" t="str" cm="1">
        <f t="array" aca="1" ref="N63" ca="1">IF(
    ISNUMBER(VALUE(LEFT($A63, 1))),
    "",
    IFERROR(IF(_xlfn.XLOOKUP($A63, INDIRECT("'" &amp; N$2 &amp; "'!$A:$A"), INDIRECT("'" &amp; N$2 &amp; "'!$B:$B"), "")&lt;&gt;"", "✓", "✗"), "✗")
)</f>
        <v>✓</v>
      </c>
      <c r="O63" t="str" cm="1">
        <f t="array" aca="1" ref="O63" ca="1">IF(
    ISNUMBER(VALUE(LEFT($A63, 1))),
    "",
    IFERROR(IF(_xlfn.XLOOKUP($A63, INDIRECT("'" &amp; O$2 &amp; "'!$A:$A"), INDIRECT("'" &amp; O$2 &amp; "'!$B:$B"), "")&lt;&gt;"", "✓", "✗"), "✗")
)</f>
        <v>✓</v>
      </c>
      <c r="P63" t="str" cm="1">
        <f t="array" aca="1" ref="P63" ca="1">IF(
    ISNUMBER(VALUE(LEFT($A63, 1))),
    "",
    IFERROR(IF(_xlfn.XLOOKUP($A63, INDIRECT("'" &amp; P$2 &amp; "'!$A:$A"), INDIRECT("'" &amp; P$2 &amp; "'!$B:$B"), "")&lt;&gt;"", "✓", "✗"), "✗")
)</f>
        <v>✓</v>
      </c>
      <c r="Q63" t="str" cm="1">
        <f t="array" aca="1" ref="Q63" ca="1">IF(
    ISNUMBER(VALUE(LEFT($A63, 1))),
    "",
    IFERROR(IF(_xlfn.XLOOKUP($A63, INDIRECT("'" &amp; Q$2 &amp; "'!$A:$A"), INDIRECT("'" &amp; Q$2 &amp; "'!$B:$B"), "")&lt;&gt;"", "✓", "✗"), "✗")
)</f>
        <v>✓</v>
      </c>
      <c r="R63" t="str" cm="1">
        <f t="array" aca="1" ref="R63" ca="1">IF(
    ISNUMBER(VALUE(LEFT($A63, 1))),
    "",
    IFERROR(IF(_xlfn.XLOOKUP($A63, INDIRECT("'" &amp; R$2 &amp; "'!$A:$A"), INDIRECT("'" &amp; R$2 &amp; "'!$B:$B"), "")&lt;&gt;"", "✓", "✗"), "✗")
)</f>
        <v>✓</v>
      </c>
      <c r="S63" t="str" cm="1">
        <f t="array" aca="1" ref="S63" ca="1">IF(
    ISNUMBER(VALUE(LEFT($A63, 1))),
    "",
    IFERROR(IF(_xlfn.XLOOKUP($A63, INDIRECT("'" &amp; S$2 &amp; "'!$A:$A"), INDIRECT("'" &amp; S$2 &amp; "'!$B:$B"), "")&lt;&gt;"", "✓", "✗"), "✗")
)</f>
        <v>✓</v>
      </c>
      <c r="T63" t="str" cm="1">
        <f t="array" aca="1" ref="T63" ca="1">IF(
    ISNUMBER(VALUE(LEFT($A63, 1))),
    "",
    IFERROR(IF(_xlfn.XLOOKUP($A63, INDIRECT("'" &amp; T$2 &amp; "'!$A:$A"), INDIRECT("'" &amp; T$2 &amp; "'!$B:$B"), "")&lt;&gt;"", "✓", "✗"), "✗")
)</f>
        <v>✓</v>
      </c>
      <c r="U63" t="str" cm="1">
        <f t="array" aca="1" ref="U63" ca="1">IF(
    ISNUMBER(VALUE(LEFT($A63, 1))),
    "",
    IFERROR(IF(_xlfn.XLOOKUP($A63, INDIRECT("'" &amp; U$2 &amp; "'!$A:$A"), INDIRECT("'" &amp; U$2 &amp; "'!$B:$B"), "")&lt;&gt;"", "✓", "✗"), "✗")
)</f>
        <v>✓</v>
      </c>
      <c r="V63" t="str" cm="1">
        <f t="array" aca="1" ref="V63" ca="1">IF(
    ISNUMBER(VALUE(LEFT($A63, 1))),
    "",
    IFERROR(IF(_xlfn.XLOOKUP($A63, INDIRECT("'" &amp; V$2 &amp; "'!$A:$A"), INDIRECT("'" &amp; V$2 &amp; "'!$B:$B"), "")&lt;&gt;"", "✓", "✗"), "✗")
)</f>
        <v>✓</v>
      </c>
      <c r="W63" t="str" cm="1">
        <f t="array" aca="1" ref="W63" ca="1">IF(
    ISNUMBER(VALUE(LEFT($A63, 1))),
    "",
    IFERROR(IF(_xlfn.XLOOKUP($A63, INDIRECT("'" &amp; W$2 &amp; "'!$A:$A"), INDIRECT("'" &amp; W$2 &amp; "'!$B:$B"), "")&lt;&gt;"", "✓", "✗"), "✗")
)</f>
        <v>✓</v>
      </c>
      <c r="X63" t="str" cm="1">
        <f t="array" aca="1" ref="X63" ca="1">IF(
    ISNUMBER(VALUE(LEFT($A63, 1))),
    "",
    IFERROR(IF(_xlfn.XLOOKUP($A63, INDIRECT("'" &amp; X$2 &amp; "'!$A:$A"), INDIRECT("'" &amp; X$2 &amp; "'!$B:$B"), "")&lt;&gt;"", "✓", "✗"), "✗")
)</f>
        <v>✓</v>
      </c>
      <c r="Y63" t="str" cm="1">
        <f t="array" aca="1" ref="Y63" ca="1">IF(
    ISNUMBER(VALUE(LEFT($A63, 1))),
    "",
    IFERROR(IF(_xlfn.XLOOKUP($A63, INDIRECT("'" &amp; Y$2 &amp; "'!$A:$A"), INDIRECT("'" &amp; Y$2 &amp; "'!$B:$B"), "")&lt;&gt;"", "✓", "✗"), "✗")
)</f>
        <v>✓</v>
      </c>
      <c r="Z63" t="str" cm="1">
        <f t="array" aca="1" ref="Z63" ca="1">IF(
    ISNUMBER(VALUE(LEFT($A63, 1))),
    "",
    IFERROR(IF(_xlfn.XLOOKUP($A63, INDIRECT("'" &amp; Z$2 &amp; "'!$A:$A"), INDIRECT("'" &amp; Z$2 &amp; "'!$B:$B"), "")&lt;&gt;"", "✓", "✗"), "✗")
)</f>
        <v>✓</v>
      </c>
      <c r="AA63" t="str" cm="1">
        <f t="array" aca="1" ref="AA63" ca="1">IF(
    ISNUMBER(VALUE(LEFT($A63, 1))),
    "",
    IFERROR(IF(_xlfn.XLOOKUP($A63, INDIRECT("'" &amp; AA$2 &amp; "'!$A:$A"), INDIRECT("'" &amp; AA$2 &amp; "'!$B:$B"), "")&lt;&gt;"", "✓", "✗"), "✗")
)</f>
        <v>✓</v>
      </c>
      <c r="AB63" t="str" cm="1">
        <f t="array" aca="1" ref="AB63" ca="1">IF(
    ISNUMBER(VALUE(LEFT($A63, 1))),
    "",
    IFERROR(IF(_xlfn.XLOOKUP($A63, INDIRECT("'" &amp; AB$2 &amp; "'!$A:$A"), INDIRECT("'" &amp; AB$2 &amp; "'!$B:$B"), "")&lt;&gt;"", "✓", "✗"), "✗")
)</f>
        <v>✓</v>
      </c>
      <c r="AC63" t="str" cm="1">
        <f t="array" aca="1" ref="AC63" ca="1">IF(
    ISNUMBER(VALUE(LEFT($A63, 1))),
    "",
    IFERROR(IF(_xlfn.XLOOKUP($A63, INDIRECT("'" &amp; AC$2 &amp; "'!$A:$A"), INDIRECT("'" &amp; AC$2 &amp; "'!$B:$B"), "")&lt;&gt;"", "✓", "✗"), "✗")
)</f>
        <v>✗</v>
      </c>
      <c r="AD63" t="str" cm="1">
        <f t="array" aca="1" ref="AD63" ca="1">IF(
    ISNUMBER(VALUE(LEFT($A63, 1))),
    "",
    IFERROR(IF(_xlfn.XLOOKUP($A63, INDIRECT("'" &amp; AD$2 &amp; "'!$A:$A"), INDIRECT("'" &amp; AD$2 &amp; "'!$B:$B"), "")&lt;&gt;"", "✓", "✗"), "✗")
)</f>
        <v>✗</v>
      </c>
      <c r="AE63" t="str" cm="1">
        <f t="array" aca="1" ref="AE63" ca="1">IF(
    ISNUMBER(VALUE(LEFT($A63, 1))),
    "",
    IFERROR(IF(_xlfn.XLOOKUP($A63, INDIRECT("'" &amp; AE$2 &amp; "'!$A:$A"), INDIRECT("'" &amp; AE$2 &amp; "'!$B:$B"), "")&lt;&gt;"", "✓", "✗"), "✗")
)</f>
        <v>✓</v>
      </c>
      <c r="AF63" t="str" cm="1">
        <f t="array" aca="1" ref="AF63" ca="1">IF(
    ISNUMBER(VALUE(LEFT($A63, 1))),
    "",
    IFERROR(IF(_xlfn.XLOOKUP($A63, INDIRECT("'" &amp; AF$2 &amp; "'!$A:$A"), INDIRECT("'" &amp; AF$2 &amp; "'!$B:$B"), "")&lt;&gt;"", "✓", "✗"), "✗")
)</f>
        <v>✓</v>
      </c>
      <c r="AG63" t="str" cm="1">
        <f t="array" aca="1" ref="AG63" ca="1">IF(
    ISNUMBER(VALUE(LEFT($A63, 1))),
    "",
    IFERROR(IF(_xlfn.XLOOKUP($A63, INDIRECT("'" &amp; AG$2 &amp; "'!$A:$A"), INDIRECT("'" &amp; AG$2 &amp; "'!$B:$B"), "")&lt;&gt;"", "✓", "✗"), "✗")
)</f>
        <v>✓</v>
      </c>
    </row>
    <row r="64" spans="1:33" x14ac:dyDescent="0.45">
      <c r="A64" t="str">
        <v>Offer Name</v>
      </c>
      <c r="B64" t="str" cm="1">
        <f t="array" aca="1" ref="B64" ca="1">IF(
    ISNUMBER(VALUE(LEFT($A64, 1))),
    "",
    IFERROR(IF(_xlfn.XLOOKUP($A64, INDIRECT("'" &amp; B$2 &amp; "'!$A:$A"), INDIRECT("'" &amp; B$2 &amp; "'!$B:$B"), "")&lt;&gt;"", "✓", "✗"), "✗")
)</f>
        <v>✓</v>
      </c>
      <c r="C64" t="str" cm="1">
        <f t="array" aca="1" ref="C64" ca="1">IF(
    ISNUMBER(VALUE(LEFT($A64, 1))),
    "",
    IFERROR(IF(_xlfn.XLOOKUP($A64, INDIRECT("'" &amp; C$2 &amp; "'!$A:$A"), INDIRECT("'" &amp; C$2 &amp; "'!$B:$B"), "")&lt;&gt;"", "✓", "✗"), "✗")
)</f>
        <v>✓</v>
      </c>
      <c r="D64" t="str" cm="1">
        <f t="array" aca="1" ref="D64" ca="1">IF(
    ISNUMBER(VALUE(LEFT($A64, 1))),
    "",
    IFERROR(IF(_xlfn.XLOOKUP($A64, INDIRECT("'" &amp; D$2 &amp; "'!$A:$A"), INDIRECT("'" &amp; D$2 &amp; "'!$B:$B"), "")&lt;&gt;"", "✓", "✗"), "✗")
)</f>
        <v>✓</v>
      </c>
      <c r="E64" t="str" cm="1">
        <f t="array" aca="1" ref="E64" ca="1">IF(
    ISNUMBER(VALUE(LEFT($A64, 1))),
    "",
    IFERROR(IF(_xlfn.XLOOKUP($A64, INDIRECT("'" &amp; E$2 &amp; "'!$A:$A"), INDIRECT("'" &amp; E$2 &amp; "'!$B:$B"), "")&lt;&gt;"", "✓", "✗"), "✗")
)</f>
        <v>✓</v>
      </c>
      <c r="F64" t="str" cm="1">
        <f t="array" aca="1" ref="F64" ca="1">IF(
    ISNUMBER(VALUE(LEFT($A64, 1))),
    "",
    IFERROR(IF(_xlfn.XLOOKUP($A64, INDIRECT("'" &amp; F$2 &amp; "'!$A:$A"), INDIRECT("'" &amp; F$2 &amp; "'!$B:$B"), "")&lt;&gt;"", "✓", "✗"), "✗")
)</f>
        <v>✓</v>
      </c>
      <c r="G64" t="str" cm="1">
        <f t="array" aca="1" ref="G64" ca="1">IF(
    ISNUMBER(VALUE(LEFT($A64, 1))),
    "",
    IFERROR(IF(_xlfn.XLOOKUP($A64, INDIRECT("'" &amp; G$2 &amp; "'!$A:$A"), INDIRECT("'" &amp; G$2 &amp; "'!$B:$B"), "")&lt;&gt;"", "✓", "✗"), "✗")
)</f>
        <v>✗</v>
      </c>
      <c r="H64" t="str" cm="1">
        <f t="array" aca="1" ref="H64" ca="1">IF(
    ISNUMBER(VALUE(LEFT($A64, 1))),
    "",
    IFERROR(IF(_xlfn.XLOOKUP($A64, INDIRECT("'" &amp; H$2 &amp; "'!$A:$A"), INDIRECT("'" &amp; H$2 &amp; "'!$B:$B"), "")&lt;&gt;"", "✓", "✗"), "✗")
)</f>
        <v>✗</v>
      </c>
      <c r="I64" t="str" cm="1">
        <f t="array" aca="1" ref="I64" ca="1">IF(
    ISNUMBER(VALUE(LEFT($A64, 1))),
    "",
    IFERROR(IF(_xlfn.XLOOKUP($A64, INDIRECT("'" &amp; I$2 &amp; "'!$A:$A"), INDIRECT("'" &amp; I$2 &amp; "'!$B:$B"), "")&lt;&gt;"", "✓", "✗"), "✗")
)</f>
        <v>✓</v>
      </c>
      <c r="J64" t="str" cm="1">
        <f t="array" aca="1" ref="J64" ca="1">IF(
    ISNUMBER(VALUE(LEFT($A64, 1))),
    "",
    IFERROR(IF(_xlfn.XLOOKUP($A64, INDIRECT("'" &amp; J$2 &amp; "'!$A:$A"), INDIRECT("'" &amp; J$2 &amp; "'!$B:$B"), "")&lt;&gt;"", "✓", "✗"), "✗")
)</f>
        <v>✓</v>
      </c>
      <c r="K64" t="str" cm="1">
        <f t="array" aca="1" ref="K64" ca="1">IF(
    ISNUMBER(VALUE(LEFT($A64, 1))),
    "",
    IFERROR(IF(_xlfn.XLOOKUP($A64, INDIRECT("'" &amp; K$2 &amp; "'!$A:$A"), INDIRECT("'" &amp; K$2 &amp; "'!$B:$B"), "")&lt;&gt;"", "✓", "✗"), "✗")
)</f>
        <v>✗</v>
      </c>
      <c r="L64" t="str" cm="1">
        <f t="array" aca="1" ref="L64" ca="1">IF(
    ISNUMBER(VALUE(LEFT($A64, 1))),
    "",
    IFERROR(IF(_xlfn.XLOOKUP($A64, INDIRECT("'" &amp; L$2 &amp; "'!$A:$A"), INDIRECT("'" &amp; L$2 &amp; "'!$B:$B"), "")&lt;&gt;"", "✓", "✗"), "✗")
)</f>
        <v>✗</v>
      </c>
      <c r="M64" t="str" cm="1">
        <f t="array" aca="1" ref="M64" ca="1">IF(
    ISNUMBER(VALUE(LEFT($A64, 1))),
    "",
    IFERROR(IF(_xlfn.XLOOKUP($A64, INDIRECT("'" &amp; M$2 &amp; "'!$A:$A"), INDIRECT("'" &amp; M$2 &amp; "'!$B:$B"), "")&lt;&gt;"", "✓", "✗"), "✗")
)</f>
        <v>✗</v>
      </c>
      <c r="N64" t="str" cm="1">
        <f t="array" aca="1" ref="N64" ca="1">IF(
    ISNUMBER(VALUE(LEFT($A64, 1))),
    "",
    IFERROR(IF(_xlfn.XLOOKUP($A64, INDIRECT("'" &amp; N$2 &amp; "'!$A:$A"), INDIRECT("'" &amp; N$2 &amp; "'!$B:$B"), "")&lt;&gt;"", "✓", "✗"), "✗")
)</f>
        <v>✗</v>
      </c>
      <c r="O64" t="str" cm="1">
        <f t="array" aca="1" ref="O64" ca="1">IF(
    ISNUMBER(VALUE(LEFT($A64, 1))),
    "",
    IFERROR(IF(_xlfn.XLOOKUP($A64, INDIRECT("'" &amp; O$2 &amp; "'!$A:$A"), INDIRECT("'" &amp; O$2 &amp; "'!$B:$B"), "")&lt;&gt;"", "✓", "✗"), "✗")
)</f>
        <v>✗</v>
      </c>
      <c r="P64" t="str" cm="1">
        <f t="array" aca="1" ref="P64" ca="1">IF(
    ISNUMBER(VALUE(LEFT($A64, 1))),
    "",
    IFERROR(IF(_xlfn.XLOOKUP($A64, INDIRECT("'" &amp; P$2 &amp; "'!$A:$A"), INDIRECT("'" &amp; P$2 &amp; "'!$B:$B"), "")&lt;&gt;"", "✓", "✗"), "✗")
)</f>
        <v>✗</v>
      </c>
      <c r="Q64" t="str" cm="1">
        <f t="array" aca="1" ref="Q64" ca="1">IF(
    ISNUMBER(VALUE(LEFT($A64, 1))),
    "",
    IFERROR(IF(_xlfn.XLOOKUP($A64, INDIRECT("'" &amp; Q$2 &amp; "'!$A:$A"), INDIRECT("'" &amp; Q$2 &amp; "'!$B:$B"), "")&lt;&gt;"", "✓", "✗"), "✗")
)</f>
        <v>✗</v>
      </c>
      <c r="R64" t="str" cm="1">
        <f t="array" aca="1" ref="R64" ca="1">IF(
    ISNUMBER(VALUE(LEFT($A64, 1))),
    "",
    IFERROR(IF(_xlfn.XLOOKUP($A64, INDIRECT("'" &amp; R$2 &amp; "'!$A:$A"), INDIRECT("'" &amp; R$2 &amp; "'!$B:$B"), "")&lt;&gt;"", "✓", "✗"), "✗")
)</f>
        <v>✗</v>
      </c>
      <c r="S64" t="str" cm="1">
        <f t="array" aca="1" ref="S64" ca="1">IF(
    ISNUMBER(VALUE(LEFT($A64, 1))),
    "",
    IFERROR(IF(_xlfn.XLOOKUP($A64, INDIRECT("'" &amp; S$2 &amp; "'!$A:$A"), INDIRECT("'" &amp; S$2 &amp; "'!$B:$B"), "")&lt;&gt;"", "✓", "✗"), "✗")
)</f>
        <v>✗</v>
      </c>
      <c r="T64" t="str" cm="1">
        <f t="array" aca="1" ref="T64" ca="1">IF(
    ISNUMBER(VALUE(LEFT($A64, 1))),
    "",
    IFERROR(IF(_xlfn.XLOOKUP($A64, INDIRECT("'" &amp; T$2 &amp; "'!$A:$A"), INDIRECT("'" &amp; T$2 &amp; "'!$B:$B"), "")&lt;&gt;"", "✓", "✗"), "✗")
)</f>
        <v>✗</v>
      </c>
      <c r="U64" t="str" cm="1">
        <f t="array" aca="1" ref="U64" ca="1">IF(
    ISNUMBER(VALUE(LEFT($A64, 1))),
    "",
    IFERROR(IF(_xlfn.XLOOKUP($A64, INDIRECT("'" &amp; U$2 &amp; "'!$A:$A"), INDIRECT("'" &amp; U$2 &amp; "'!$B:$B"), "")&lt;&gt;"", "✓", "✗"), "✗")
)</f>
        <v>✗</v>
      </c>
      <c r="V64" t="str" cm="1">
        <f t="array" aca="1" ref="V64" ca="1">IF(
    ISNUMBER(VALUE(LEFT($A64, 1))),
    "",
    IFERROR(IF(_xlfn.XLOOKUP($A64, INDIRECT("'" &amp; V$2 &amp; "'!$A:$A"), INDIRECT("'" &amp; V$2 &amp; "'!$B:$B"), "")&lt;&gt;"", "✓", "✗"), "✗")
)</f>
        <v>✗</v>
      </c>
      <c r="W64" t="str" cm="1">
        <f t="array" aca="1" ref="W64" ca="1">IF(
    ISNUMBER(VALUE(LEFT($A64, 1))),
    "",
    IFERROR(IF(_xlfn.XLOOKUP($A64, INDIRECT("'" &amp; W$2 &amp; "'!$A:$A"), INDIRECT("'" &amp; W$2 &amp; "'!$B:$B"), "")&lt;&gt;"", "✓", "✗"), "✗")
)</f>
        <v>✗</v>
      </c>
      <c r="X64" t="str" cm="1">
        <f t="array" aca="1" ref="X64" ca="1">IF(
    ISNUMBER(VALUE(LEFT($A64, 1))),
    "",
    IFERROR(IF(_xlfn.XLOOKUP($A64, INDIRECT("'" &amp; X$2 &amp; "'!$A:$A"), INDIRECT("'" &amp; X$2 &amp; "'!$B:$B"), "")&lt;&gt;"", "✓", "✗"), "✗")
)</f>
        <v>✓</v>
      </c>
      <c r="Y64" t="str" cm="1">
        <f t="array" aca="1" ref="Y64" ca="1">IF(
    ISNUMBER(VALUE(LEFT($A64, 1))),
    "",
    IFERROR(IF(_xlfn.XLOOKUP($A64, INDIRECT("'" &amp; Y$2 &amp; "'!$A:$A"), INDIRECT("'" &amp; Y$2 &amp; "'!$B:$B"), "")&lt;&gt;"", "✓", "✗"), "✗")
)</f>
        <v>✓</v>
      </c>
      <c r="Z64" t="str" cm="1">
        <f t="array" aca="1" ref="Z64" ca="1">IF(
    ISNUMBER(VALUE(LEFT($A64, 1))),
    "",
    IFERROR(IF(_xlfn.XLOOKUP($A64, INDIRECT("'" &amp; Z$2 &amp; "'!$A:$A"), INDIRECT("'" &amp; Z$2 &amp; "'!$B:$B"), "")&lt;&gt;"", "✓", "✗"), "✗")
)</f>
        <v>✓</v>
      </c>
      <c r="AA64" t="str" cm="1">
        <f t="array" aca="1" ref="AA64" ca="1">IF(
    ISNUMBER(VALUE(LEFT($A64, 1))),
    "",
    IFERROR(IF(_xlfn.XLOOKUP($A64, INDIRECT("'" &amp; AA$2 &amp; "'!$A:$A"), INDIRECT("'" &amp; AA$2 &amp; "'!$B:$B"), "")&lt;&gt;"", "✓", "✗"), "✗")
)</f>
        <v>✗</v>
      </c>
      <c r="AB64" t="str" cm="1">
        <f t="array" aca="1" ref="AB64" ca="1">IF(
    ISNUMBER(VALUE(LEFT($A64, 1))),
    "",
    IFERROR(IF(_xlfn.XLOOKUP($A64, INDIRECT("'" &amp; AB$2 &amp; "'!$A:$A"), INDIRECT("'" &amp; AB$2 &amp; "'!$B:$B"), "")&lt;&gt;"", "✓", "✗"), "✗")
)</f>
        <v>✓</v>
      </c>
      <c r="AC64" t="str" cm="1">
        <f t="array" aca="1" ref="AC64" ca="1">IF(
    ISNUMBER(VALUE(LEFT($A64, 1))),
    "",
    IFERROR(IF(_xlfn.XLOOKUP($A64, INDIRECT("'" &amp; AC$2 &amp; "'!$A:$A"), INDIRECT("'" &amp; AC$2 &amp; "'!$B:$B"), "")&lt;&gt;"", "✓", "✗"), "✗")
)</f>
        <v>✗</v>
      </c>
      <c r="AD64" t="str" cm="1">
        <f t="array" aca="1" ref="AD64" ca="1">IF(
    ISNUMBER(VALUE(LEFT($A64, 1))),
    "",
    IFERROR(IF(_xlfn.XLOOKUP($A64, INDIRECT("'" &amp; AD$2 &amp; "'!$A:$A"), INDIRECT("'" &amp; AD$2 &amp; "'!$B:$B"), "")&lt;&gt;"", "✓", "✗"), "✗")
)</f>
        <v>✗</v>
      </c>
      <c r="AE64" t="str" cm="1">
        <f t="array" aca="1" ref="AE64" ca="1">IF(
    ISNUMBER(VALUE(LEFT($A64, 1))),
    "",
    IFERROR(IF(_xlfn.XLOOKUP($A64, INDIRECT("'" &amp; AE$2 &amp; "'!$A:$A"), INDIRECT("'" &amp; AE$2 &amp; "'!$B:$B"), "")&lt;&gt;"", "✓", "✗"), "✗")
)</f>
        <v>✓</v>
      </c>
      <c r="AF64" t="str" cm="1">
        <f t="array" aca="1" ref="AF64" ca="1">IF(
    ISNUMBER(VALUE(LEFT($A64, 1))),
    "",
    IFERROR(IF(_xlfn.XLOOKUP($A64, INDIRECT("'" &amp; AF$2 &amp; "'!$A:$A"), INDIRECT("'" &amp; AF$2 &amp; "'!$B:$B"), "")&lt;&gt;"", "✓", "✗"), "✗")
)</f>
        <v>✓</v>
      </c>
      <c r="AG64" t="str" cm="1">
        <f t="array" aca="1" ref="AG64" ca="1">IF(
    ISNUMBER(VALUE(LEFT($A64, 1))),
    "",
    IFERROR(IF(_xlfn.XLOOKUP($A64, INDIRECT("'" &amp; AG$2 &amp; "'!$A:$A"), INDIRECT("'" &amp; AG$2 &amp; "'!$B:$B"), "")&lt;&gt;"", "✓", "✗"), "✗")
)</f>
        <v>✓</v>
      </c>
    </row>
    <row r="65" spans="1:33" x14ac:dyDescent="0.45">
      <c r="A65" t="str">
        <v>Offer Description</v>
      </c>
      <c r="B65" t="str" cm="1">
        <f t="array" aca="1" ref="B65" ca="1">IF(
    ISNUMBER(VALUE(LEFT($A65, 1))),
    "",
    IFERROR(IF(_xlfn.XLOOKUP($A65, INDIRECT("'" &amp; B$2 &amp; "'!$A:$A"), INDIRECT("'" &amp; B$2 &amp; "'!$B:$B"), "")&lt;&gt;"", "✓", "✗"), "✗")
)</f>
        <v>✓</v>
      </c>
      <c r="C65" t="str" cm="1">
        <f t="array" aca="1" ref="C65" ca="1">IF(
    ISNUMBER(VALUE(LEFT($A65, 1))),
    "",
    IFERROR(IF(_xlfn.XLOOKUP($A65, INDIRECT("'" &amp; C$2 &amp; "'!$A:$A"), INDIRECT("'" &amp; C$2 &amp; "'!$B:$B"), "")&lt;&gt;"", "✓", "✗"), "✗")
)</f>
        <v>✓</v>
      </c>
      <c r="D65" t="str" cm="1">
        <f t="array" aca="1" ref="D65" ca="1">IF(
    ISNUMBER(VALUE(LEFT($A65, 1))),
    "",
    IFERROR(IF(_xlfn.XLOOKUP($A65, INDIRECT("'" &amp; D$2 &amp; "'!$A:$A"), INDIRECT("'" &amp; D$2 &amp; "'!$B:$B"), "")&lt;&gt;"", "✓", "✗"), "✗")
)</f>
        <v>✓</v>
      </c>
      <c r="E65" t="str" cm="1">
        <f t="array" aca="1" ref="E65" ca="1">IF(
    ISNUMBER(VALUE(LEFT($A65, 1))),
    "",
    IFERROR(IF(_xlfn.XLOOKUP($A65, INDIRECT("'" &amp; E$2 &amp; "'!$A:$A"), INDIRECT("'" &amp; E$2 &amp; "'!$B:$B"), "")&lt;&gt;"", "✓", "✗"), "✗")
)</f>
        <v>✓</v>
      </c>
      <c r="F65" t="str" cm="1">
        <f t="array" aca="1" ref="F65" ca="1">IF(
    ISNUMBER(VALUE(LEFT($A65, 1))),
    "",
    IFERROR(IF(_xlfn.XLOOKUP($A65, INDIRECT("'" &amp; F$2 &amp; "'!$A:$A"), INDIRECT("'" &amp; F$2 &amp; "'!$B:$B"), "")&lt;&gt;"", "✓", "✗"), "✗")
)</f>
        <v>✓</v>
      </c>
      <c r="G65" t="str" cm="1">
        <f t="array" aca="1" ref="G65" ca="1">IF(
    ISNUMBER(VALUE(LEFT($A65, 1))),
    "",
    IFERROR(IF(_xlfn.XLOOKUP($A65, INDIRECT("'" &amp; G$2 &amp; "'!$A:$A"), INDIRECT("'" &amp; G$2 &amp; "'!$B:$B"), "")&lt;&gt;"", "✓", "✗"), "✗")
)</f>
        <v>✗</v>
      </c>
      <c r="H65" t="str" cm="1">
        <f t="array" aca="1" ref="H65" ca="1">IF(
    ISNUMBER(VALUE(LEFT($A65, 1))),
    "",
    IFERROR(IF(_xlfn.XLOOKUP($A65, INDIRECT("'" &amp; H$2 &amp; "'!$A:$A"), INDIRECT("'" &amp; H$2 &amp; "'!$B:$B"), "")&lt;&gt;"", "✓", "✗"), "✗")
)</f>
        <v>✗</v>
      </c>
      <c r="I65" t="str" cm="1">
        <f t="array" aca="1" ref="I65" ca="1">IF(
    ISNUMBER(VALUE(LEFT($A65, 1))),
    "",
    IFERROR(IF(_xlfn.XLOOKUP($A65, INDIRECT("'" &amp; I$2 &amp; "'!$A:$A"), INDIRECT("'" &amp; I$2 &amp; "'!$B:$B"), "")&lt;&gt;"", "✓", "✗"), "✗")
)</f>
        <v>✓</v>
      </c>
      <c r="J65" t="str" cm="1">
        <f t="array" aca="1" ref="J65" ca="1">IF(
    ISNUMBER(VALUE(LEFT($A65, 1))),
    "",
    IFERROR(IF(_xlfn.XLOOKUP($A65, INDIRECT("'" &amp; J$2 &amp; "'!$A:$A"), INDIRECT("'" &amp; J$2 &amp; "'!$B:$B"), "")&lt;&gt;"", "✓", "✗"), "✗")
)</f>
        <v>✓</v>
      </c>
      <c r="K65" t="str" cm="1">
        <f t="array" aca="1" ref="K65" ca="1">IF(
    ISNUMBER(VALUE(LEFT($A65, 1))),
    "",
    IFERROR(IF(_xlfn.XLOOKUP($A65, INDIRECT("'" &amp; K$2 &amp; "'!$A:$A"), INDIRECT("'" &amp; K$2 &amp; "'!$B:$B"), "")&lt;&gt;"", "✓", "✗"), "✗")
)</f>
        <v>✗</v>
      </c>
      <c r="L65" t="str" cm="1">
        <f t="array" aca="1" ref="L65" ca="1">IF(
    ISNUMBER(VALUE(LEFT($A65, 1))),
    "",
    IFERROR(IF(_xlfn.XLOOKUP($A65, INDIRECT("'" &amp; L$2 &amp; "'!$A:$A"), INDIRECT("'" &amp; L$2 &amp; "'!$B:$B"), "")&lt;&gt;"", "✓", "✗"), "✗")
)</f>
        <v>✗</v>
      </c>
      <c r="M65" t="str" cm="1">
        <f t="array" aca="1" ref="M65" ca="1">IF(
    ISNUMBER(VALUE(LEFT($A65, 1))),
    "",
    IFERROR(IF(_xlfn.XLOOKUP($A65, INDIRECT("'" &amp; M$2 &amp; "'!$A:$A"), INDIRECT("'" &amp; M$2 &amp; "'!$B:$B"), "")&lt;&gt;"", "✓", "✗"), "✗")
)</f>
        <v>✗</v>
      </c>
      <c r="N65" t="str" cm="1">
        <f t="array" aca="1" ref="N65" ca="1">IF(
    ISNUMBER(VALUE(LEFT($A65, 1))),
    "",
    IFERROR(IF(_xlfn.XLOOKUP($A65, INDIRECT("'" &amp; N$2 &amp; "'!$A:$A"), INDIRECT("'" &amp; N$2 &amp; "'!$B:$B"), "")&lt;&gt;"", "✓", "✗"), "✗")
)</f>
        <v>✗</v>
      </c>
      <c r="O65" t="str" cm="1">
        <f t="array" aca="1" ref="O65" ca="1">IF(
    ISNUMBER(VALUE(LEFT($A65, 1))),
    "",
    IFERROR(IF(_xlfn.XLOOKUP($A65, INDIRECT("'" &amp; O$2 &amp; "'!$A:$A"), INDIRECT("'" &amp; O$2 &amp; "'!$B:$B"), "")&lt;&gt;"", "✓", "✗"), "✗")
)</f>
        <v>✗</v>
      </c>
      <c r="P65" t="str" cm="1">
        <f t="array" aca="1" ref="P65" ca="1">IF(
    ISNUMBER(VALUE(LEFT($A65, 1))),
    "",
    IFERROR(IF(_xlfn.XLOOKUP($A65, INDIRECT("'" &amp; P$2 &amp; "'!$A:$A"), INDIRECT("'" &amp; P$2 &amp; "'!$B:$B"), "")&lt;&gt;"", "✓", "✗"), "✗")
)</f>
        <v>✗</v>
      </c>
      <c r="Q65" t="str" cm="1">
        <f t="array" aca="1" ref="Q65" ca="1">IF(
    ISNUMBER(VALUE(LEFT($A65, 1))),
    "",
    IFERROR(IF(_xlfn.XLOOKUP($A65, INDIRECT("'" &amp; Q$2 &amp; "'!$A:$A"), INDIRECT("'" &amp; Q$2 &amp; "'!$B:$B"), "")&lt;&gt;"", "✓", "✗"), "✗")
)</f>
        <v>✗</v>
      </c>
      <c r="R65" t="str" cm="1">
        <f t="array" aca="1" ref="R65" ca="1">IF(
    ISNUMBER(VALUE(LEFT($A65, 1))),
    "",
    IFERROR(IF(_xlfn.XLOOKUP($A65, INDIRECT("'" &amp; R$2 &amp; "'!$A:$A"), INDIRECT("'" &amp; R$2 &amp; "'!$B:$B"), "")&lt;&gt;"", "✓", "✗"), "✗")
)</f>
        <v>✗</v>
      </c>
      <c r="S65" t="str" cm="1">
        <f t="array" aca="1" ref="S65" ca="1">IF(
    ISNUMBER(VALUE(LEFT($A65, 1))),
    "",
    IFERROR(IF(_xlfn.XLOOKUP($A65, INDIRECT("'" &amp; S$2 &amp; "'!$A:$A"), INDIRECT("'" &amp; S$2 &amp; "'!$B:$B"), "")&lt;&gt;"", "✓", "✗"), "✗")
)</f>
        <v>✗</v>
      </c>
      <c r="T65" t="str" cm="1">
        <f t="array" aca="1" ref="T65" ca="1">IF(
    ISNUMBER(VALUE(LEFT($A65, 1))),
    "",
    IFERROR(IF(_xlfn.XLOOKUP($A65, INDIRECT("'" &amp; T$2 &amp; "'!$A:$A"), INDIRECT("'" &amp; T$2 &amp; "'!$B:$B"), "")&lt;&gt;"", "✓", "✗"), "✗")
)</f>
        <v>✗</v>
      </c>
      <c r="U65" t="str" cm="1">
        <f t="array" aca="1" ref="U65" ca="1">IF(
    ISNUMBER(VALUE(LEFT($A65, 1))),
    "",
    IFERROR(IF(_xlfn.XLOOKUP($A65, INDIRECT("'" &amp; U$2 &amp; "'!$A:$A"), INDIRECT("'" &amp; U$2 &amp; "'!$B:$B"), "")&lt;&gt;"", "✓", "✗"), "✗")
)</f>
        <v>✗</v>
      </c>
      <c r="V65" t="str" cm="1">
        <f t="array" aca="1" ref="V65" ca="1">IF(
    ISNUMBER(VALUE(LEFT($A65, 1))),
    "",
    IFERROR(IF(_xlfn.XLOOKUP($A65, INDIRECT("'" &amp; V$2 &amp; "'!$A:$A"), INDIRECT("'" &amp; V$2 &amp; "'!$B:$B"), "")&lt;&gt;"", "✓", "✗"), "✗")
)</f>
        <v>✗</v>
      </c>
      <c r="W65" t="str" cm="1">
        <f t="array" aca="1" ref="W65" ca="1">IF(
    ISNUMBER(VALUE(LEFT($A65, 1))),
    "",
    IFERROR(IF(_xlfn.XLOOKUP($A65, INDIRECT("'" &amp; W$2 &amp; "'!$A:$A"), INDIRECT("'" &amp; W$2 &amp; "'!$B:$B"), "")&lt;&gt;"", "✓", "✗"), "✗")
)</f>
        <v>✗</v>
      </c>
      <c r="X65" t="str" cm="1">
        <f t="array" aca="1" ref="X65" ca="1">IF(
    ISNUMBER(VALUE(LEFT($A65, 1))),
    "",
    IFERROR(IF(_xlfn.XLOOKUP($A65, INDIRECT("'" &amp; X$2 &amp; "'!$A:$A"), INDIRECT("'" &amp; X$2 &amp; "'!$B:$B"), "")&lt;&gt;"", "✓", "✗"), "✗")
)</f>
        <v>✓</v>
      </c>
      <c r="Y65" t="str" cm="1">
        <f t="array" aca="1" ref="Y65" ca="1">IF(
    ISNUMBER(VALUE(LEFT($A65, 1))),
    "",
    IFERROR(IF(_xlfn.XLOOKUP($A65, INDIRECT("'" &amp; Y$2 &amp; "'!$A:$A"), INDIRECT("'" &amp; Y$2 &amp; "'!$B:$B"), "")&lt;&gt;"", "✓", "✗"), "✗")
)</f>
        <v>✓</v>
      </c>
      <c r="Z65" t="str" cm="1">
        <f t="array" aca="1" ref="Z65" ca="1">IF(
    ISNUMBER(VALUE(LEFT($A65, 1))),
    "",
    IFERROR(IF(_xlfn.XLOOKUP($A65, INDIRECT("'" &amp; Z$2 &amp; "'!$A:$A"), INDIRECT("'" &amp; Z$2 &amp; "'!$B:$B"), "")&lt;&gt;"", "✓", "✗"), "✗")
)</f>
        <v>✓</v>
      </c>
      <c r="AA65" t="str" cm="1">
        <f t="array" aca="1" ref="AA65" ca="1">IF(
    ISNUMBER(VALUE(LEFT($A65, 1))),
    "",
    IFERROR(IF(_xlfn.XLOOKUP($A65, INDIRECT("'" &amp; AA$2 &amp; "'!$A:$A"), INDIRECT("'" &amp; AA$2 &amp; "'!$B:$B"), "")&lt;&gt;"", "✓", "✗"), "✗")
)</f>
        <v>✗</v>
      </c>
      <c r="AB65" t="str" cm="1">
        <f t="array" aca="1" ref="AB65" ca="1">IF(
    ISNUMBER(VALUE(LEFT($A65, 1))),
    "",
    IFERROR(IF(_xlfn.XLOOKUP($A65, INDIRECT("'" &amp; AB$2 &amp; "'!$A:$A"), INDIRECT("'" &amp; AB$2 &amp; "'!$B:$B"), "")&lt;&gt;"", "✓", "✗"), "✗")
)</f>
        <v>✓</v>
      </c>
      <c r="AC65" t="str" cm="1">
        <f t="array" aca="1" ref="AC65" ca="1">IF(
    ISNUMBER(VALUE(LEFT($A65, 1))),
    "",
    IFERROR(IF(_xlfn.XLOOKUP($A65, INDIRECT("'" &amp; AC$2 &amp; "'!$A:$A"), INDIRECT("'" &amp; AC$2 &amp; "'!$B:$B"), "")&lt;&gt;"", "✓", "✗"), "✗")
)</f>
        <v>✗</v>
      </c>
      <c r="AD65" t="str" cm="1">
        <f t="array" aca="1" ref="AD65" ca="1">IF(
    ISNUMBER(VALUE(LEFT($A65, 1))),
    "",
    IFERROR(IF(_xlfn.XLOOKUP($A65, INDIRECT("'" &amp; AD$2 &amp; "'!$A:$A"), INDIRECT("'" &amp; AD$2 &amp; "'!$B:$B"), "")&lt;&gt;"", "✓", "✗"), "✗")
)</f>
        <v>✗</v>
      </c>
      <c r="AE65" t="str" cm="1">
        <f t="array" aca="1" ref="AE65" ca="1">IF(
    ISNUMBER(VALUE(LEFT($A65, 1))),
    "",
    IFERROR(IF(_xlfn.XLOOKUP($A65, INDIRECT("'" &amp; AE$2 &amp; "'!$A:$A"), INDIRECT("'" &amp; AE$2 &amp; "'!$B:$B"), "")&lt;&gt;"", "✓", "✗"), "✗")
)</f>
        <v>✓</v>
      </c>
      <c r="AF65" t="str" cm="1">
        <f t="array" aca="1" ref="AF65" ca="1">IF(
    ISNUMBER(VALUE(LEFT($A65, 1))),
    "",
    IFERROR(IF(_xlfn.XLOOKUP($A65, INDIRECT("'" &amp; AF$2 &amp; "'!$A:$A"), INDIRECT("'" &amp; AF$2 &amp; "'!$B:$B"), "")&lt;&gt;"", "✓", "✗"), "✗")
)</f>
        <v>✓</v>
      </c>
      <c r="AG65" t="str" cm="1">
        <f t="array" aca="1" ref="AG65" ca="1">IF(
    ISNUMBER(VALUE(LEFT($A65, 1))),
    "",
    IFERROR(IF(_xlfn.XLOOKUP($A65, INDIRECT("'" &amp; AG$2 &amp; "'!$A:$A"), INDIRECT("'" &amp; AG$2 &amp; "'!$B:$B"), "")&lt;&gt;"", "✓", "✗"), "✗")
)</f>
        <v>✓</v>
      </c>
    </row>
    <row r="66" spans="1:33" x14ac:dyDescent="0.45">
      <c r="A66" t="str">
        <v>Offer Type</v>
      </c>
      <c r="B66" t="str" cm="1">
        <f t="array" aca="1" ref="B66" ca="1">IF(
    ISNUMBER(VALUE(LEFT($A66, 1))),
    "",
    IFERROR(IF(_xlfn.XLOOKUP($A66, INDIRECT("'" &amp; B$2 &amp; "'!$A:$A"), INDIRECT("'" &amp; B$2 &amp; "'!$B:$B"), "")&lt;&gt;"", "✓", "✗"), "✗")
)</f>
        <v>✓</v>
      </c>
      <c r="C66" t="str" cm="1">
        <f t="array" aca="1" ref="C66" ca="1">IF(
    ISNUMBER(VALUE(LEFT($A66, 1))),
    "",
    IFERROR(IF(_xlfn.XLOOKUP($A66, INDIRECT("'" &amp; C$2 &amp; "'!$A:$A"), INDIRECT("'" &amp; C$2 &amp; "'!$B:$B"), "")&lt;&gt;"", "✓", "✗"), "✗")
)</f>
        <v>✓</v>
      </c>
      <c r="D66" t="str" cm="1">
        <f t="array" aca="1" ref="D66" ca="1">IF(
    ISNUMBER(VALUE(LEFT($A66, 1))),
    "",
    IFERROR(IF(_xlfn.XLOOKUP($A66, INDIRECT("'" &amp; D$2 &amp; "'!$A:$A"), INDIRECT("'" &amp; D$2 &amp; "'!$B:$B"), "")&lt;&gt;"", "✓", "✗"), "✗")
)</f>
        <v>✓</v>
      </c>
      <c r="E66" t="str" cm="1">
        <f t="array" aca="1" ref="E66" ca="1">IF(
    ISNUMBER(VALUE(LEFT($A66, 1))),
    "",
    IFERROR(IF(_xlfn.XLOOKUP($A66, INDIRECT("'" &amp; E$2 &amp; "'!$A:$A"), INDIRECT("'" &amp; E$2 &amp; "'!$B:$B"), "")&lt;&gt;"", "✓", "✗"), "✗")
)</f>
        <v>✓</v>
      </c>
      <c r="F66" t="str" cm="1">
        <f t="array" aca="1" ref="F66" ca="1">IF(
    ISNUMBER(VALUE(LEFT($A66, 1))),
    "",
    IFERROR(IF(_xlfn.XLOOKUP($A66, INDIRECT("'" &amp; F$2 &amp; "'!$A:$A"), INDIRECT("'" &amp; F$2 &amp; "'!$B:$B"), "")&lt;&gt;"", "✓", "✗"), "✗")
)</f>
        <v>✓</v>
      </c>
      <c r="G66" t="str" cm="1">
        <f t="array" aca="1" ref="G66" ca="1">IF(
    ISNUMBER(VALUE(LEFT($A66, 1))),
    "",
    IFERROR(IF(_xlfn.XLOOKUP($A66, INDIRECT("'" &amp; G$2 &amp; "'!$A:$A"), INDIRECT("'" &amp; G$2 &amp; "'!$B:$B"), "")&lt;&gt;"", "✓", "✗"), "✗")
)</f>
        <v>✗</v>
      </c>
      <c r="H66" t="str" cm="1">
        <f t="array" aca="1" ref="H66" ca="1">IF(
    ISNUMBER(VALUE(LEFT($A66, 1))),
    "",
    IFERROR(IF(_xlfn.XLOOKUP($A66, INDIRECT("'" &amp; H$2 &amp; "'!$A:$A"), INDIRECT("'" &amp; H$2 &amp; "'!$B:$B"), "")&lt;&gt;"", "✓", "✗"), "✗")
)</f>
        <v>✗</v>
      </c>
      <c r="I66" t="str" cm="1">
        <f t="array" aca="1" ref="I66" ca="1">IF(
    ISNUMBER(VALUE(LEFT($A66, 1))),
    "",
    IFERROR(IF(_xlfn.XLOOKUP($A66, INDIRECT("'" &amp; I$2 &amp; "'!$A:$A"), INDIRECT("'" &amp; I$2 &amp; "'!$B:$B"), "")&lt;&gt;"", "✓", "✗"), "✗")
)</f>
        <v>✓</v>
      </c>
      <c r="J66" t="str" cm="1">
        <f t="array" aca="1" ref="J66" ca="1">IF(
    ISNUMBER(VALUE(LEFT($A66, 1))),
    "",
    IFERROR(IF(_xlfn.XLOOKUP($A66, INDIRECT("'" &amp; J$2 &amp; "'!$A:$A"), INDIRECT("'" &amp; J$2 &amp; "'!$B:$B"), "")&lt;&gt;"", "✓", "✗"), "✗")
)</f>
        <v>✓</v>
      </c>
      <c r="K66" t="str" cm="1">
        <f t="array" aca="1" ref="K66" ca="1">IF(
    ISNUMBER(VALUE(LEFT($A66, 1))),
    "",
    IFERROR(IF(_xlfn.XLOOKUP($A66, INDIRECT("'" &amp; K$2 &amp; "'!$A:$A"), INDIRECT("'" &amp; K$2 &amp; "'!$B:$B"), "")&lt;&gt;"", "✓", "✗"), "✗")
)</f>
        <v>✗</v>
      </c>
      <c r="L66" t="str" cm="1">
        <f t="array" aca="1" ref="L66" ca="1">IF(
    ISNUMBER(VALUE(LEFT($A66, 1))),
    "",
    IFERROR(IF(_xlfn.XLOOKUP($A66, INDIRECT("'" &amp; L$2 &amp; "'!$A:$A"), INDIRECT("'" &amp; L$2 &amp; "'!$B:$B"), "")&lt;&gt;"", "✓", "✗"), "✗")
)</f>
        <v>✗</v>
      </c>
      <c r="M66" t="str" cm="1">
        <f t="array" aca="1" ref="M66" ca="1">IF(
    ISNUMBER(VALUE(LEFT($A66, 1))),
    "",
    IFERROR(IF(_xlfn.XLOOKUP($A66, INDIRECT("'" &amp; M$2 &amp; "'!$A:$A"), INDIRECT("'" &amp; M$2 &amp; "'!$B:$B"), "")&lt;&gt;"", "✓", "✗"), "✗")
)</f>
        <v>✗</v>
      </c>
      <c r="N66" t="str" cm="1">
        <f t="array" aca="1" ref="N66" ca="1">IF(
    ISNUMBER(VALUE(LEFT($A66, 1))),
    "",
    IFERROR(IF(_xlfn.XLOOKUP($A66, INDIRECT("'" &amp; N$2 &amp; "'!$A:$A"), INDIRECT("'" &amp; N$2 &amp; "'!$B:$B"), "")&lt;&gt;"", "✓", "✗"), "✗")
)</f>
        <v>✗</v>
      </c>
      <c r="O66" t="str" cm="1">
        <f t="array" aca="1" ref="O66" ca="1">IF(
    ISNUMBER(VALUE(LEFT($A66, 1))),
    "",
    IFERROR(IF(_xlfn.XLOOKUP($A66, INDIRECT("'" &amp; O$2 &amp; "'!$A:$A"), INDIRECT("'" &amp; O$2 &amp; "'!$B:$B"), "")&lt;&gt;"", "✓", "✗"), "✗")
)</f>
        <v>✗</v>
      </c>
      <c r="P66" t="str" cm="1">
        <f t="array" aca="1" ref="P66" ca="1">IF(
    ISNUMBER(VALUE(LEFT($A66, 1))),
    "",
    IFERROR(IF(_xlfn.XLOOKUP($A66, INDIRECT("'" &amp; P$2 &amp; "'!$A:$A"), INDIRECT("'" &amp; P$2 &amp; "'!$B:$B"), "")&lt;&gt;"", "✓", "✗"), "✗")
)</f>
        <v>✗</v>
      </c>
      <c r="Q66" t="str" cm="1">
        <f t="array" aca="1" ref="Q66" ca="1">IF(
    ISNUMBER(VALUE(LEFT($A66, 1))),
    "",
    IFERROR(IF(_xlfn.XLOOKUP($A66, INDIRECT("'" &amp; Q$2 &amp; "'!$A:$A"), INDIRECT("'" &amp; Q$2 &amp; "'!$B:$B"), "")&lt;&gt;"", "✓", "✗"), "✗")
)</f>
        <v>✗</v>
      </c>
      <c r="R66" t="str" cm="1">
        <f t="array" aca="1" ref="R66" ca="1">IF(
    ISNUMBER(VALUE(LEFT($A66, 1))),
    "",
    IFERROR(IF(_xlfn.XLOOKUP($A66, INDIRECT("'" &amp; R$2 &amp; "'!$A:$A"), INDIRECT("'" &amp; R$2 &amp; "'!$B:$B"), "")&lt;&gt;"", "✓", "✗"), "✗")
)</f>
        <v>✗</v>
      </c>
      <c r="S66" t="str" cm="1">
        <f t="array" aca="1" ref="S66" ca="1">IF(
    ISNUMBER(VALUE(LEFT($A66, 1))),
    "",
    IFERROR(IF(_xlfn.XLOOKUP($A66, INDIRECT("'" &amp; S$2 &amp; "'!$A:$A"), INDIRECT("'" &amp; S$2 &amp; "'!$B:$B"), "")&lt;&gt;"", "✓", "✗"), "✗")
)</f>
        <v>✗</v>
      </c>
      <c r="T66" t="str" cm="1">
        <f t="array" aca="1" ref="T66" ca="1">IF(
    ISNUMBER(VALUE(LEFT($A66, 1))),
    "",
    IFERROR(IF(_xlfn.XLOOKUP($A66, INDIRECT("'" &amp; T$2 &amp; "'!$A:$A"), INDIRECT("'" &amp; T$2 &amp; "'!$B:$B"), "")&lt;&gt;"", "✓", "✗"), "✗")
)</f>
        <v>✗</v>
      </c>
      <c r="U66" t="str" cm="1">
        <f t="array" aca="1" ref="U66" ca="1">IF(
    ISNUMBER(VALUE(LEFT($A66, 1))),
    "",
    IFERROR(IF(_xlfn.XLOOKUP($A66, INDIRECT("'" &amp; U$2 &amp; "'!$A:$A"), INDIRECT("'" &amp; U$2 &amp; "'!$B:$B"), "")&lt;&gt;"", "✓", "✗"), "✗")
)</f>
        <v>✗</v>
      </c>
      <c r="V66" t="str" cm="1">
        <f t="array" aca="1" ref="V66" ca="1">IF(
    ISNUMBER(VALUE(LEFT($A66, 1))),
    "",
    IFERROR(IF(_xlfn.XLOOKUP($A66, INDIRECT("'" &amp; V$2 &amp; "'!$A:$A"), INDIRECT("'" &amp; V$2 &amp; "'!$B:$B"), "")&lt;&gt;"", "✓", "✗"), "✗")
)</f>
        <v>✗</v>
      </c>
      <c r="W66" t="str" cm="1">
        <f t="array" aca="1" ref="W66" ca="1">IF(
    ISNUMBER(VALUE(LEFT($A66, 1))),
    "",
    IFERROR(IF(_xlfn.XLOOKUP($A66, INDIRECT("'" &amp; W$2 &amp; "'!$A:$A"), INDIRECT("'" &amp; W$2 &amp; "'!$B:$B"), "")&lt;&gt;"", "✓", "✗"), "✗")
)</f>
        <v>✗</v>
      </c>
      <c r="X66" t="str" cm="1">
        <f t="array" aca="1" ref="X66" ca="1">IF(
    ISNUMBER(VALUE(LEFT($A66, 1))),
    "",
    IFERROR(IF(_xlfn.XLOOKUP($A66, INDIRECT("'" &amp; X$2 &amp; "'!$A:$A"), INDIRECT("'" &amp; X$2 &amp; "'!$B:$B"), "")&lt;&gt;"", "✓", "✗"), "✗")
)</f>
        <v>✓</v>
      </c>
      <c r="Y66" t="str" cm="1">
        <f t="array" aca="1" ref="Y66" ca="1">IF(
    ISNUMBER(VALUE(LEFT($A66, 1))),
    "",
    IFERROR(IF(_xlfn.XLOOKUP($A66, INDIRECT("'" &amp; Y$2 &amp; "'!$A:$A"), INDIRECT("'" &amp; Y$2 &amp; "'!$B:$B"), "")&lt;&gt;"", "✓", "✗"), "✗")
)</f>
        <v>✓</v>
      </c>
      <c r="Z66" t="str" cm="1">
        <f t="array" aca="1" ref="Z66" ca="1">IF(
    ISNUMBER(VALUE(LEFT($A66, 1))),
    "",
    IFERROR(IF(_xlfn.XLOOKUP($A66, INDIRECT("'" &amp; Z$2 &amp; "'!$A:$A"), INDIRECT("'" &amp; Z$2 &amp; "'!$B:$B"), "")&lt;&gt;"", "✓", "✗"), "✗")
)</f>
        <v>✓</v>
      </c>
      <c r="AA66" t="str" cm="1">
        <f t="array" aca="1" ref="AA66" ca="1">IF(
    ISNUMBER(VALUE(LEFT($A66, 1))),
    "",
    IFERROR(IF(_xlfn.XLOOKUP($A66, INDIRECT("'" &amp; AA$2 &amp; "'!$A:$A"), INDIRECT("'" &amp; AA$2 &amp; "'!$B:$B"), "")&lt;&gt;"", "✓", "✗"), "✗")
)</f>
        <v>✗</v>
      </c>
      <c r="AB66" t="str" cm="1">
        <f t="array" aca="1" ref="AB66" ca="1">IF(
    ISNUMBER(VALUE(LEFT($A66, 1))),
    "",
    IFERROR(IF(_xlfn.XLOOKUP($A66, INDIRECT("'" &amp; AB$2 &amp; "'!$A:$A"), INDIRECT("'" &amp; AB$2 &amp; "'!$B:$B"), "")&lt;&gt;"", "✓", "✗"), "✗")
)</f>
        <v>✓</v>
      </c>
      <c r="AC66" t="str" cm="1">
        <f t="array" aca="1" ref="AC66" ca="1">IF(
    ISNUMBER(VALUE(LEFT($A66, 1))),
    "",
    IFERROR(IF(_xlfn.XLOOKUP($A66, INDIRECT("'" &amp; AC$2 &amp; "'!$A:$A"), INDIRECT("'" &amp; AC$2 &amp; "'!$B:$B"), "")&lt;&gt;"", "✓", "✗"), "✗")
)</f>
        <v>✗</v>
      </c>
      <c r="AD66" t="str" cm="1">
        <f t="array" aca="1" ref="AD66" ca="1">IF(
    ISNUMBER(VALUE(LEFT($A66, 1))),
    "",
    IFERROR(IF(_xlfn.XLOOKUP($A66, INDIRECT("'" &amp; AD$2 &amp; "'!$A:$A"), INDIRECT("'" &amp; AD$2 &amp; "'!$B:$B"), "")&lt;&gt;"", "✓", "✗"), "✗")
)</f>
        <v>✗</v>
      </c>
      <c r="AE66" t="str" cm="1">
        <f t="array" aca="1" ref="AE66" ca="1">IF(
    ISNUMBER(VALUE(LEFT($A66, 1))),
    "",
    IFERROR(IF(_xlfn.XLOOKUP($A66, INDIRECT("'" &amp; AE$2 &amp; "'!$A:$A"), INDIRECT("'" &amp; AE$2 &amp; "'!$B:$B"), "")&lt;&gt;"", "✓", "✗"), "✗")
)</f>
        <v>✓</v>
      </c>
      <c r="AF66" t="str" cm="1">
        <f t="array" aca="1" ref="AF66" ca="1">IF(
    ISNUMBER(VALUE(LEFT($A66, 1))),
    "",
    IFERROR(IF(_xlfn.XLOOKUP($A66, INDIRECT("'" &amp; AF$2 &amp; "'!$A:$A"), INDIRECT("'" &amp; AF$2 &amp; "'!$B:$B"), "")&lt;&gt;"", "✓", "✗"), "✗")
)</f>
        <v>✓</v>
      </c>
      <c r="AG66" t="str" cm="1">
        <f t="array" aca="1" ref="AG66" ca="1">IF(
    ISNUMBER(VALUE(LEFT($A66, 1))),
    "",
    IFERROR(IF(_xlfn.XLOOKUP($A66, INDIRECT("'" &amp; AG$2 &amp; "'!$A:$A"), INDIRECT("'" &amp; AG$2 &amp; "'!$B:$B"), "")&lt;&gt;"", "✓", "✗"), "✗")
)</f>
        <v>✓</v>
      </c>
    </row>
    <row r="67" spans="1:33" x14ac:dyDescent="0.45">
      <c r="A67" t="str">
        <v>6 - Future Tracking Parameters</v>
      </c>
      <c r="B67" t="str" cm="1">
        <f t="array" aca="1" ref="B67" ca="1">IF(
    ISNUMBER(VALUE(LEFT($A67, 1))),
    "",
    IFERROR(IF(_xlfn.XLOOKUP($A67, INDIRECT("'" &amp; B$2 &amp; "'!$A:$A"), INDIRECT("'" &amp; B$2 &amp; "'!$B:$B"), "")&lt;&gt;"", "✓", "✗"), "✗")
)</f>
        <v/>
      </c>
      <c r="C67" t="str" cm="1">
        <f t="array" aca="1" ref="C67" ca="1">IF(
    ISNUMBER(VALUE(LEFT($A67, 1))),
    "",
    IFERROR(IF(_xlfn.XLOOKUP($A67, INDIRECT("'" &amp; C$2 &amp; "'!$A:$A"), INDIRECT("'" &amp; C$2 &amp; "'!$B:$B"), "")&lt;&gt;"", "✓", "✗"), "✗")
)</f>
        <v/>
      </c>
      <c r="D67" t="str" cm="1">
        <f t="array" aca="1" ref="D67" ca="1">IF(
    ISNUMBER(VALUE(LEFT($A67, 1))),
    "",
    IFERROR(IF(_xlfn.XLOOKUP($A67, INDIRECT("'" &amp; D$2 &amp; "'!$A:$A"), INDIRECT("'" &amp; D$2 &amp; "'!$B:$B"), "")&lt;&gt;"", "✓", "✗"), "✗")
)</f>
        <v/>
      </c>
      <c r="E67" t="str" cm="1">
        <f t="array" aca="1" ref="E67" ca="1">IF(
    ISNUMBER(VALUE(LEFT($A67, 1))),
    "",
    IFERROR(IF(_xlfn.XLOOKUP($A67, INDIRECT("'" &amp; E$2 &amp; "'!$A:$A"), INDIRECT("'" &amp; E$2 &amp; "'!$B:$B"), "")&lt;&gt;"", "✓", "✗"), "✗")
)</f>
        <v/>
      </c>
      <c r="F67" t="str" cm="1">
        <f t="array" aca="1" ref="F67" ca="1">IF(
    ISNUMBER(VALUE(LEFT($A67, 1))),
    "",
    IFERROR(IF(_xlfn.XLOOKUP($A67, INDIRECT("'" &amp; F$2 &amp; "'!$A:$A"), INDIRECT("'" &amp; F$2 &amp; "'!$B:$B"), "")&lt;&gt;"", "✓", "✗"), "✗")
)</f>
        <v/>
      </c>
      <c r="G67" t="str" cm="1">
        <f t="array" aca="1" ref="G67" ca="1">IF(
    ISNUMBER(VALUE(LEFT($A67, 1))),
    "",
    IFERROR(IF(_xlfn.XLOOKUP($A67, INDIRECT("'" &amp; G$2 &amp; "'!$A:$A"), INDIRECT("'" &amp; G$2 &amp; "'!$B:$B"), "")&lt;&gt;"", "✓", "✗"), "✗")
)</f>
        <v/>
      </c>
      <c r="H67" t="str" cm="1">
        <f t="array" aca="1" ref="H67" ca="1">IF(
    ISNUMBER(VALUE(LEFT($A67, 1))),
    "",
    IFERROR(IF(_xlfn.XLOOKUP($A67, INDIRECT("'" &amp; H$2 &amp; "'!$A:$A"), INDIRECT("'" &amp; H$2 &amp; "'!$B:$B"), "")&lt;&gt;"", "✓", "✗"), "✗")
)</f>
        <v/>
      </c>
      <c r="I67" t="str" cm="1">
        <f t="array" aca="1" ref="I67" ca="1">IF(
    ISNUMBER(VALUE(LEFT($A67, 1))),
    "",
    IFERROR(IF(_xlfn.XLOOKUP($A67, INDIRECT("'" &amp; I$2 &amp; "'!$A:$A"), INDIRECT("'" &amp; I$2 &amp; "'!$B:$B"), "")&lt;&gt;"", "✓", "✗"), "✗")
)</f>
        <v/>
      </c>
      <c r="J67" t="str" cm="1">
        <f t="array" aca="1" ref="J67" ca="1">IF(
    ISNUMBER(VALUE(LEFT($A67, 1))),
    "",
    IFERROR(IF(_xlfn.XLOOKUP($A67, INDIRECT("'" &amp; J$2 &amp; "'!$A:$A"), INDIRECT("'" &amp; J$2 &amp; "'!$B:$B"), "")&lt;&gt;"", "✓", "✗"), "✗")
)</f>
        <v/>
      </c>
      <c r="K67" t="str" cm="1">
        <f t="array" aca="1" ref="K67" ca="1">IF(
    ISNUMBER(VALUE(LEFT($A67, 1))),
    "",
    IFERROR(IF(_xlfn.XLOOKUP($A67, INDIRECT("'" &amp; K$2 &amp; "'!$A:$A"), INDIRECT("'" &amp; K$2 &amp; "'!$B:$B"), "")&lt;&gt;"", "✓", "✗"), "✗")
)</f>
        <v/>
      </c>
      <c r="L67" t="str" cm="1">
        <f t="array" aca="1" ref="L67" ca="1">IF(
    ISNUMBER(VALUE(LEFT($A67, 1))),
    "",
    IFERROR(IF(_xlfn.XLOOKUP($A67, INDIRECT("'" &amp; L$2 &amp; "'!$A:$A"), INDIRECT("'" &amp; L$2 &amp; "'!$B:$B"), "")&lt;&gt;"", "✓", "✗"), "✗")
)</f>
        <v/>
      </c>
      <c r="M67" t="str" cm="1">
        <f t="array" aca="1" ref="M67" ca="1">IF(
    ISNUMBER(VALUE(LEFT($A67, 1))),
    "",
    IFERROR(IF(_xlfn.XLOOKUP($A67, INDIRECT("'" &amp; M$2 &amp; "'!$A:$A"), INDIRECT("'" &amp; M$2 &amp; "'!$B:$B"), "")&lt;&gt;"", "✓", "✗"), "✗")
)</f>
        <v/>
      </c>
      <c r="N67" t="str" cm="1">
        <f t="array" aca="1" ref="N67" ca="1">IF(
    ISNUMBER(VALUE(LEFT($A67, 1))),
    "",
    IFERROR(IF(_xlfn.XLOOKUP($A67, INDIRECT("'" &amp; N$2 &amp; "'!$A:$A"), INDIRECT("'" &amp; N$2 &amp; "'!$B:$B"), "")&lt;&gt;"", "✓", "✗"), "✗")
)</f>
        <v/>
      </c>
      <c r="O67" t="str" cm="1">
        <f t="array" aca="1" ref="O67" ca="1">IF(
    ISNUMBER(VALUE(LEFT($A67, 1))),
    "",
    IFERROR(IF(_xlfn.XLOOKUP($A67, INDIRECT("'" &amp; O$2 &amp; "'!$A:$A"), INDIRECT("'" &amp; O$2 &amp; "'!$B:$B"), "")&lt;&gt;"", "✓", "✗"), "✗")
)</f>
        <v/>
      </c>
      <c r="P67" t="str" cm="1">
        <f t="array" aca="1" ref="P67" ca="1">IF(
    ISNUMBER(VALUE(LEFT($A67, 1))),
    "",
    IFERROR(IF(_xlfn.XLOOKUP($A67, INDIRECT("'" &amp; P$2 &amp; "'!$A:$A"), INDIRECT("'" &amp; P$2 &amp; "'!$B:$B"), "")&lt;&gt;"", "✓", "✗"), "✗")
)</f>
        <v/>
      </c>
      <c r="Q67" t="str" cm="1">
        <f t="array" aca="1" ref="Q67" ca="1">IF(
    ISNUMBER(VALUE(LEFT($A67, 1))),
    "",
    IFERROR(IF(_xlfn.XLOOKUP($A67, INDIRECT("'" &amp; Q$2 &amp; "'!$A:$A"), INDIRECT("'" &amp; Q$2 &amp; "'!$B:$B"), "")&lt;&gt;"", "✓", "✗"), "✗")
)</f>
        <v/>
      </c>
      <c r="R67" t="str" cm="1">
        <f t="array" aca="1" ref="R67" ca="1">IF(
    ISNUMBER(VALUE(LEFT($A67, 1))),
    "",
    IFERROR(IF(_xlfn.XLOOKUP($A67, INDIRECT("'" &amp; R$2 &amp; "'!$A:$A"), INDIRECT("'" &amp; R$2 &amp; "'!$B:$B"), "")&lt;&gt;"", "✓", "✗"), "✗")
)</f>
        <v/>
      </c>
      <c r="S67" t="str" cm="1">
        <f t="array" aca="1" ref="S67" ca="1">IF(
    ISNUMBER(VALUE(LEFT($A67, 1))),
    "",
    IFERROR(IF(_xlfn.XLOOKUP($A67, INDIRECT("'" &amp; S$2 &amp; "'!$A:$A"), INDIRECT("'" &amp; S$2 &amp; "'!$B:$B"), "")&lt;&gt;"", "✓", "✗"), "✗")
)</f>
        <v/>
      </c>
      <c r="T67" t="str" cm="1">
        <f t="array" aca="1" ref="T67" ca="1">IF(
    ISNUMBER(VALUE(LEFT($A67, 1))),
    "",
    IFERROR(IF(_xlfn.XLOOKUP($A67, INDIRECT("'" &amp; T$2 &amp; "'!$A:$A"), INDIRECT("'" &amp; T$2 &amp; "'!$B:$B"), "")&lt;&gt;"", "✓", "✗"), "✗")
)</f>
        <v/>
      </c>
      <c r="U67" t="str" cm="1">
        <f t="array" aca="1" ref="U67" ca="1">IF(
    ISNUMBER(VALUE(LEFT($A67, 1))),
    "",
    IFERROR(IF(_xlfn.XLOOKUP($A67, INDIRECT("'" &amp; U$2 &amp; "'!$A:$A"), INDIRECT("'" &amp; U$2 &amp; "'!$B:$B"), "")&lt;&gt;"", "✓", "✗"), "✗")
)</f>
        <v/>
      </c>
      <c r="V67" t="str" cm="1">
        <f t="array" aca="1" ref="V67" ca="1">IF(
    ISNUMBER(VALUE(LEFT($A67, 1))),
    "",
    IFERROR(IF(_xlfn.XLOOKUP($A67, INDIRECT("'" &amp; V$2 &amp; "'!$A:$A"), INDIRECT("'" &amp; V$2 &amp; "'!$B:$B"), "")&lt;&gt;"", "✓", "✗"), "✗")
)</f>
        <v/>
      </c>
      <c r="W67" t="str" cm="1">
        <f t="array" aca="1" ref="W67" ca="1">IF(
    ISNUMBER(VALUE(LEFT($A67, 1))),
    "",
    IFERROR(IF(_xlfn.XLOOKUP($A67, INDIRECT("'" &amp; W$2 &amp; "'!$A:$A"), INDIRECT("'" &amp; W$2 &amp; "'!$B:$B"), "")&lt;&gt;"", "✓", "✗"), "✗")
)</f>
        <v/>
      </c>
      <c r="X67" t="str" cm="1">
        <f t="array" aca="1" ref="X67" ca="1">IF(
    ISNUMBER(VALUE(LEFT($A67, 1))),
    "",
    IFERROR(IF(_xlfn.XLOOKUP($A67, INDIRECT("'" &amp; X$2 &amp; "'!$A:$A"), INDIRECT("'" &amp; X$2 &amp; "'!$B:$B"), "")&lt;&gt;"", "✓", "✗"), "✗")
)</f>
        <v/>
      </c>
      <c r="Y67" t="str" cm="1">
        <f t="array" aca="1" ref="Y67" ca="1">IF(
    ISNUMBER(VALUE(LEFT($A67, 1))),
    "",
    IFERROR(IF(_xlfn.XLOOKUP($A67, INDIRECT("'" &amp; Y$2 &amp; "'!$A:$A"), INDIRECT("'" &amp; Y$2 &amp; "'!$B:$B"), "")&lt;&gt;"", "✓", "✗"), "✗")
)</f>
        <v/>
      </c>
      <c r="Z67" t="str" cm="1">
        <f t="array" aca="1" ref="Z67" ca="1">IF(
    ISNUMBER(VALUE(LEFT($A67, 1))),
    "",
    IFERROR(IF(_xlfn.XLOOKUP($A67, INDIRECT("'" &amp; Z$2 &amp; "'!$A:$A"), INDIRECT("'" &amp; Z$2 &amp; "'!$B:$B"), "")&lt;&gt;"", "✓", "✗"), "✗")
)</f>
        <v/>
      </c>
      <c r="AA67" t="str" cm="1">
        <f t="array" aca="1" ref="AA67" ca="1">IF(
    ISNUMBER(VALUE(LEFT($A67, 1))),
    "",
    IFERROR(IF(_xlfn.XLOOKUP($A67, INDIRECT("'" &amp; AA$2 &amp; "'!$A:$A"), INDIRECT("'" &amp; AA$2 &amp; "'!$B:$B"), "")&lt;&gt;"", "✓", "✗"), "✗")
)</f>
        <v/>
      </c>
      <c r="AB67" t="str" cm="1">
        <f t="array" aca="1" ref="AB67" ca="1">IF(
    ISNUMBER(VALUE(LEFT($A67, 1))),
    "",
    IFERROR(IF(_xlfn.XLOOKUP($A67, INDIRECT("'" &amp; AB$2 &amp; "'!$A:$A"), INDIRECT("'" &amp; AB$2 &amp; "'!$B:$B"), "")&lt;&gt;"", "✓", "✗"), "✗")
)</f>
        <v/>
      </c>
      <c r="AC67" t="str" cm="1">
        <f t="array" aca="1" ref="AC67" ca="1">IF(
    ISNUMBER(VALUE(LEFT($A67, 1))),
    "",
    IFERROR(IF(_xlfn.XLOOKUP($A67, INDIRECT("'" &amp; AC$2 &amp; "'!$A:$A"), INDIRECT("'" &amp; AC$2 &amp; "'!$B:$B"), "")&lt;&gt;"", "✓", "✗"), "✗")
)</f>
        <v/>
      </c>
      <c r="AD67" t="str" cm="1">
        <f t="array" aca="1" ref="AD67" ca="1">IF(
    ISNUMBER(VALUE(LEFT($A67, 1))),
    "",
    IFERROR(IF(_xlfn.XLOOKUP($A67, INDIRECT("'" &amp; AD$2 &amp; "'!$A:$A"), INDIRECT("'" &amp; AD$2 &amp; "'!$B:$B"), "")&lt;&gt;"", "✓", "✗"), "✗")
)</f>
        <v/>
      </c>
      <c r="AE67" t="str" cm="1">
        <f t="array" aca="1" ref="AE67" ca="1">IF(
    ISNUMBER(VALUE(LEFT($A67, 1))),
    "",
    IFERROR(IF(_xlfn.XLOOKUP($A67, INDIRECT("'" &amp; AE$2 &amp; "'!$A:$A"), INDIRECT("'" &amp; AE$2 &amp; "'!$B:$B"), "")&lt;&gt;"", "✓", "✗"), "✗")
)</f>
        <v/>
      </c>
      <c r="AF67" t="str" cm="1">
        <f t="array" aca="1" ref="AF67" ca="1">IF(
    ISNUMBER(VALUE(LEFT($A67, 1))),
    "",
    IFERROR(IF(_xlfn.XLOOKUP($A67, INDIRECT("'" &amp; AF$2 &amp; "'!$A:$A"), INDIRECT("'" &amp; AF$2 &amp; "'!$B:$B"), "")&lt;&gt;"", "✓", "✗"), "✗")
)</f>
        <v/>
      </c>
      <c r="AG67" t="str" cm="1">
        <f t="array" aca="1" ref="AG67" ca="1">IF(
    ISNUMBER(VALUE(LEFT($A67, 1))),
    "",
    IFERROR(IF(_xlfn.XLOOKUP($A67, INDIRECT("'" &amp; AG$2 &amp; "'!$A:$A"), INDIRECT("'" &amp; AG$2 &amp; "'!$B:$B"), "")&lt;&gt;"", "✓", "✗"), "✗")
)</f>
        <v/>
      </c>
    </row>
    <row r="68" spans="1:33" x14ac:dyDescent="0.45">
      <c r="A68" t="str">
        <v>Workfront Channel ID</v>
      </c>
      <c r="B68" t="str" cm="1">
        <f t="array" aca="1" ref="B68" ca="1">IF(
    ISNUMBER(VALUE(LEFT($A68, 1))),
    "",
    IFERROR(IF(_xlfn.XLOOKUP($A68, INDIRECT("'" &amp; B$2 &amp; "'!$A:$A"), INDIRECT("'" &amp; B$2 &amp; "'!$B:$B"), "")&lt;&gt;"", "✓", "✗"), "✗")
)</f>
        <v>✓</v>
      </c>
      <c r="C68" t="str" cm="1">
        <f t="array" aca="1" ref="C68" ca="1">IF(
    ISNUMBER(VALUE(LEFT($A68, 1))),
    "",
    IFERROR(IF(_xlfn.XLOOKUP($A68, INDIRECT("'" &amp; C$2 &amp; "'!$A:$A"), INDIRECT("'" &amp; C$2 &amp; "'!$B:$B"), "")&lt;&gt;"", "✓", "✗"), "✗")
)</f>
        <v>✓</v>
      </c>
      <c r="D68" t="str" cm="1">
        <f t="array" aca="1" ref="D68" ca="1">IF(
    ISNUMBER(VALUE(LEFT($A68, 1))),
    "",
    IFERROR(IF(_xlfn.XLOOKUP($A68, INDIRECT("'" &amp; D$2 &amp; "'!$A:$A"), INDIRECT("'" &amp; D$2 &amp; "'!$B:$B"), "")&lt;&gt;"", "✓", "✗"), "✗")
)</f>
        <v>✓</v>
      </c>
      <c r="E68" t="str" cm="1">
        <f t="array" aca="1" ref="E68" ca="1">IF(
    ISNUMBER(VALUE(LEFT($A68, 1))),
    "",
    IFERROR(IF(_xlfn.XLOOKUP($A68, INDIRECT("'" &amp; E$2 &amp; "'!$A:$A"), INDIRECT("'" &amp; E$2 &amp; "'!$B:$B"), "")&lt;&gt;"", "✓", "✗"), "✗")
)</f>
        <v>✓</v>
      </c>
      <c r="F68" t="str" cm="1">
        <f t="array" aca="1" ref="F68" ca="1">IF(
    ISNUMBER(VALUE(LEFT($A68, 1))),
    "",
    IFERROR(IF(_xlfn.XLOOKUP($A68, INDIRECT("'" &amp; F$2 &amp; "'!$A:$A"), INDIRECT("'" &amp; F$2 &amp; "'!$B:$B"), "")&lt;&gt;"", "✓", "✗"), "✗")
)</f>
        <v>✓</v>
      </c>
      <c r="G68" t="str" cm="1">
        <f t="array" aca="1" ref="G68" ca="1">IF(
    ISNUMBER(VALUE(LEFT($A68, 1))),
    "",
    IFERROR(IF(_xlfn.XLOOKUP($A68, INDIRECT("'" &amp; G$2 &amp; "'!$A:$A"), INDIRECT("'" &amp; G$2 &amp; "'!$B:$B"), "")&lt;&gt;"", "✓", "✗"), "✗")
)</f>
        <v>✓</v>
      </c>
      <c r="H68" t="str" cm="1">
        <f t="array" aca="1" ref="H68" ca="1">IF(
    ISNUMBER(VALUE(LEFT($A68, 1))),
    "",
    IFERROR(IF(_xlfn.XLOOKUP($A68, INDIRECT("'" &amp; H$2 &amp; "'!$A:$A"), INDIRECT("'" &amp; H$2 &amp; "'!$B:$B"), "")&lt;&gt;"", "✓", "✗"), "✗")
)</f>
        <v>✓</v>
      </c>
      <c r="I68" t="str" cm="1">
        <f t="array" aca="1" ref="I68" ca="1">IF(
    ISNUMBER(VALUE(LEFT($A68, 1))),
    "",
    IFERROR(IF(_xlfn.XLOOKUP($A68, INDIRECT("'" &amp; I$2 &amp; "'!$A:$A"), INDIRECT("'" &amp; I$2 &amp; "'!$B:$B"), "")&lt;&gt;"", "✓", "✗"), "✗")
)</f>
        <v>✓</v>
      </c>
      <c r="J68" t="str" cm="1">
        <f t="array" aca="1" ref="J68" ca="1">IF(
    ISNUMBER(VALUE(LEFT($A68, 1))),
    "",
    IFERROR(IF(_xlfn.XLOOKUP($A68, INDIRECT("'" &amp; J$2 &amp; "'!$A:$A"), INDIRECT("'" &amp; J$2 &amp; "'!$B:$B"), "")&lt;&gt;"", "✓", "✗"), "✗")
)</f>
        <v>✓</v>
      </c>
      <c r="K68" t="str" cm="1">
        <f t="array" aca="1" ref="K68" ca="1">IF(
    ISNUMBER(VALUE(LEFT($A68, 1))),
    "",
    IFERROR(IF(_xlfn.XLOOKUP($A68, INDIRECT("'" &amp; K$2 &amp; "'!$A:$A"), INDIRECT("'" &amp; K$2 &amp; "'!$B:$B"), "")&lt;&gt;"", "✓", "✗"), "✗")
)</f>
        <v>✓</v>
      </c>
      <c r="L68" t="str" cm="1">
        <f t="array" aca="1" ref="L68" ca="1">IF(
    ISNUMBER(VALUE(LEFT($A68, 1))),
    "",
    IFERROR(IF(_xlfn.XLOOKUP($A68, INDIRECT("'" &amp; L$2 &amp; "'!$A:$A"), INDIRECT("'" &amp; L$2 &amp; "'!$B:$B"), "")&lt;&gt;"", "✓", "✗"), "✗")
)</f>
        <v>✓</v>
      </c>
      <c r="M68" t="str" cm="1">
        <f t="array" aca="1" ref="M68" ca="1">IF(
    ISNUMBER(VALUE(LEFT($A68, 1))),
    "",
    IFERROR(IF(_xlfn.XLOOKUP($A68, INDIRECT("'" &amp; M$2 &amp; "'!$A:$A"), INDIRECT("'" &amp; M$2 &amp; "'!$B:$B"), "")&lt;&gt;"", "✓", "✗"), "✗")
)</f>
        <v>✓</v>
      </c>
      <c r="N68" t="str" cm="1">
        <f t="array" aca="1" ref="N68" ca="1">IF(
    ISNUMBER(VALUE(LEFT($A68, 1))),
    "",
    IFERROR(IF(_xlfn.XLOOKUP($A68, INDIRECT("'" &amp; N$2 &amp; "'!$A:$A"), INDIRECT("'" &amp; N$2 &amp; "'!$B:$B"), "")&lt;&gt;"", "✓", "✗"), "✗")
)</f>
        <v>✓</v>
      </c>
      <c r="O68" t="str" cm="1">
        <f t="array" aca="1" ref="O68" ca="1">IF(
    ISNUMBER(VALUE(LEFT($A68, 1))),
    "",
    IFERROR(IF(_xlfn.XLOOKUP($A68, INDIRECT("'" &amp; O$2 &amp; "'!$A:$A"), INDIRECT("'" &amp; O$2 &amp; "'!$B:$B"), "")&lt;&gt;"", "✓", "✗"), "✗")
)</f>
        <v>✓</v>
      </c>
      <c r="P68" t="str" cm="1">
        <f t="array" aca="1" ref="P68" ca="1">IF(
    ISNUMBER(VALUE(LEFT($A68, 1))),
    "",
    IFERROR(IF(_xlfn.XLOOKUP($A68, INDIRECT("'" &amp; P$2 &amp; "'!$A:$A"), INDIRECT("'" &amp; P$2 &amp; "'!$B:$B"), "")&lt;&gt;"", "✓", "✗"), "✗")
)</f>
        <v>✓</v>
      </c>
      <c r="Q68" t="str" cm="1">
        <f t="array" aca="1" ref="Q68" ca="1">IF(
    ISNUMBER(VALUE(LEFT($A68, 1))),
    "",
    IFERROR(IF(_xlfn.XLOOKUP($A68, INDIRECT("'" &amp; Q$2 &amp; "'!$A:$A"), INDIRECT("'" &amp; Q$2 &amp; "'!$B:$B"), "")&lt;&gt;"", "✓", "✗"), "✗")
)</f>
        <v>✓</v>
      </c>
      <c r="R68" t="str" cm="1">
        <f t="array" aca="1" ref="R68" ca="1">IF(
    ISNUMBER(VALUE(LEFT($A68, 1))),
    "",
    IFERROR(IF(_xlfn.XLOOKUP($A68, INDIRECT("'" &amp; R$2 &amp; "'!$A:$A"), INDIRECT("'" &amp; R$2 &amp; "'!$B:$B"), "")&lt;&gt;"", "✓", "✗"), "✗")
)</f>
        <v>✓</v>
      </c>
      <c r="S68" t="str" cm="1">
        <f t="array" aca="1" ref="S68" ca="1">IF(
    ISNUMBER(VALUE(LEFT($A68, 1))),
    "",
    IFERROR(IF(_xlfn.XLOOKUP($A68, INDIRECT("'" &amp; S$2 &amp; "'!$A:$A"), INDIRECT("'" &amp; S$2 &amp; "'!$B:$B"), "")&lt;&gt;"", "✓", "✗"), "✗")
)</f>
        <v>✓</v>
      </c>
      <c r="T68" t="str" cm="1">
        <f t="array" aca="1" ref="T68" ca="1">IF(
    ISNUMBER(VALUE(LEFT($A68, 1))),
    "",
    IFERROR(IF(_xlfn.XLOOKUP($A68, INDIRECT("'" &amp; T$2 &amp; "'!$A:$A"), INDIRECT("'" &amp; T$2 &amp; "'!$B:$B"), "")&lt;&gt;"", "✓", "✗"), "✗")
)</f>
        <v>✓</v>
      </c>
      <c r="U68" t="str" cm="1">
        <f t="array" aca="1" ref="U68" ca="1">IF(
    ISNUMBER(VALUE(LEFT($A68, 1))),
    "",
    IFERROR(IF(_xlfn.XLOOKUP($A68, INDIRECT("'" &amp; U$2 &amp; "'!$A:$A"), INDIRECT("'" &amp; U$2 &amp; "'!$B:$B"), "")&lt;&gt;"", "✓", "✗"), "✗")
)</f>
        <v>✓</v>
      </c>
      <c r="V68" t="str" cm="1">
        <f t="array" aca="1" ref="V68" ca="1">IF(
    ISNUMBER(VALUE(LEFT($A68, 1))),
    "",
    IFERROR(IF(_xlfn.XLOOKUP($A68, INDIRECT("'" &amp; V$2 &amp; "'!$A:$A"), INDIRECT("'" &amp; V$2 &amp; "'!$B:$B"), "")&lt;&gt;"", "✓", "✗"), "✗")
)</f>
        <v>✓</v>
      </c>
      <c r="W68" t="str" cm="1">
        <f t="array" aca="1" ref="W68" ca="1">IF(
    ISNUMBER(VALUE(LEFT($A68, 1))),
    "",
    IFERROR(IF(_xlfn.XLOOKUP($A68, INDIRECT("'" &amp; W$2 &amp; "'!$A:$A"), INDIRECT("'" &amp; W$2 &amp; "'!$B:$B"), "")&lt;&gt;"", "✓", "✗"), "✗")
)</f>
        <v>✓</v>
      </c>
      <c r="X68" t="str" cm="1">
        <f t="array" aca="1" ref="X68" ca="1">IF(
    ISNUMBER(VALUE(LEFT($A68, 1))),
    "",
    IFERROR(IF(_xlfn.XLOOKUP($A68, INDIRECT("'" &amp; X$2 &amp; "'!$A:$A"), INDIRECT("'" &amp; X$2 &amp; "'!$B:$B"), "")&lt;&gt;"", "✓", "✗"), "✗")
)</f>
        <v>✓</v>
      </c>
      <c r="Y68" t="str" cm="1">
        <f t="array" aca="1" ref="Y68" ca="1">IF(
    ISNUMBER(VALUE(LEFT($A68, 1))),
    "",
    IFERROR(IF(_xlfn.XLOOKUP($A68, INDIRECT("'" &amp; Y$2 &amp; "'!$A:$A"), INDIRECT("'" &amp; Y$2 &amp; "'!$B:$B"), "")&lt;&gt;"", "✓", "✗"), "✗")
)</f>
        <v>✓</v>
      </c>
      <c r="Z68" t="str" cm="1">
        <f t="array" aca="1" ref="Z68" ca="1">IF(
    ISNUMBER(VALUE(LEFT($A68, 1))),
    "",
    IFERROR(IF(_xlfn.XLOOKUP($A68, INDIRECT("'" &amp; Z$2 &amp; "'!$A:$A"), INDIRECT("'" &amp; Z$2 &amp; "'!$B:$B"), "")&lt;&gt;"", "✓", "✗"), "✗")
)</f>
        <v>✓</v>
      </c>
      <c r="AA68" t="str" cm="1">
        <f t="array" aca="1" ref="AA68" ca="1">IF(
    ISNUMBER(VALUE(LEFT($A68, 1))),
    "",
    IFERROR(IF(_xlfn.XLOOKUP($A68, INDIRECT("'" &amp; AA$2 &amp; "'!$A:$A"), INDIRECT("'" &amp; AA$2 &amp; "'!$B:$B"), "")&lt;&gt;"", "✓", "✗"), "✗")
)</f>
        <v>✓</v>
      </c>
      <c r="AB68" t="str" cm="1">
        <f t="array" aca="1" ref="AB68" ca="1">IF(
    ISNUMBER(VALUE(LEFT($A68, 1))),
    "",
    IFERROR(IF(_xlfn.XLOOKUP($A68, INDIRECT("'" &amp; AB$2 &amp; "'!$A:$A"), INDIRECT("'" &amp; AB$2 &amp; "'!$B:$B"), "")&lt;&gt;"", "✓", "✗"), "✗")
)</f>
        <v>✓</v>
      </c>
      <c r="AC68" t="str" cm="1">
        <f t="array" aca="1" ref="AC68" ca="1">IF(
    ISNUMBER(VALUE(LEFT($A68, 1))),
    "",
    IFERROR(IF(_xlfn.XLOOKUP($A68, INDIRECT("'" &amp; AC$2 &amp; "'!$A:$A"), INDIRECT("'" &amp; AC$2 &amp; "'!$B:$B"), "")&lt;&gt;"", "✓", "✗"), "✗")
)</f>
        <v>✗</v>
      </c>
      <c r="AD68" t="str" cm="1">
        <f t="array" aca="1" ref="AD68" ca="1">IF(
    ISNUMBER(VALUE(LEFT($A68, 1))),
    "",
    IFERROR(IF(_xlfn.XLOOKUP($A68, INDIRECT("'" &amp; AD$2 &amp; "'!$A:$A"), INDIRECT("'" &amp; AD$2 &amp; "'!$B:$B"), "")&lt;&gt;"", "✓", "✗"), "✗")
)</f>
        <v>✓</v>
      </c>
      <c r="AE68" t="str" cm="1">
        <f t="array" aca="1" ref="AE68" ca="1">IF(
    ISNUMBER(VALUE(LEFT($A68, 1))),
    "",
    IFERROR(IF(_xlfn.XLOOKUP($A68, INDIRECT("'" &amp; AE$2 &amp; "'!$A:$A"), INDIRECT("'" &amp; AE$2 &amp; "'!$B:$B"), "")&lt;&gt;"", "✓", "✗"), "✗")
)</f>
        <v>✗</v>
      </c>
      <c r="AF68" t="str" cm="1">
        <f t="array" aca="1" ref="AF68" ca="1">IF(
    ISNUMBER(VALUE(LEFT($A68, 1))),
    "",
    IFERROR(IF(_xlfn.XLOOKUP($A68, INDIRECT("'" &amp; AF$2 &amp; "'!$A:$A"), INDIRECT("'" &amp; AF$2 &amp; "'!$B:$B"), "")&lt;&gt;"", "✓", "✗"), "✗")
)</f>
        <v>✓</v>
      </c>
      <c r="AG68" t="str" cm="1">
        <f t="array" aca="1" ref="AG68" ca="1">IF(
    ISNUMBER(VALUE(LEFT($A68, 1))),
    "",
    IFERROR(IF(_xlfn.XLOOKUP($A68, INDIRECT("'" &amp; AG$2 &amp; "'!$A:$A"), INDIRECT("'" &amp; AG$2 &amp; "'!$B:$B"), "")&lt;&gt;"", "✓", "✗"), "✗")
)</f>
        <v>✗</v>
      </c>
    </row>
    <row r="69" spans="1:33" x14ac:dyDescent="0.45">
      <c r="A69" t="str">
        <v>Primary Technology</v>
      </c>
      <c r="B69" t="str" cm="1">
        <f t="array" aca="1" ref="B69" ca="1">IF(
    ISNUMBER(VALUE(LEFT($A69, 1))),
    "",
    IFERROR(IF(_xlfn.XLOOKUP($A69, INDIRECT("'" &amp; B$2 &amp; "'!$A:$A"), INDIRECT("'" &amp; B$2 &amp; "'!$B:$B"), "")&lt;&gt;"", "✓", "✗"), "✗")
)</f>
        <v>✓</v>
      </c>
      <c r="C69" t="str" cm="1">
        <f t="array" aca="1" ref="C69" ca="1">IF(
    ISNUMBER(VALUE(LEFT($A69, 1))),
    "",
    IFERROR(IF(_xlfn.XLOOKUP($A69, INDIRECT("'" &amp; C$2 &amp; "'!$A:$A"), INDIRECT("'" &amp; C$2 &amp; "'!$B:$B"), "")&lt;&gt;"", "✓", "✗"), "✗")
)</f>
        <v>✓</v>
      </c>
      <c r="D69" t="str" cm="1">
        <f t="array" aca="1" ref="D69" ca="1">IF(
    ISNUMBER(VALUE(LEFT($A69, 1))),
    "",
    IFERROR(IF(_xlfn.XLOOKUP($A69, INDIRECT("'" &amp; D$2 &amp; "'!$A:$A"), INDIRECT("'" &amp; D$2 &amp; "'!$B:$B"), "")&lt;&gt;"", "✓", "✗"), "✗")
)</f>
        <v>✓</v>
      </c>
      <c r="E69" t="str" cm="1">
        <f t="array" aca="1" ref="E69" ca="1">IF(
    ISNUMBER(VALUE(LEFT($A69, 1))),
    "",
    IFERROR(IF(_xlfn.XLOOKUP($A69, INDIRECT("'" &amp; E$2 &amp; "'!$A:$A"), INDIRECT("'" &amp; E$2 &amp; "'!$B:$B"), "")&lt;&gt;"", "✓", "✗"), "✗")
)</f>
        <v>✓</v>
      </c>
      <c r="F69" t="str" cm="1">
        <f t="array" aca="1" ref="F69" ca="1">IF(
    ISNUMBER(VALUE(LEFT($A69, 1))),
    "",
    IFERROR(IF(_xlfn.XLOOKUP($A69, INDIRECT("'" &amp; F$2 &amp; "'!$A:$A"), INDIRECT("'" &amp; F$2 &amp; "'!$B:$B"), "")&lt;&gt;"", "✓", "✗"), "✗")
)</f>
        <v>✓</v>
      </c>
      <c r="G69" t="str" cm="1">
        <f t="array" aca="1" ref="G69" ca="1">IF(
    ISNUMBER(VALUE(LEFT($A69, 1))),
    "",
    IFERROR(IF(_xlfn.XLOOKUP($A69, INDIRECT("'" &amp; G$2 &amp; "'!$A:$A"), INDIRECT("'" &amp; G$2 &amp; "'!$B:$B"), "")&lt;&gt;"", "✓", "✗"), "✗")
)</f>
        <v>✓</v>
      </c>
      <c r="H69" t="str" cm="1">
        <f t="array" aca="1" ref="H69" ca="1">IF(
    ISNUMBER(VALUE(LEFT($A69, 1))),
    "",
    IFERROR(IF(_xlfn.XLOOKUP($A69, INDIRECT("'" &amp; H$2 &amp; "'!$A:$A"), INDIRECT("'" &amp; H$2 &amp; "'!$B:$B"), "")&lt;&gt;"", "✓", "✗"), "✗")
)</f>
        <v>✓</v>
      </c>
      <c r="I69" t="str" cm="1">
        <f t="array" aca="1" ref="I69" ca="1">IF(
    ISNUMBER(VALUE(LEFT($A69, 1))),
    "",
    IFERROR(IF(_xlfn.XLOOKUP($A69, INDIRECT("'" &amp; I$2 &amp; "'!$A:$A"), INDIRECT("'" &amp; I$2 &amp; "'!$B:$B"), "")&lt;&gt;"", "✓", "✗"), "✗")
)</f>
        <v>✓</v>
      </c>
      <c r="J69" t="str" cm="1">
        <f t="array" aca="1" ref="J69" ca="1">IF(
    ISNUMBER(VALUE(LEFT($A69, 1))),
    "",
    IFERROR(IF(_xlfn.XLOOKUP($A69, INDIRECT("'" &amp; J$2 &amp; "'!$A:$A"), INDIRECT("'" &amp; J$2 &amp; "'!$B:$B"), "")&lt;&gt;"", "✓", "✗"), "✗")
)</f>
        <v>✓</v>
      </c>
      <c r="K69" t="str" cm="1">
        <f t="array" aca="1" ref="K69" ca="1">IF(
    ISNUMBER(VALUE(LEFT($A69, 1))),
    "",
    IFERROR(IF(_xlfn.XLOOKUP($A69, INDIRECT("'" &amp; K$2 &amp; "'!$A:$A"), INDIRECT("'" &amp; K$2 &amp; "'!$B:$B"), "")&lt;&gt;"", "✓", "✗"), "✗")
)</f>
        <v>✓</v>
      </c>
      <c r="L69" t="str" cm="1">
        <f t="array" aca="1" ref="L69" ca="1">IF(
    ISNUMBER(VALUE(LEFT($A69, 1))),
    "",
    IFERROR(IF(_xlfn.XLOOKUP($A69, INDIRECT("'" &amp; L$2 &amp; "'!$A:$A"), INDIRECT("'" &amp; L$2 &amp; "'!$B:$B"), "")&lt;&gt;"", "✓", "✗"), "✗")
)</f>
        <v>✓</v>
      </c>
      <c r="M69" t="str" cm="1">
        <f t="array" aca="1" ref="M69" ca="1">IF(
    ISNUMBER(VALUE(LEFT($A69, 1))),
    "",
    IFERROR(IF(_xlfn.XLOOKUP($A69, INDIRECT("'" &amp; M$2 &amp; "'!$A:$A"), INDIRECT("'" &amp; M$2 &amp; "'!$B:$B"), "")&lt;&gt;"", "✓", "✗"), "✗")
)</f>
        <v>✓</v>
      </c>
      <c r="N69" t="str" cm="1">
        <f t="array" aca="1" ref="N69" ca="1">IF(
    ISNUMBER(VALUE(LEFT($A69, 1))),
    "",
    IFERROR(IF(_xlfn.XLOOKUP($A69, INDIRECT("'" &amp; N$2 &amp; "'!$A:$A"), INDIRECT("'" &amp; N$2 &amp; "'!$B:$B"), "")&lt;&gt;"", "✓", "✗"), "✗")
)</f>
        <v>✓</v>
      </c>
      <c r="O69" t="str" cm="1">
        <f t="array" aca="1" ref="O69" ca="1">IF(
    ISNUMBER(VALUE(LEFT($A69, 1))),
    "",
    IFERROR(IF(_xlfn.XLOOKUP($A69, INDIRECT("'" &amp; O$2 &amp; "'!$A:$A"), INDIRECT("'" &amp; O$2 &amp; "'!$B:$B"), "")&lt;&gt;"", "✓", "✗"), "✗")
)</f>
        <v>✓</v>
      </c>
      <c r="P69" t="str" cm="1">
        <f t="array" aca="1" ref="P69" ca="1">IF(
    ISNUMBER(VALUE(LEFT($A69, 1))),
    "",
    IFERROR(IF(_xlfn.XLOOKUP($A69, INDIRECT("'" &amp; P$2 &amp; "'!$A:$A"), INDIRECT("'" &amp; P$2 &amp; "'!$B:$B"), "")&lt;&gt;"", "✓", "✗"), "✗")
)</f>
        <v>✓</v>
      </c>
      <c r="Q69" t="str" cm="1">
        <f t="array" aca="1" ref="Q69" ca="1">IF(
    ISNUMBER(VALUE(LEFT($A69, 1))),
    "",
    IFERROR(IF(_xlfn.XLOOKUP($A69, INDIRECT("'" &amp; Q$2 &amp; "'!$A:$A"), INDIRECT("'" &amp; Q$2 &amp; "'!$B:$B"), "")&lt;&gt;"", "✓", "✗"), "✗")
)</f>
        <v>✓</v>
      </c>
      <c r="R69" t="str" cm="1">
        <f t="array" aca="1" ref="R69" ca="1">IF(
    ISNUMBER(VALUE(LEFT($A69, 1))),
    "",
    IFERROR(IF(_xlfn.XLOOKUP($A69, INDIRECT("'" &amp; R$2 &amp; "'!$A:$A"), INDIRECT("'" &amp; R$2 &amp; "'!$B:$B"), "")&lt;&gt;"", "✓", "✗"), "✗")
)</f>
        <v>✓</v>
      </c>
      <c r="S69" t="str" cm="1">
        <f t="array" aca="1" ref="S69" ca="1">IF(
    ISNUMBER(VALUE(LEFT($A69, 1))),
    "",
    IFERROR(IF(_xlfn.XLOOKUP($A69, INDIRECT("'" &amp; S$2 &amp; "'!$A:$A"), INDIRECT("'" &amp; S$2 &amp; "'!$B:$B"), "")&lt;&gt;"", "✓", "✗"), "✗")
)</f>
        <v>✓</v>
      </c>
      <c r="T69" t="str" cm="1">
        <f t="array" aca="1" ref="T69" ca="1">IF(
    ISNUMBER(VALUE(LEFT($A69, 1))),
    "",
    IFERROR(IF(_xlfn.XLOOKUP($A69, INDIRECT("'" &amp; T$2 &amp; "'!$A:$A"), INDIRECT("'" &amp; T$2 &amp; "'!$B:$B"), "")&lt;&gt;"", "✓", "✗"), "✗")
)</f>
        <v>✓</v>
      </c>
      <c r="U69" t="str" cm="1">
        <f t="array" aca="1" ref="U69" ca="1">IF(
    ISNUMBER(VALUE(LEFT($A69, 1))),
    "",
    IFERROR(IF(_xlfn.XLOOKUP($A69, INDIRECT("'" &amp; U$2 &amp; "'!$A:$A"), INDIRECT("'" &amp; U$2 &amp; "'!$B:$B"), "")&lt;&gt;"", "✓", "✗"), "✗")
)</f>
        <v>✓</v>
      </c>
      <c r="V69" t="str" cm="1">
        <f t="array" aca="1" ref="V69" ca="1">IF(
    ISNUMBER(VALUE(LEFT($A69, 1))),
    "",
    IFERROR(IF(_xlfn.XLOOKUP($A69, INDIRECT("'" &amp; V$2 &amp; "'!$A:$A"), INDIRECT("'" &amp; V$2 &amp; "'!$B:$B"), "")&lt;&gt;"", "✓", "✗"), "✗")
)</f>
        <v>✓</v>
      </c>
      <c r="W69" t="str" cm="1">
        <f t="array" aca="1" ref="W69" ca="1">IF(
    ISNUMBER(VALUE(LEFT($A69, 1))),
    "",
    IFERROR(IF(_xlfn.XLOOKUP($A69, INDIRECT("'" &amp; W$2 &amp; "'!$A:$A"), INDIRECT("'" &amp; W$2 &amp; "'!$B:$B"), "")&lt;&gt;"", "✓", "✗"), "✗")
)</f>
        <v>✓</v>
      </c>
      <c r="X69" t="str" cm="1">
        <f t="array" aca="1" ref="X69" ca="1">IF(
    ISNUMBER(VALUE(LEFT($A69, 1))),
    "",
    IFERROR(IF(_xlfn.XLOOKUP($A69, INDIRECT("'" &amp; X$2 &amp; "'!$A:$A"), INDIRECT("'" &amp; X$2 &amp; "'!$B:$B"), "")&lt;&gt;"", "✓", "✗"), "✗")
)</f>
        <v>✓</v>
      </c>
      <c r="Y69" t="str" cm="1">
        <f t="array" aca="1" ref="Y69" ca="1">IF(
    ISNUMBER(VALUE(LEFT($A69, 1))),
    "",
    IFERROR(IF(_xlfn.XLOOKUP($A69, INDIRECT("'" &amp; Y$2 &amp; "'!$A:$A"), INDIRECT("'" &amp; Y$2 &amp; "'!$B:$B"), "")&lt;&gt;"", "✓", "✗"), "✗")
)</f>
        <v>✓</v>
      </c>
      <c r="Z69" t="str" cm="1">
        <f t="array" aca="1" ref="Z69" ca="1">IF(
    ISNUMBER(VALUE(LEFT($A69, 1))),
    "",
    IFERROR(IF(_xlfn.XLOOKUP($A69, INDIRECT("'" &amp; Z$2 &amp; "'!$A:$A"), INDIRECT("'" &amp; Z$2 &amp; "'!$B:$B"), "")&lt;&gt;"", "✓", "✗"), "✗")
)</f>
        <v>✓</v>
      </c>
      <c r="AA69" t="str" cm="1">
        <f t="array" aca="1" ref="AA69" ca="1">IF(
    ISNUMBER(VALUE(LEFT($A69, 1))),
    "",
    IFERROR(IF(_xlfn.XLOOKUP($A69, INDIRECT("'" &amp; AA$2 &amp; "'!$A:$A"), INDIRECT("'" &amp; AA$2 &amp; "'!$B:$B"), "")&lt;&gt;"", "✓", "✗"), "✗")
)</f>
        <v>✓</v>
      </c>
      <c r="AB69" t="str" cm="1">
        <f t="array" aca="1" ref="AB69" ca="1">IF(
    ISNUMBER(VALUE(LEFT($A69, 1))),
    "",
    IFERROR(IF(_xlfn.XLOOKUP($A69, INDIRECT("'" &amp; AB$2 &amp; "'!$A:$A"), INDIRECT("'" &amp; AB$2 &amp; "'!$B:$B"), "")&lt;&gt;"", "✓", "✗"), "✗")
)</f>
        <v>✓</v>
      </c>
      <c r="AC69" t="str" cm="1">
        <f t="array" aca="1" ref="AC69" ca="1">IF(
    ISNUMBER(VALUE(LEFT($A69, 1))),
    "",
    IFERROR(IF(_xlfn.XLOOKUP($A69, INDIRECT("'" &amp; AC$2 &amp; "'!$A:$A"), INDIRECT("'" &amp; AC$2 &amp; "'!$B:$B"), "")&lt;&gt;"", "✓", "✗"), "✗")
)</f>
        <v>✗</v>
      </c>
      <c r="AD69" t="str" cm="1">
        <f t="array" aca="1" ref="AD69" ca="1">IF(
    ISNUMBER(VALUE(LEFT($A69, 1))),
    "",
    IFERROR(IF(_xlfn.XLOOKUP($A69, INDIRECT("'" &amp; AD$2 &amp; "'!$A:$A"), INDIRECT("'" &amp; AD$2 &amp; "'!$B:$B"), "")&lt;&gt;"", "✓", "✗"), "✗")
)</f>
        <v>✓</v>
      </c>
      <c r="AE69" t="str" cm="1">
        <f t="array" aca="1" ref="AE69" ca="1">IF(
    ISNUMBER(VALUE(LEFT($A69, 1))),
    "",
    IFERROR(IF(_xlfn.XLOOKUP($A69, INDIRECT("'" &amp; AE$2 &amp; "'!$A:$A"), INDIRECT("'" &amp; AE$2 &amp; "'!$B:$B"), "")&lt;&gt;"", "✓", "✗"), "✗")
)</f>
        <v>✗</v>
      </c>
      <c r="AF69" t="str" cm="1">
        <f t="array" aca="1" ref="AF69" ca="1">IF(
    ISNUMBER(VALUE(LEFT($A69, 1))),
    "",
    IFERROR(IF(_xlfn.XLOOKUP($A69, INDIRECT("'" &amp; AF$2 &amp; "'!$A:$A"), INDIRECT("'" &amp; AF$2 &amp; "'!$B:$B"), "")&lt;&gt;"", "✓", "✗"), "✗")
)</f>
        <v>✓</v>
      </c>
      <c r="AG69" t="str" cm="1">
        <f t="array" aca="1" ref="AG69" ca="1">IF(
    ISNUMBER(VALUE(LEFT($A69, 1))),
    "",
    IFERROR(IF(_xlfn.XLOOKUP($A69, INDIRECT("'" &amp; AG$2 &amp; "'!$A:$A"), INDIRECT("'" &amp; AG$2 &amp; "'!$B:$B"), "")&lt;&gt;"", "✓", "✗"), "✗")
)</f>
        <v>✗</v>
      </c>
    </row>
    <row r="70" spans="1:33" x14ac:dyDescent="0.45">
      <c r="A70" t="str">
        <v>Campaign</v>
      </c>
      <c r="B70" t="str" cm="1">
        <f t="array" aca="1" ref="B70" ca="1">IF(
    ISNUMBER(VALUE(LEFT($A70, 1))),
    "",
    IFERROR(IF(_xlfn.XLOOKUP($A70, INDIRECT("'" &amp; B$2 &amp; "'!$A:$A"), INDIRECT("'" &amp; B$2 &amp; "'!$B:$B"), "")&lt;&gt;"", "✓", "✗"), "✗")
)</f>
        <v>✓</v>
      </c>
      <c r="C70" t="str" cm="1">
        <f t="array" aca="1" ref="C70" ca="1">IF(
    ISNUMBER(VALUE(LEFT($A70, 1))),
    "",
    IFERROR(IF(_xlfn.XLOOKUP($A70, INDIRECT("'" &amp; C$2 &amp; "'!$A:$A"), INDIRECT("'" &amp; C$2 &amp; "'!$B:$B"), "")&lt;&gt;"", "✓", "✗"), "✗")
)</f>
        <v>✓</v>
      </c>
      <c r="D70" t="str" cm="1">
        <f t="array" aca="1" ref="D70" ca="1">IF(
    ISNUMBER(VALUE(LEFT($A70, 1))),
    "",
    IFERROR(IF(_xlfn.XLOOKUP($A70, INDIRECT("'" &amp; D$2 &amp; "'!$A:$A"), INDIRECT("'" &amp; D$2 &amp; "'!$B:$B"), "")&lt;&gt;"", "✓", "✗"), "✗")
)</f>
        <v>✓</v>
      </c>
      <c r="E70" t="str" cm="1">
        <f t="array" aca="1" ref="E70" ca="1">IF(
    ISNUMBER(VALUE(LEFT($A70, 1))),
    "",
    IFERROR(IF(_xlfn.XLOOKUP($A70, INDIRECT("'" &amp; E$2 &amp; "'!$A:$A"), INDIRECT("'" &amp; E$2 &amp; "'!$B:$B"), "")&lt;&gt;"", "✓", "✗"), "✗")
)</f>
        <v>✓</v>
      </c>
      <c r="F70" t="str" cm="1">
        <f t="array" aca="1" ref="F70" ca="1">IF(
    ISNUMBER(VALUE(LEFT($A70, 1))),
    "",
    IFERROR(IF(_xlfn.XLOOKUP($A70, INDIRECT("'" &amp; F$2 &amp; "'!$A:$A"), INDIRECT("'" &amp; F$2 &amp; "'!$B:$B"), "")&lt;&gt;"", "✓", "✗"), "✗")
)</f>
        <v>✓</v>
      </c>
      <c r="G70" t="str" cm="1">
        <f t="array" aca="1" ref="G70" ca="1">IF(
    ISNUMBER(VALUE(LEFT($A70, 1))),
    "",
    IFERROR(IF(_xlfn.XLOOKUP($A70, INDIRECT("'" &amp; G$2 &amp; "'!$A:$A"), INDIRECT("'" &amp; G$2 &amp; "'!$B:$B"), "")&lt;&gt;"", "✓", "✗"), "✗")
)</f>
        <v>✓</v>
      </c>
      <c r="H70" t="str" cm="1">
        <f t="array" aca="1" ref="H70" ca="1">IF(
    ISNUMBER(VALUE(LEFT($A70, 1))),
    "",
    IFERROR(IF(_xlfn.XLOOKUP($A70, INDIRECT("'" &amp; H$2 &amp; "'!$A:$A"), INDIRECT("'" &amp; H$2 &amp; "'!$B:$B"), "")&lt;&gt;"", "✓", "✗"), "✗")
)</f>
        <v>✓</v>
      </c>
      <c r="I70" t="str" cm="1">
        <f t="array" aca="1" ref="I70" ca="1">IF(
    ISNUMBER(VALUE(LEFT($A70, 1))),
    "",
    IFERROR(IF(_xlfn.XLOOKUP($A70, INDIRECT("'" &amp; I$2 &amp; "'!$A:$A"), INDIRECT("'" &amp; I$2 &amp; "'!$B:$B"), "")&lt;&gt;"", "✓", "✗"), "✗")
)</f>
        <v>✓</v>
      </c>
      <c r="J70" t="str" cm="1">
        <f t="array" aca="1" ref="J70" ca="1">IF(
    ISNUMBER(VALUE(LEFT($A70, 1))),
    "",
    IFERROR(IF(_xlfn.XLOOKUP($A70, INDIRECT("'" &amp; J$2 &amp; "'!$A:$A"), INDIRECT("'" &amp; J$2 &amp; "'!$B:$B"), "")&lt;&gt;"", "✓", "✗"), "✗")
)</f>
        <v>✓</v>
      </c>
      <c r="K70" t="str" cm="1">
        <f t="array" aca="1" ref="K70" ca="1">IF(
    ISNUMBER(VALUE(LEFT($A70, 1))),
    "",
    IFERROR(IF(_xlfn.XLOOKUP($A70, INDIRECT("'" &amp; K$2 &amp; "'!$A:$A"), INDIRECT("'" &amp; K$2 &amp; "'!$B:$B"), "")&lt;&gt;"", "✓", "✗"), "✗")
)</f>
        <v>✓</v>
      </c>
      <c r="L70" t="str" cm="1">
        <f t="array" aca="1" ref="L70" ca="1">IF(
    ISNUMBER(VALUE(LEFT($A70, 1))),
    "",
    IFERROR(IF(_xlfn.XLOOKUP($A70, INDIRECT("'" &amp; L$2 &amp; "'!$A:$A"), INDIRECT("'" &amp; L$2 &amp; "'!$B:$B"), "")&lt;&gt;"", "✓", "✗"), "✗")
)</f>
        <v>✓</v>
      </c>
      <c r="M70" t="str" cm="1">
        <f t="array" aca="1" ref="M70" ca="1">IF(
    ISNUMBER(VALUE(LEFT($A70, 1))),
    "",
    IFERROR(IF(_xlfn.XLOOKUP($A70, INDIRECT("'" &amp; M$2 &amp; "'!$A:$A"), INDIRECT("'" &amp; M$2 &amp; "'!$B:$B"), "")&lt;&gt;"", "✓", "✗"), "✗")
)</f>
        <v>✓</v>
      </c>
      <c r="N70" t="str" cm="1">
        <f t="array" aca="1" ref="N70" ca="1">IF(
    ISNUMBER(VALUE(LEFT($A70, 1))),
    "",
    IFERROR(IF(_xlfn.XLOOKUP($A70, INDIRECT("'" &amp; N$2 &amp; "'!$A:$A"), INDIRECT("'" &amp; N$2 &amp; "'!$B:$B"), "")&lt;&gt;"", "✓", "✗"), "✗")
)</f>
        <v>✓</v>
      </c>
      <c r="O70" t="str" cm="1">
        <f t="array" aca="1" ref="O70" ca="1">IF(
    ISNUMBER(VALUE(LEFT($A70, 1))),
    "",
    IFERROR(IF(_xlfn.XLOOKUP($A70, INDIRECT("'" &amp; O$2 &amp; "'!$A:$A"), INDIRECT("'" &amp; O$2 &amp; "'!$B:$B"), "")&lt;&gt;"", "✓", "✗"), "✗")
)</f>
        <v>✓</v>
      </c>
      <c r="P70" t="str" cm="1">
        <f t="array" aca="1" ref="P70" ca="1">IF(
    ISNUMBER(VALUE(LEFT($A70, 1))),
    "",
    IFERROR(IF(_xlfn.XLOOKUP($A70, INDIRECT("'" &amp; P$2 &amp; "'!$A:$A"), INDIRECT("'" &amp; P$2 &amp; "'!$B:$B"), "")&lt;&gt;"", "✓", "✗"), "✗")
)</f>
        <v>✓</v>
      </c>
      <c r="Q70" t="str" cm="1">
        <f t="array" aca="1" ref="Q70" ca="1">IF(
    ISNUMBER(VALUE(LEFT($A70, 1))),
    "",
    IFERROR(IF(_xlfn.XLOOKUP($A70, INDIRECT("'" &amp; Q$2 &amp; "'!$A:$A"), INDIRECT("'" &amp; Q$2 &amp; "'!$B:$B"), "")&lt;&gt;"", "✓", "✗"), "✗")
)</f>
        <v>✓</v>
      </c>
      <c r="R70" t="str" cm="1">
        <f t="array" aca="1" ref="R70" ca="1">IF(
    ISNUMBER(VALUE(LEFT($A70, 1))),
    "",
    IFERROR(IF(_xlfn.XLOOKUP($A70, INDIRECT("'" &amp; R$2 &amp; "'!$A:$A"), INDIRECT("'" &amp; R$2 &amp; "'!$B:$B"), "")&lt;&gt;"", "✓", "✗"), "✗")
)</f>
        <v>✓</v>
      </c>
      <c r="S70" t="str" cm="1">
        <f t="array" aca="1" ref="S70" ca="1">IF(
    ISNUMBER(VALUE(LEFT($A70, 1))),
    "",
    IFERROR(IF(_xlfn.XLOOKUP($A70, INDIRECT("'" &amp; S$2 &amp; "'!$A:$A"), INDIRECT("'" &amp; S$2 &amp; "'!$B:$B"), "")&lt;&gt;"", "✓", "✗"), "✗")
)</f>
        <v>✓</v>
      </c>
      <c r="T70" t="str" cm="1">
        <f t="array" aca="1" ref="T70" ca="1">IF(
    ISNUMBER(VALUE(LEFT($A70, 1))),
    "",
    IFERROR(IF(_xlfn.XLOOKUP($A70, INDIRECT("'" &amp; T$2 &amp; "'!$A:$A"), INDIRECT("'" &amp; T$2 &amp; "'!$B:$B"), "")&lt;&gt;"", "✓", "✗"), "✗")
)</f>
        <v>✓</v>
      </c>
      <c r="U70" t="str" cm="1">
        <f t="array" aca="1" ref="U70" ca="1">IF(
    ISNUMBER(VALUE(LEFT($A70, 1))),
    "",
    IFERROR(IF(_xlfn.XLOOKUP($A70, INDIRECT("'" &amp; U$2 &amp; "'!$A:$A"), INDIRECT("'" &amp; U$2 &amp; "'!$B:$B"), "")&lt;&gt;"", "✓", "✗"), "✗")
)</f>
        <v>✓</v>
      </c>
      <c r="V70" t="str" cm="1">
        <f t="array" aca="1" ref="V70" ca="1">IF(
    ISNUMBER(VALUE(LEFT($A70, 1))),
    "",
    IFERROR(IF(_xlfn.XLOOKUP($A70, INDIRECT("'" &amp; V$2 &amp; "'!$A:$A"), INDIRECT("'" &amp; V$2 &amp; "'!$B:$B"), "")&lt;&gt;"", "✓", "✗"), "✗")
)</f>
        <v>✓</v>
      </c>
      <c r="W70" t="str" cm="1">
        <f t="array" aca="1" ref="W70" ca="1">IF(
    ISNUMBER(VALUE(LEFT($A70, 1))),
    "",
    IFERROR(IF(_xlfn.XLOOKUP($A70, INDIRECT("'" &amp; W$2 &amp; "'!$A:$A"), INDIRECT("'" &amp; W$2 &amp; "'!$B:$B"), "")&lt;&gt;"", "✓", "✗"), "✗")
)</f>
        <v>✓</v>
      </c>
      <c r="X70" t="str" cm="1">
        <f t="array" aca="1" ref="X70" ca="1">IF(
    ISNUMBER(VALUE(LEFT($A70, 1))),
    "",
    IFERROR(IF(_xlfn.XLOOKUP($A70, INDIRECT("'" &amp; X$2 &amp; "'!$A:$A"), INDIRECT("'" &amp; X$2 &amp; "'!$B:$B"), "")&lt;&gt;"", "✓", "✗"), "✗")
)</f>
        <v>✓</v>
      </c>
      <c r="Y70" t="str" cm="1">
        <f t="array" aca="1" ref="Y70" ca="1">IF(
    ISNUMBER(VALUE(LEFT($A70, 1))),
    "",
    IFERROR(IF(_xlfn.XLOOKUP($A70, INDIRECT("'" &amp; Y$2 &amp; "'!$A:$A"), INDIRECT("'" &amp; Y$2 &amp; "'!$B:$B"), "")&lt;&gt;"", "✓", "✗"), "✗")
)</f>
        <v>✓</v>
      </c>
      <c r="Z70" t="str" cm="1">
        <f t="array" aca="1" ref="Z70" ca="1">IF(
    ISNUMBER(VALUE(LEFT($A70, 1))),
    "",
    IFERROR(IF(_xlfn.XLOOKUP($A70, INDIRECT("'" &amp; Z$2 &amp; "'!$A:$A"), INDIRECT("'" &amp; Z$2 &amp; "'!$B:$B"), "")&lt;&gt;"", "✓", "✗"), "✗")
)</f>
        <v>✓</v>
      </c>
      <c r="AA70" t="str" cm="1">
        <f t="array" aca="1" ref="AA70" ca="1">IF(
    ISNUMBER(VALUE(LEFT($A70, 1))),
    "",
    IFERROR(IF(_xlfn.XLOOKUP($A70, INDIRECT("'" &amp; AA$2 &amp; "'!$A:$A"), INDIRECT("'" &amp; AA$2 &amp; "'!$B:$B"), "")&lt;&gt;"", "✓", "✗"), "✗")
)</f>
        <v>✓</v>
      </c>
      <c r="AB70" t="str" cm="1">
        <f t="array" aca="1" ref="AB70" ca="1">IF(
    ISNUMBER(VALUE(LEFT($A70, 1))),
    "",
    IFERROR(IF(_xlfn.XLOOKUP($A70, INDIRECT("'" &amp; AB$2 &amp; "'!$A:$A"), INDIRECT("'" &amp; AB$2 &amp; "'!$B:$B"), "")&lt;&gt;"", "✓", "✗"), "✗")
)</f>
        <v>✓</v>
      </c>
      <c r="AC70" t="str" cm="1">
        <f t="array" aca="1" ref="AC70" ca="1">IF(
    ISNUMBER(VALUE(LEFT($A70, 1))),
    "",
    IFERROR(IF(_xlfn.XLOOKUP($A70, INDIRECT("'" &amp; AC$2 &amp; "'!$A:$A"), INDIRECT("'" &amp; AC$2 &amp; "'!$B:$B"), "")&lt;&gt;"", "✓", "✗"), "✗")
)</f>
        <v>✗</v>
      </c>
      <c r="AD70" t="str" cm="1">
        <f t="array" aca="1" ref="AD70" ca="1">IF(
    ISNUMBER(VALUE(LEFT($A70, 1))),
    "",
    IFERROR(IF(_xlfn.XLOOKUP($A70, INDIRECT("'" &amp; AD$2 &amp; "'!$A:$A"), INDIRECT("'" &amp; AD$2 &amp; "'!$B:$B"), "")&lt;&gt;"", "✓", "✗"), "✗")
)</f>
        <v>✓</v>
      </c>
      <c r="AE70" t="str" cm="1">
        <f t="array" aca="1" ref="AE70" ca="1">IF(
    ISNUMBER(VALUE(LEFT($A70, 1))),
    "",
    IFERROR(IF(_xlfn.XLOOKUP($A70, INDIRECT("'" &amp; AE$2 &amp; "'!$A:$A"), INDIRECT("'" &amp; AE$2 &amp; "'!$B:$B"), "")&lt;&gt;"", "✓", "✗"), "✗")
)</f>
        <v>✗</v>
      </c>
      <c r="AF70" t="str" cm="1">
        <f t="array" aca="1" ref="AF70" ca="1">IF(
    ISNUMBER(VALUE(LEFT($A70, 1))),
    "",
    IFERROR(IF(_xlfn.XLOOKUP($A70, INDIRECT("'" &amp; AF$2 &amp; "'!$A:$A"), INDIRECT("'" &amp; AF$2 &amp; "'!$B:$B"), "")&lt;&gt;"", "✓", "✗"), "✗")
)</f>
        <v>✓</v>
      </c>
      <c r="AG70" t="str" cm="1">
        <f t="array" aca="1" ref="AG70" ca="1">IF(
    ISNUMBER(VALUE(LEFT($A70, 1))),
    "",
    IFERROR(IF(_xlfn.XLOOKUP($A70, INDIRECT("'" &amp; AG$2 &amp; "'!$A:$A"), INDIRECT("'" &amp; AG$2 &amp; "'!$B:$B"), "")&lt;&gt;"", "✓", "✗"), "✗")
)</f>
        <v>✗</v>
      </c>
    </row>
    <row r="71" spans="1:33" x14ac:dyDescent="0.45">
      <c r="A71" t="str">
        <v>Program</v>
      </c>
      <c r="B71" t="str" cm="1">
        <f t="array" aca="1" ref="B71" ca="1">IF(
    ISNUMBER(VALUE(LEFT($A71, 1))),
    "",
    IFERROR(IF(_xlfn.XLOOKUP($A71, INDIRECT("'" &amp; B$2 &amp; "'!$A:$A"), INDIRECT("'" &amp; B$2 &amp; "'!$B:$B"), "")&lt;&gt;"", "✓", "✗"), "✗")
)</f>
        <v>✓</v>
      </c>
      <c r="C71" t="str" cm="1">
        <f t="array" aca="1" ref="C71" ca="1">IF(
    ISNUMBER(VALUE(LEFT($A71, 1))),
    "",
    IFERROR(IF(_xlfn.XLOOKUP($A71, INDIRECT("'" &amp; C$2 &amp; "'!$A:$A"), INDIRECT("'" &amp; C$2 &amp; "'!$B:$B"), "")&lt;&gt;"", "✓", "✗"), "✗")
)</f>
        <v>✓</v>
      </c>
      <c r="D71" t="str" cm="1">
        <f t="array" aca="1" ref="D71" ca="1">IF(
    ISNUMBER(VALUE(LEFT($A71, 1))),
    "",
    IFERROR(IF(_xlfn.XLOOKUP($A71, INDIRECT("'" &amp; D$2 &amp; "'!$A:$A"), INDIRECT("'" &amp; D$2 &amp; "'!$B:$B"), "")&lt;&gt;"", "✓", "✗"), "✗")
)</f>
        <v>✓</v>
      </c>
      <c r="E71" t="str" cm="1">
        <f t="array" aca="1" ref="E71" ca="1">IF(
    ISNUMBER(VALUE(LEFT($A71, 1))),
    "",
    IFERROR(IF(_xlfn.XLOOKUP($A71, INDIRECT("'" &amp; E$2 &amp; "'!$A:$A"), INDIRECT("'" &amp; E$2 &amp; "'!$B:$B"), "")&lt;&gt;"", "✓", "✗"), "✗")
)</f>
        <v>✓</v>
      </c>
      <c r="F71" t="str" cm="1">
        <f t="array" aca="1" ref="F71" ca="1">IF(
    ISNUMBER(VALUE(LEFT($A71, 1))),
    "",
    IFERROR(IF(_xlfn.XLOOKUP($A71, INDIRECT("'" &amp; F$2 &amp; "'!$A:$A"), INDIRECT("'" &amp; F$2 &amp; "'!$B:$B"), "")&lt;&gt;"", "✓", "✗"), "✗")
)</f>
        <v>✓</v>
      </c>
      <c r="G71" t="str" cm="1">
        <f t="array" aca="1" ref="G71" ca="1">IF(
    ISNUMBER(VALUE(LEFT($A71, 1))),
    "",
    IFERROR(IF(_xlfn.XLOOKUP($A71, INDIRECT("'" &amp; G$2 &amp; "'!$A:$A"), INDIRECT("'" &amp; G$2 &amp; "'!$B:$B"), "")&lt;&gt;"", "✓", "✗"), "✗")
)</f>
        <v>✓</v>
      </c>
      <c r="H71" t="str" cm="1">
        <f t="array" aca="1" ref="H71" ca="1">IF(
    ISNUMBER(VALUE(LEFT($A71, 1))),
    "",
    IFERROR(IF(_xlfn.XLOOKUP($A71, INDIRECT("'" &amp; H$2 &amp; "'!$A:$A"), INDIRECT("'" &amp; H$2 &amp; "'!$B:$B"), "")&lt;&gt;"", "✓", "✗"), "✗")
)</f>
        <v>✓</v>
      </c>
      <c r="I71" t="str" cm="1">
        <f t="array" aca="1" ref="I71" ca="1">IF(
    ISNUMBER(VALUE(LEFT($A71, 1))),
    "",
    IFERROR(IF(_xlfn.XLOOKUP($A71, INDIRECT("'" &amp; I$2 &amp; "'!$A:$A"), INDIRECT("'" &amp; I$2 &amp; "'!$B:$B"), "")&lt;&gt;"", "✓", "✗"), "✗")
)</f>
        <v>✓</v>
      </c>
      <c r="J71" t="str" cm="1">
        <f t="array" aca="1" ref="J71" ca="1">IF(
    ISNUMBER(VALUE(LEFT($A71, 1))),
    "",
    IFERROR(IF(_xlfn.XLOOKUP($A71, INDIRECT("'" &amp; J$2 &amp; "'!$A:$A"), INDIRECT("'" &amp; J$2 &amp; "'!$B:$B"), "")&lt;&gt;"", "✓", "✗"), "✗")
)</f>
        <v>✓</v>
      </c>
      <c r="K71" t="str" cm="1">
        <f t="array" aca="1" ref="K71" ca="1">IF(
    ISNUMBER(VALUE(LEFT($A71, 1))),
    "",
    IFERROR(IF(_xlfn.XLOOKUP($A71, INDIRECT("'" &amp; K$2 &amp; "'!$A:$A"), INDIRECT("'" &amp; K$2 &amp; "'!$B:$B"), "")&lt;&gt;"", "✓", "✗"), "✗")
)</f>
        <v>✓</v>
      </c>
      <c r="L71" t="str" cm="1">
        <f t="array" aca="1" ref="L71" ca="1">IF(
    ISNUMBER(VALUE(LEFT($A71, 1))),
    "",
    IFERROR(IF(_xlfn.XLOOKUP($A71, INDIRECT("'" &amp; L$2 &amp; "'!$A:$A"), INDIRECT("'" &amp; L$2 &amp; "'!$B:$B"), "")&lt;&gt;"", "✓", "✗"), "✗")
)</f>
        <v>✓</v>
      </c>
      <c r="M71" t="str" cm="1">
        <f t="array" aca="1" ref="M71" ca="1">IF(
    ISNUMBER(VALUE(LEFT($A71, 1))),
    "",
    IFERROR(IF(_xlfn.XLOOKUP($A71, INDIRECT("'" &amp; M$2 &amp; "'!$A:$A"), INDIRECT("'" &amp; M$2 &amp; "'!$B:$B"), "")&lt;&gt;"", "✓", "✗"), "✗")
)</f>
        <v>✓</v>
      </c>
      <c r="N71" t="str" cm="1">
        <f t="array" aca="1" ref="N71" ca="1">IF(
    ISNUMBER(VALUE(LEFT($A71, 1))),
    "",
    IFERROR(IF(_xlfn.XLOOKUP($A71, INDIRECT("'" &amp; N$2 &amp; "'!$A:$A"), INDIRECT("'" &amp; N$2 &amp; "'!$B:$B"), "")&lt;&gt;"", "✓", "✗"), "✗")
)</f>
        <v>✓</v>
      </c>
      <c r="O71" t="str" cm="1">
        <f t="array" aca="1" ref="O71" ca="1">IF(
    ISNUMBER(VALUE(LEFT($A71, 1))),
    "",
    IFERROR(IF(_xlfn.XLOOKUP($A71, INDIRECT("'" &amp; O$2 &amp; "'!$A:$A"), INDIRECT("'" &amp; O$2 &amp; "'!$B:$B"), "")&lt;&gt;"", "✓", "✗"), "✗")
)</f>
        <v>✓</v>
      </c>
      <c r="P71" t="str" cm="1">
        <f t="array" aca="1" ref="P71" ca="1">IF(
    ISNUMBER(VALUE(LEFT($A71, 1))),
    "",
    IFERROR(IF(_xlfn.XLOOKUP($A71, INDIRECT("'" &amp; P$2 &amp; "'!$A:$A"), INDIRECT("'" &amp; P$2 &amp; "'!$B:$B"), "")&lt;&gt;"", "✓", "✗"), "✗")
)</f>
        <v>✓</v>
      </c>
      <c r="Q71" t="str" cm="1">
        <f t="array" aca="1" ref="Q71" ca="1">IF(
    ISNUMBER(VALUE(LEFT($A71, 1))),
    "",
    IFERROR(IF(_xlfn.XLOOKUP($A71, INDIRECT("'" &amp; Q$2 &amp; "'!$A:$A"), INDIRECT("'" &amp; Q$2 &amp; "'!$B:$B"), "")&lt;&gt;"", "✓", "✗"), "✗")
)</f>
        <v>✓</v>
      </c>
      <c r="R71" t="str" cm="1">
        <f t="array" aca="1" ref="R71" ca="1">IF(
    ISNUMBER(VALUE(LEFT($A71, 1))),
    "",
    IFERROR(IF(_xlfn.XLOOKUP($A71, INDIRECT("'" &amp; R$2 &amp; "'!$A:$A"), INDIRECT("'" &amp; R$2 &amp; "'!$B:$B"), "")&lt;&gt;"", "✓", "✗"), "✗")
)</f>
        <v>✓</v>
      </c>
      <c r="S71" t="str" cm="1">
        <f t="array" aca="1" ref="S71" ca="1">IF(
    ISNUMBER(VALUE(LEFT($A71, 1))),
    "",
    IFERROR(IF(_xlfn.XLOOKUP($A71, INDIRECT("'" &amp; S$2 &amp; "'!$A:$A"), INDIRECT("'" &amp; S$2 &amp; "'!$B:$B"), "")&lt;&gt;"", "✓", "✗"), "✗")
)</f>
        <v>✓</v>
      </c>
      <c r="T71" t="str" cm="1">
        <f t="array" aca="1" ref="T71" ca="1">IF(
    ISNUMBER(VALUE(LEFT($A71, 1))),
    "",
    IFERROR(IF(_xlfn.XLOOKUP($A71, INDIRECT("'" &amp; T$2 &amp; "'!$A:$A"), INDIRECT("'" &amp; T$2 &amp; "'!$B:$B"), "")&lt;&gt;"", "✓", "✗"), "✗")
)</f>
        <v>✓</v>
      </c>
      <c r="U71" t="str" cm="1">
        <f t="array" aca="1" ref="U71" ca="1">IF(
    ISNUMBER(VALUE(LEFT($A71, 1))),
    "",
    IFERROR(IF(_xlfn.XLOOKUP($A71, INDIRECT("'" &amp; U$2 &amp; "'!$A:$A"), INDIRECT("'" &amp; U$2 &amp; "'!$B:$B"), "")&lt;&gt;"", "✓", "✗"), "✗")
)</f>
        <v>✓</v>
      </c>
      <c r="V71" t="str" cm="1">
        <f t="array" aca="1" ref="V71" ca="1">IF(
    ISNUMBER(VALUE(LEFT($A71, 1))),
    "",
    IFERROR(IF(_xlfn.XLOOKUP($A71, INDIRECT("'" &amp; V$2 &amp; "'!$A:$A"), INDIRECT("'" &amp; V$2 &amp; "'!$B:$B"), "")&lt;&gt;"", "✓", "✗"), "✗")
)</f>
        <v>✓</v>
      </c>
      <c r="W71" t="str" cm="1">
        <f t="array" aca="1" ref="W71" ca="1">IF(
    ISNUMBER(VALUE(LEFT($A71, 1))),
    "",
    IFERROR(IF(_xlfn.XLOOKUP($A71, INDIRECT("'" &amp; W$2 &amp; "'!$A:$A"), INDIRECT("'" &amp; W$2 &amp; "'!$B:$B"), "")&lt;&gt;"", "✓", "✗"), "✗")
)</f>
        <v>✓</v>
      </c>
      <c r="X71" t="str" cm="1">
        <f t="array" aca="1" ref="X71" ca="1">IF(
    ISNUMBER(VALUE(LEFT($A71, 1))),
    "",
    IFERROR(IF(_xlfn.XLOOKUP($A71, INDIRECT("'" &amp; X$2 &amp; "'!$A:$A"), INDIRECT("'" &amp; X$2 &amp; "'!$B:$B"), "")&lt;&gt;"", "✓", "✗"), "✗")
)</f>
        <v>✓</v>
      </c>
      <c r="Y71" t="str" cm="1">
        <f t="array" aca="1" ref="Y71" ca="1">IF(
    ISNUMBER(VALUE(LEFT($A71, 1))),
    "",
    IFERROR(IF(_xlfn.XLOOKUP($A71, INDIRECT("'" &amp; Y$2 &amp; "'!$A:$A"), INDIRECT("'" &amp; Y$2 &amp; "'!$B:$B"), "")&lt;&gt;"", "✓", "✗"), "✗")
)</f>
        <v>✓</v>
      </c>
      <c r="Z71" t="str" cm="1">
        <f t="array" aca="1" ref="Z71" ca="1">IF(
    ISNUMBER(VALUE(LEFT($A71, 1))),
    "",
    IFERROR(IF(_xlfn.XLOOKUP($A71, INDIRECT("'" &amp; Z$2 &amp; "'!$A:$A"), INDIRECT("'" &amp; Z$2 &amp; "'!$B:$B"), "")&lt;&gt;"", "✓", "✗"), "✗")
)</f>
        <v>✓</v>
      </c>
      <c r="AA71" t="str" cm="1">
        <f t="array" aca="1" ref="AA71" ca="1">IF(
    ISNUMBER(VALUE(LEFT($A71, 1))),
    "",
    IFERROR(IF(_xlfn.XLOOKUP($A71, INDIRECT("'" &amp; AA$2 &amp; "'!$A:$A"), INDIRECT("'" &amp; AA$2 &amp; "'!$B:$B"), "")&lt;&gt;"", "✓", "✗"), "✗")
)</f>
        <v>✓</v>
      </c>
      <c r="AB71" t="str" cm="1">
        <f t="array" aca="1" ref="AB71" ca="1">IF(
    ISNUMBER(VALUE(LEFT($A71, 1))),
    "",
    IFERROR(IF(_xlfn.XLOOKUP($A71, INDIRECT("'" &amp; AB$2 &amp; "'!$A:$A"), INDIRECT("'" &amp; AB$2 &amp; "'!$B:$B"), "")&lt;&gt;"", "✓", "✗"), "✗")
)</f>
        <v>✓</v>
      </c>
      <c r="AC71" t="str" cm="1">
        <f t="array" aca="1" ref="AC71" ca="1">IF(
    ISNUMBER(VALUE(LEFT($A71, 1))),
    "",
    IFERROR(IF(_xlfn.XLOOKUP($A71, INDIRECT("'" &amp; AC$2 &amp; "'!$A:$A"), INDIRECT("'" &amp; AC$2 &amp; "'!$B:$B"), "")&lt;&gt;"", "✓", "✗"), "✗")
)</f>
        <v>✗</v>
      </c>
      <c r="AD71" t="str" cm="1">
        <f t="array" aca="1" ref="AD71" ca="1">IF(
    ISNUMBER(VALUE(LEFT($A71, 1))),
    "",
    IFERROR(IF(_xlfn.XLOOKUP($A71, INDIRECT("'" &amp; AD$2 &amp; "'!$A:$A"), INDIRECT("'" &amp; AD$2 &amp; "'!$B:$B"), "")&lt;&gt;"", "✓", "✗"), "✗")
)</f>
        <v>✓</v>
      </c>
      <c r="AE71" t="str" cm="1">
        <f t="array" aca="1" ref="AE71" ca="1">IF(
    ISNUMBER(VALUE(LEFT($A71, 1))),
    "",
    IFERROR(IF(_xlfn.XLOOKUP($A71, INDIRECT("'" &amp; AE$2 &amp; "'!$A:$A"), INDIRECT("'" &amp; AE$2 &amp; "'!$B:$B"), "")&lt;&gt;"", "✓", "✗"), "✗")
)</f>
        <v>✗</v>
      </c>
      <c r="AF71" t="str" cm="1">
        <f t="array" aca="1" ref="AF71" ca="1">IF(
    ISNUMBER(VALUE(LEFT($A71, 1))),
    "",
    IFERROR(IF(_xlfn.XLOOKUP($A71, INDIRECT("'" &amp; AF$2 &amp; "'!$A:$A"), INDIRECT("'" &amp; AF$2 &amp; "'!$B:$B"), "")&lt;&gt;"", "✓", "✗"), "✗")
)</f>
        <v>✓</v>
      </c>
      <c r="AG71" t="str" cm="1">
        <f t="array" aca="1" ref="AG71" ca="1">IF(
    ISNUMBER(VALUE(LEFT($A71, 1))),
    "",
    IFERROR(IF(_xlfn.XLOOKUP($A71, INDIRECT("'" &amp; AG$2 &amp; "'!$A:$A"), INDIRECT("'" &amp; AG$2 &amp; "'!$B:$B"), "")&lt;&gt;"", "✓", "✗"), "✗")
)</f>
        <v>✗</v>
      </c>
    </row>
    <row r="72" spans="1:33" x14ac:dyDescent="0.45">
      <c r="A72" t="str">
        <v>Channel Type</v>
      </c>
      <c r="B72" t="str" cm="1">
        <f t="array" aca="1" ref="B72" ca="1">IF(
    ISNUMBER(VALUE(LEFT($A72, 1))),
    "",
    IFERROR(IF(_xlfn.XLOOKUP($A72, INDIRECT("'" &amp; B$2 &amp; "'!$A:$A"), INDIRECT("'" &amp; B$2 &amp; "'!$B:$B"), "")&lt;&gt;"", "✓", "✗"), "✗")
)</f>
        <v>✓</v>
      </c>
      <c r="C72" t="str" cm="1">
        <f t="array" aca="1" ref="C72" ca="1">IF(
    ISNUMBER(VALUE(LEFT($A72, 1))),
    "",
    IFERROR(IF(_xlfn.XLOOKUP($A72, INDIRECT("'" &amp; C$2 &amp; "'!$A:$A"), INDIRECT("'" &amp; C$2 &amp; "'!$B:$B"), "")&lt;&gt;"", "✓", "✗"), "✗")
)</f>
        <v>✓</v>
      </c>
      <c r="D72" t="str" cm="1">
        <f t="array" aca="1" ref="D72" ca="1">IF(
    ISNUMBER(VALUE(LEFT($A72, 1))),
    "",
    IFERROR(IF(_xlfn.XLOOKUP($A72, INDIRECT("'" &amp; D$2 &amp; "'!$A:$A"), INDIRECT("'" &amp; D$2 &amp; "'!$B:$B"), "")&lt;&gt;"", "✓", "✗"), "✗")
)</f>
        <v>✓</v>
      </c>
      <c r="E72" t="str" cm="1">
        <f t="array" aca="1" ref="E72" ca="1">IF(
    ISNUMBER(VALUE(LEFT($A72, 1))),
    "",
    IFERROR(IF(_xlfn.XLOOKUP($A72, INDIRECT("'" &amp; E$2 &amp; "'!$A:$A"), INDIRECT("'" &amp; E$2 &amp; "'!$B:$B"), "")&lt;&gt;"", "✓", "✗"), "✗")
)</f>
        <v>✓</v>
      </c>
      <c r="F72" t="str" cm="1">
        <f t="array" aca="1" ref="F72" ca="1">IF(
    ISNUMBER(VALUE(LEFT($A72, 1))),
    "",
    IFERROR(IF(_xlfn.XLOOKUP($A72, INDIRECT("'" &amp; F$2 &amp; "'!$A:$A"), INDIRECT("'" &amp; F$2 &amp; "'!$B:$B"), "")&lt;&gt;"", "✓", "✗"), "✗")
)</f>
        <v>✓</v>
      </c>
      <c r="G72" t="str" cm="1">
        <f t="array" aca="1" ref="G72" ca="1">IF(
    ISNUMBER(VALUE(LEFT($A72, 1))),
    "",
    IFERROR(IF(_xlfn.XLOOKUP($A72, INDIRECT("'" &amp; G$2 &amp; "'!$A:$A"), INDIRECT("'" &amp; G$2 &amp; "'!$B:$B"), "")&lt;&gt;"", "✓", "✗"), "✗")
)</f>
        <v>✓</v>
      </c>
      <c r="H72" t="str" cm="1">
        <f t="array" aca="1" ref="H72" ca="1">IF(
    ISNUMBER(VALUE(LEFT($A72, 1))),
    "",
    IFERROR(IF(_xlfn.XLOOKUP($A72, INDIRECT("'" &amp; H$2 &amp; "'!$A:$A"), INDIRECT("'" &amp; H$2 &amp; "'!$B:$B"), "")&lt;&gt;"", "✓", "✗"), "✗")
)</f>
        <v>✓</v>
      </c>
      <c r="I72" t="str" cm="1">
        <f t="array" aca="1" ref="I72" ca="1">IF(
    ISNUMBER(VALUE(LEFT($A72, 1))),
    "",
    IFERROR(IF(_xlfn.XLOOKUP($A72, INDIRECT("'" &amp; I$2 &amp; "'!$A:$A"), INDIRECT("'" &amp; I$2 &amp; "'!$B:$B"), "")&lt;&gt;"", "✓", "✗"), "✗")
)</f>
        <v>✓</v>
      </c>
      <c r="J72" t="str" cm="1">
        <f t="array" aca="1" ref="J72" ca="1">IF(
    ISNUMBER(VALUE(LEFT($A72, 1))),
    "",
    IFERROR(IF(_xlfn.XLOOKUP($A72, INDIRECT("'" &amp; J$2 &amp; "'!$A:$A"), INDIRECT("'" &amp; J$2 &amp; "'!$B:$B"), "")&lt;&gt;"", "✓", "✗"), "✗")
)</f>
        <v>✓</v>
      </c>
      <c r="K72" t="str" cm="1">
        <f t="array" aca="1" ref="K72" ca="1">IF(
    ISNUMBER(VALUE(LEFT($A72, 1))),
    "",
    IFERROR(IF(_xlfn.XLOOKUP($A72, INDIRECT("'" &amp; K$2 &amp; "'!$A:$A"), INDIRECT("'" &amp; K$2 &amp; "'!$B:$B"), "")&lt;&gt;"", "✓", "✗"), "✗")
)</f>
        <v>✓</v>
      </c>
      <c r="L72" t="str" cm="1">
        <f t="array" aca="1" ref="L72" ca="1">IF(
    ISNUMBER(VALUE(LEFT($A72, 1))),
    "",
    IFERROR(IF(_xlfn.XLOOKUP($A72, INDIRECT("'" &amp; L$2 &amp; "'!$A:$A"), INDIRECT("'" &amp; L$2 &amp; "'!$B:$B"), "")&lt;&gt;"", "✓", "✗"), "✗")
)</f>
        <v>✓</v>
      </c>
      <c r="M72" t="str" cm="1">
        <f t="array" aca="1" ref="M72" ca="1">IF(
    ISNUMBER(VALUE(LEFT($A72, 1))),
    "",
    IFERROR(IF(_xlfn.XLOOKUP($A72, INDIRECT("'" &amp; M$2 &amp; "'!$A:$A"), INDIRECT("'" &amp; M$2 &amp; "'!$B:$B"), "")&lt;&gt;"", "✓", "✗"), "✗")
)</f>
        <v>✓</v>
      </c>
      <c r="N72" t="str" cm="1">
        <f t="array" aca="1" ref="N72" ca="1">IF(
    ISNUMBER(VALUE(LEFT($A72, 1))),
    "",
    IFERROR(IF(_xlfn.XLOOKUP($A72, INDIRECT("'" &amp; N$2 &amp; "'!$A:$A"), INDIRECT("'" &amp; N$2 &amp; "'!$B:$B"), "")&lt;&gt;"", "✓", "✗"), "✗")
)</f>
        <v>✓</v>
      </c>
      <c r="O72" t="str" cm="1">
        <f t="array" aca="1" ref="O72" ca="1">IF(
    ISNUMBER(VALUE(LEFT($A72, 1))),
    "",
    IFERROR(IF(_xlfn.XLOOKUP($A72, INDIRECT("'" &amp; O$2 &amp; "'!$A:$A"), INDIRECT("'" &amp; O$2 &amp; "'!$B:$B"), "")&lt;&gt;"", "✓", "✗"), "✗")
)</f>
        <v>✓</v>
      </c>
      <c r="P72" t="str" cm="1">
        <f t="array" aca="1" ref="P72" ca="1">IF(
    ISNUMBER(VALUE(LEFT($A72, 1))),
    "",
    IFERROR(IF(_xlfn.XLOOKUP($A72, INDIRECT("'" &amp; P$2 &amp; "'!$A:$A"), INDIRECT("'" &amp; P$2 &amp; "'!$B:$B"), "")&lt;&gt;"", "✓", "✗"), "✗")
)</f>
        <v>✓</v>
      </c>
      <c r="Q72" t="str" cm="1">
        <f t="array" aca="1" ref="Q72" ca="1">IF(
    ISNUMBER(VALUE(LEFT($A72, 1))),
    "",
    IFERROR(IF(_xlfn.XLOOKUP($A72, INDIRECT("'" &amp; Q$2 &amp; "'!$A:$A"), INDIRECT("'" &amp; Q$2 &amp; "'!$B:$B"), "")&lt;&gt;"", "✓", "✗"), "✗")
)</f>
        <v>✓</v>
      </c>
      <c r="R72" t="str" cm="1">
        <f t="array" aca="1" ref="R72" ca="1">IF(
    ISNUMBER(VALUE(LEFT($A72, 1))),
    "",
    IFERROR(IF(_xlfn.XLOOKUP($A72, INDIRECT("'" &amp; R$2 &amp; "'!$A:$A"), INDIRECT("'" &amp; R$2 &amp; "'!$B:$B"), "")&lt;&gt;"", "✓", "✗"), "✗")
)</f>
        <v>✓</v>
      </c>
      <c r="S72" t="str" cm="1">
        <f t="array" aca="1" ref="S72" ca="1">IF(
    ISNUMBER(VALUE(LEFT($A72, 1))),
    "",
    IFERROR(IF(_xlfn.XLOOKUP($A72, INDIRECT("'" &amp; S$2 &amp; "'!$A:$A"), INDIRECT("'" &amp; S$2 &amp; "'!$B:$B"), "")&lt;&gt;"", "✓", "✗"), "✗")
)</f>
        <v>✓</v>
      </c>
      <c r="T72" t="str" cm="1">
        <f t="array" aca="1" ref="T72" ca="1">IF(
    ISNUMBER(VALUE(LEFT($A72, 1))),
    "",
    IFERROR(IF(_xlfn.XLOOKUP($A72, INDIRECT("'" &amp; T$2 &amp; "'!$A:$A"), INDIRECT("'" &amp; T$2 &amp; "'!$B:$B"), "")&lt;&gt;"", "✓", "✗"), "✗")
)</f>
        <v>✓</v>
      </c>
      <c r="U72" t="str" cm="1">
        <f t="array" aca="1" ref="U72" ca="1">IF(
    ISNUMBER(VALUE(LEFT($A72, 1))),
    "",
    IFERROR(IF(_xlfn.XLOOKUP($A72, INDIRECT("'" &amp; U$2 &amp; "'!$A:$A"), INDIRECT("'" &amp; U$2 &amp; "'!$B:$B"), "")&lt;&gt;"", "✓", "✗"), "✗")
)</f>
        <v>✓</v>
      </c>
      <c r="V72" t="str" cm="1">
        <f t="array" aca="1" ref="V72" ca="1">IF(
    ISNUMBER(VALUE(LEFT($A72, 1))),
    "",
    IFERROR(IF(_xlfn.XLOOKUP($A72, INDIRECT("'" &amp; V$2 &amp; "'!$A:$A"), INDIRECT("'" &amp; V$2 &amp; "'!$B:$B"), "")&lt;&gt;"", "✓", "✗"), "✗")
)</f>
        <v>✓</v>
      </c>
      <c r="W72" t="str" cm="1">
        <f t="array" aca="1" ref="W72" ca="1">IF(
    ISNUMBER(VALUE(LEFT($A72, 1))),
    "",
    IFERROR(IF(_xlfn.XLOOKUP($A72, INDIRECT("'" &amp; W$2 &amp; "'!$A:$A"), INDIRECT("'" &amp; W$2 &amp; "'!$B:$B"), "")&lt;&gt;"", "✓", "✗"), "✗")
)</f>
        <v>✓</v>
      </c>
      <c r="X72" t="str" cm="1">
        <f t="array" aca="1" ref="X72" ca="1">IF(
    ISNUMBER(VALUE(LEFT($A72, 1))),
    "",
    IFERROR(IF(_xlfn.XLOOKUP($A72, INDIRECT("'" &amp; X$2 &amp; "'!$A:$A"), INDIRECT("'" &amp; X$2 &amp; "'!$B:$B"), "")&lt;&gt;"", "✓", "✗"), "✗")
)</f>
        <v>✓</v>
      </c>
      <c r="Y72" t="str" cm="1">
        <f t="array" aca="1" ref="Y72" ca="1">IF(
    ISNUMBER(VALUE(LEFT($A72, 1))),
    "",
    IFERROR(IF(_xlfn.XLOOKUP($A72, INDIRECT("'" &amp; Y$2 &amp; "'!$A:$A"), INDIRECT("'" &amp; Y$2 &amp; "'!$B:$B"), "")&lt;&gt;"", "✓", "✗"), "✗")
)</f>
        <v>✓</v>
      </c>
      <c r="Z72" t="str" cm="1">
        <f t="array" aca="1" ref="Z72" ca="1">IF(
    ISNUMBER(VALUE(LEFT($A72, 1))),
    "",
    IFERROR(IF(_xlfn.XLOOKUP($A72, INDIRECT("'" &amp; Z$2 &amp; "'!$A:$A"), INDIRECT("'" &amp; Z$2 &amp; "'!$B:$B"), "")&lt;&gt;"", "✓", "✗"), "✗")
)</f>
        <v>✓</v>
      </c>
      <c r="AA72" t="str" cm="1">
        <f t="array" aca="1" ref="AA72" ca="1">IF(
    ISNUMBER(VALUE(LEFT($A72, 1))),
    "",
    IFERROR(IF(_xlfn.XLOOKUP($A72, INDIRECT("'" &amp; AA$2 &amp; "'!$A:$A"), INDIRECT("'" &amp; AA$2 &amp; "'!$B:$B"), "")&lt;&gt;"", "✓", "✗"), "✗")
)</f>
        <v>✓</v>
      </c>
      <c r="AB72" t="str" cm="1">
        <f t="array" aca="1" ref="AB72" ca="1">IF(
    ISNUMBER(VALUE(LEFT($A72, 1))),
    "",
    IFERROR(IF(_xlfn.XLOOKUP($A72, INDIRECT("'" &amp; AB$2 &amp; "'!$A:$A"), INDIRECT("'" &amp; AB$2 &amp; "'!$B:$B"), "")&lt;&gt;"", "✓", "✗"), "✗")
)</f>
        <v>✗</v>
      </c>
      <c r="AC72" t="str" cm="1">
        <f t="array" aca="1" ref="AC72" ca="1">IF(
    ISNUMBER(VALUE(LEFT($A72, 1))),
    "",
    IFERROR(IF(_xlfn.XLOOKUP($A72, INDIRECT("'" &amp; AC$2 &amp; "'!$A:$A"), INDIRECT("'" &amp; AC$2 &amp; "'!$B:$B"), "")&lt;&gt;"", "✓", "✗"), "✗")
)</f>
        <v>✗</v>
      </c>
      <c r="AD72" t="str" cm="1">
        <f t="array" aca="1" ref="AD72" ca="1">IF(
    ISNUMBER(VALUE(LEFT($A72, 1))),
    "",
    IFERROR(IF(_xlfn.XLOOKUP($A72, INDIRECT("'" &amp; AD$2 &amp; "'!$A:$A"), INDIRECT("'" &amp; AD$2 &amp; "'!$B:$B"), "")&lt;&gt;"", "✓", "✗"), "✗")
)</f>
        <v>✗</v>
      </c>
      <c r="AE72" t="str" cm="1">
        <f t="array" aca="1" ref="AE72" ca="1">IF(
    ISNUMBER(VALUE(LEFT($A72, 1))),
    "",
    IFERROR(IF(_xlfn.XLOOKUP($A72, INDIRECT("'" &amp; AE$2 &amp; "'!$A:$A"), INDIRECT("'" &amp; AE$2 &amp; "'!$B:$B"), "")&lt;&gt;"", "✓", "✗"), "✗")
)</f>
        <v>✗</v>
      </c>
      <c r="AF72" t="str" cm="1">
        <f t="array" aca="1" ref="AF72" ca="1">IF(
    ISNUMBER(VALUE(LEFT($A72, 1))),
    "",
    IFERROR(IF(_xlfn.XLOOKUP($A72, INDIRECT("'" &amp; AF$2 &amp; "'!$A:$A"), INDIRECT("'" &amp; AF$2 &amp; "'!$B:$B"), "")&lt;&gt;"", "✓", "✗"), "✗")
)</f>
        <v>✗</v>
      </c>
      <c r="AG72" t="str" cm="1">
        <f t="array" aca="1" ref="AG72" ca="1">IF(
    ISNUMBER(VALUE(LEFT($A72, 1))),
    "",
    IFERROR(IF(_xlfn.XLOOKUP($A72, INDIRECT("'" &amp; AG$2 &amp; "'!$A:$A"), INDIRECT("'" &amp; AG$2 &amp; "'!$B:$B"), "")&lt;&gt;"", "✓", "✗"), "✗")
)</f>
        <v>✗</v>
      </c>
    </row>
    <row r="73" spans="1:33" x14ac:dyDescent="0.45">
      <c r="A73" t="str">
        <v>Channel Source</v>
      </c>
      <c r="B73" t="str" cm="1">
        <f t="array" aca="1" ref="B73" ca="1">IF(
    ISNUMBER(VALUE(LEFT($A73, 1))),
    "",
    IFERROR(IF(_xlfn.XLOOKUP($A73, INDIRECT("'" &amp; B$2 &amp; "'!$A:$A"), INDIRECT("'" &amp; B$2 &amp; "'!$B:$B"), "")&lt;&gt;"", "✓", "✗"), "✗")
)</f>
        <v>✓</v>
      </c>
      <c r="C73" t="str" cm="1">
        <f t="array" aca="1" ref="C73" ca="1">IF(
    ISNUMBER(VALUE(LEFT($A73, 1))),
    "",
    IFERROR(IF(_xlfn.XLOOKUP($A73, INDIRECT("'" &amp; C$2 &amp; "'!$A:$A"), INDIRECT("'" &amp; C$2 &amp; "'!$B:$B"), "")&lt;&gt;"", "✓", "✗"), "✗")
)</f>
        <v>✓</v>
      </c>
      <c r="D73" t="str" cm="1">
        <f t="array" aca="1" ref="D73" ca="1">IF(
    ISNUMBER(VALUE(LEFT($A73, 1))),
    "",
    IFERROR(IF(_xlfn.XLOOKUP($A73, INDIRECT("'" &amp; D$2 &amp; "'!$A:$A"), INDIRECT("'" &amp; D$2 &amp; "'!$B:$B"), "")&lt;&gt;"", "✓", "✗"), "✗")
)</f>
        <v>✓</v>
      </c>
      <c r="E73" t="str" cm="1">
        <f t="array" aca="1" ref="E73" ca="1">IF(
    ISNUMBER(VALUE(LEFT($A73, 1))),
    "",
    IFERROR(IF(_xlfn.XLOOKUP($A73, INDIRECT("'" &amp; E$2 &amp; "'!$A:$A"), INDIRECT("'" &amp; E$2 &amp; "'!$B:$B"), "")&lt;&gt;"", "✓", "✗"), "✗")
)</f>
        <v>✓</v>
      </c>
      <c r="F73" t="str" cm="1">
        <f t="array" aca="1" ref="F73" ca="1">IF(
    ISNUMBER(VALUE(LEFT($A73, 1))),
    "",
    IFERROR(IF(_xlfn.XLOOKUP($A73, INDIRECT("'" &amp; F$2 &amp; "'!$A:$A"), INDIRECT("'" &amp; F$2 &amp; "'!$B:$B"), "")&lt;&gt;"", "✓", "✗"), "✗")
)</f>
        <v>✓</v>
      </c>
      <c r="G73" t="str" cm="1">
        <f t="array" aca="1" ref="G73" ca="1">IF(
    ISNUMBER(VALUE(LEFT($A73, 1))),
    "",
    IFERROR(IF(_xlfn.XLOOKUP($A73, INDIRECT("'" &amp; G$2 &amp; "'!$A:$A"), INDIRECT("'" &amp; G$2 &amp; "'!$B:$B"), "")&lt;&gt;"", "✓", "✗"), "✗")
)</f>
        <v>✓</v>
      </c>
      <c r="H73" t="str" cm="1">
        <f t="array" aca="1" ref="H73" ca="1">IF(
    ISNUMBER(VALUE(LEFT($A73, 1))),
    "",
    IFERROR(IF(_xlfn.XLOOKUP($A73, INDIRECT("'" &amp; H$2 &amp; "'!$A:$A"), INDIRECT("'" &amp; H$2 &amp; "'!$B:$B"), "")&lt;&gt;"", "✓", "✗"), "✗")
)</f>
        <v>✓</v>
      </c>
      <c r="I73" t="str" cm="1">
        <f t="array" aca="1" ref="I73" ca="1">IF(
    ISNUMBER(VALUE(LEFT($A73, 1))),
    "",
    IFERROR(IF(_xlfn.XLOOKUP($A73, INDIRECT("'" &amp; I$2 &amp; "'!$A:$A"), INDIRECT("'" &amp; I$2 &amp; "'!$B:$B"), "")&lt;&gt;"", "✓", "✗"), "✗")
)</f>
        <v>✓</v>
      </c>
      <c r="J73" t="str" cm="1">
        <f t="array" aca="1" ref="J73" ca="1">IF(
    ISNUMBER(VALUE(LEFT($A73, 1))),
    "",
    IFERROR(IF(_xlfn.XLOOKUP($A73, INDIRECT("'" &amp; J$2 &amp; "'!$A:$A"), INDIRECT("'" &amp; J$2 &amp; "'!$B:$B"), "")&lt;&gt;"", "✓", "✗"), "✗")
)</f>
        <v>✓</v>
      </c>
      <c r="K73" t="str" cm="1">
        <f t="array" aca="1" ref="K73" ca="1">IF(
    ISNUMBER(VALUE(LEFT($A73, 1))),
    "",
    IFERROR(IF(_xlfn.XLOOKUP($A73, INDIRECT("'" &amp; K$2 &amp; "'!$A:$A"), INDIRECT("'" &amp; K$2 &amp; "'!$B:$B"), "")&lt;&gt;"", "✓", "✗"), "✗")
)</f>
        <v>✓</v>
      </c>
      <c r="L73" t="str" cm="1">
        <f t="array" aca="1" ref="L73" ca="1">IF(
    ISNUMBER(VALUE(LEFT($A73, 1))),
    "",
    IFERROR(IF(_xlfn.XLOOKUP($A73, INDIRECT("'" &amp; L$2 &amp; "'!$A:$A"), INDIRECT("'" &amp; L$2 &amp; "'!$B:$B"), "")&lt;&gt;"", "✓", "✗"), "✗")
)</f>
        <v>✓</v>
      </c>
      <c r="M73" t="str" cm="1">
        <f t="array" aca="1" ref="M73" ca="1">IF(
    ISNUMBER(VALUE(LEFT($A73, 1))),
    "",
    IFERROR(IF(_xlfn.XLOOKUP($A73, INDIRECT("'" &amp; M$2 &amp; "'!$A:$A"), INDIRECT("'" &amp; M$2 &amp; "'!$B:$B"), "")&lt;&gt;"", "✓", "✗"), "✗")
)</f>
        <v>✓</v>
      </c>
      <c r="N73" t="str" cm="1">
        <f t="array" aca="1" ref="N73" ca="1">IF(
    ISNUMBER(VALUE(LEFT($A73, 1))),
    "",
    IFERROR(IF(_xlfn.XLOOKUP($A73, INDIRECT("'" &amp; N$2 &amp; "'!$A:$A"), INDIRECT("'" &amp; N$2 &amp; "'!$B:$B"), "")&lt;&gt;"", "✓", "✗"), "✗")
)</f>
        <v>✓</v>
      </c>
      <c r="O73" t="str" cm="1">
        <f t="array" aca="1" ref="O73" ca="1">IF(
    ISNUMBER(VALUE(LEFT($A73, 1))),
    "",
    IFERROR(IF(_xlfn.XLOOKUP($A73, INDIRECT("'" &amp; O$2 &amp; "'!$A:$A"), INDIRECT("'" &amp; O$2 &amp; "'!$B:$B"), "")&lt;&gt;"", "✓", "✗"), "✗")
)</f>
        <v>✓</v>
      </c>
      <c r="P73" t="str" cm="1">
        <f t="array" aca="1" ref="P73" ca="1">IF(
    ISNUMBER(VALUE(LEFT($A73, 1))),
    "",
    IFERROR(IF(_xlfn.XLOOKUP($A73, INDIRECT("'" &amp; P$2 &amp; "'!$A:$A"), INDIRECT("'" &amp; P$2 &amp; "'!$B:$B"), "")&lt;&gt;"", "✓", "✗"), "✗")
)</f>
        <v>✓</v>
      </c>
      <c r="Q73" t="str" cm="1">
        <f t="array" aca="1" ref="Q73" ca="1">IF(
    ISNUMBER(VALUE(LEFT($A73, 1))),
    "",
    IFERROR(IF(_xlfn.XLOOKUP($A73, INDIRECT("'" &amp; Q$2 &amp; "'!$A:$A"), INDIRECT("'" &amp; Q$2 &amp; "'!$B:$B"), "")&lt;&gt;"", "✓", "✗"), "✗")
)</f>
        <v>✓</v>
      </c>
      <c r="R73" t="str" cm="1">
        <f t="array" aca="1" ref="R73" ca="1">IF(
    ISNUMBER(VALUE(LEFT($A73, 1))),
    "",
    IFERROR(IF(_xlfn.XLOOKUP($A73, INDIRECT("'" &amp; R$2 &amp; "'!$A:$A"), INDIRECT("'" &amp; R$2 &amp; "'!$B:$B"), "")&lt;&gt;"", "✓", "✗"), "✗")
)</f>
        <v>✓</v>
      </c>
      <c r="S73" t="str" cm="1">
        <f t="array" aca="1" ref="S73" ca="1">IF(
    ISNUMBER(VALUE(LEFT($A73, 1))),
    "",
    IFERROR(IF(_xlfn.XLOOKUP($A73, INDIRECT("'" &amp; S$2 &amp; "'!$A:$A"), INDIRECT("'" &amp; S$2 &amp; "'!$B:$B"), "")&lt;&gt;"", "✓", "✗"), "✗")
)</f>
        <v>✓</v>
      </c>
      <c r="T73" t="str" cm="1">
        <f t="array" aca="1" ref="T73" ca="1">IF(
    ISNUMBER(VALUE(LEFT($A73, 1))),
    "",
    IFERROR(IF(_xlfn.XLOOKUP($A73, INDIRECT("'" &amp; T$2 &amp; "'!$A:$A"), INDIRECT("'" &amp; T$2 &amp; "'!$B:$B"), "")&lt;&gt;"", "✓", "✗"), "✗")
)</f>
        <v>✓</v>
      </c>
      <c r="U73" t="str" cm="1">
        <f t="array" aca="1" ref="U73" ca="1">IF(
    ISNUMBER(VALUE(LEFT($A73, 1))),
    "",
    IFERROR(IF(_xlfn.XLOOKUP($A73, INDIRECT("'" &amp; U$2 &amp; "'!$A:$A"), INDIRECT("'" &amp; U$2 &amp; "'!$B:$B"), "")&lt;&gt;"", "✓", "✗"), "✗")
)</f>
        <v>✓</v>
      </c>
      <c r="V73" t="str" cm="1">
        <f t="array" aca="1" ref="V73" ca="1">IF(
    ISNUMBER(VALUE(LEFT($A73, 1))),
    "",
    IFERROR(IF(_xlfn.XLOOKUP($A73, INDIRECT("'" &amp; V$2 &amp; "'!$A:$A"), INDIRECT("'" &amp; V$2 &amp; "'!$B:$B"), "")&lt;&gt;"", "✓", "✗"), "✗")
)</f>
        <v>✓</v>
      </c>
      <c r="W73" t="str" cm="1">
        <f t="array" aca="1" ref="W73" ca="1">IF(
    ISNUMBER(VALUE(LEFT($A73, 1))),
    "",
    IFERROR(IF(_xlfn.XLOOKUP($A73, INDIRECT("'" &amp; W$2 &amp; "'!$A:$A"), INDIRECT("'" &amp; W$2 &amp; "'!$B:$B"), "")&lt;&gt;"", "✓", "✗"), "✗")
)</f>
        <v>✓</v>
      </c>
      <c r="X73" t="str" cm="1">
        <f t="array" aca="1" ref="X73" ca="1">IF(
    ISNUMBER(VALUE(LEFT($A73, 1))),
    "",
    IFERROR(IF(_xlfn.XLOOKUP($A73, INDIRECT("'" &amp; X$2 &amp; "'!$A:$A"), INDIRECT("'" &amp; X$2 &amp; "'!$B:$B"), "")&lt;&gt;"", "✓", "✗"), "✗")
)</f>
        <v>✓</v>
      </c>
      <c r="Y73" t="str" cm="1">
        <f t="array" aca="1" ref="Y73" ca="1">IF(
    ISNUMBER(VALUE(LEFT($A73, 1))),
    "",
    IFERROR(IF(_xlfn.XLOOKUP($A73, INDIRECT("'" &amp; Y$2 &amp; "'!$A:$A"), INDIRECT("'" &amp; Y$2 &amp; "'!$B:$B"), "")&lt;&gt;"", "✓", "✗"), "✗")
)</f>
        <v>✓</v>
      </c>
      <c r="Z73" t="str" cm="1">
        <f t="array" aca="1" ref="Z73" ca="1">IF(
    ISNUMBER(VALUE(LEFT($A73, 1))),
    "",
    IFERROR(IF(_xlfn.XLOOKUP($A73, INDIRECT("'" &amp; Z$2 &amp; "'!$A:$A"), INDIRECT("'" &amp; Z$2 &amp; "'!$B:$B"), "")&lt;&gt;"", "✓", "✗"), "✗")
)</f>
        <v>✓</v>
      </c>
      <c r="AA73" t="str" cm="1">
        <f t="array" aca="1" ref="AA73" ca="1">IF(
    ISNUMBER(VALUE(LEFT($A73, 1))),
    "",
    IFERROR(IF(_xlfn.XLOOKUP($A73, INDIRECT("'" &amp; AA$2 &amp; "'!$A:$A"), INDIRECT("'" &amp; AA$2 &amp; "'!$B:$B"), "")&lt;&gt;"", "✓", "✗"), "✗")
)</f>
        <v>✓</v>
      </c>
      <c r="AB73" t="str" cm="1">
        <f t="array" aca="1" ref="AB73" ca="1">IF(
    ISNUMBER(VALUE(LEFT($A73, 1))),
    "",
    IFERROR(IF(_xlfn.XLOOKUP($A73, INDIRECT("'" &amp; AB$2 &amp; "'!$A:$A"), INDIRECT("'" &amp; AB$2 &amp; "'!$B:$B"), "")&lt;&gt;"", "✓", "✗"), "✗")
)</f>
        <v>✗</v>
      </c>
      <c r="AC73" t="str" cm="1">
        <f t="array" aca="1" ref="AC73" ca="1">IF(
    ISNUMBER(VALUE(LEFT($A73, 1))),
    "",
    IFERROR(IF(_xlfn.XLOOKUP($A73, INDIRECT("'" &amp; AC$2 &amp; "'!$A:$A"), INDIRECT("'" &amp; AC$2 &amp; "'!$B:$B"), "")&lt;&gt;"", "✓", "✗"), "✗")
)</f>
        <v>✗</v>
      </c>
      <c r="AD73" t="str" cm="1">
        <f t="array" aca="1" ref="AD73" ca="1">IF(
    ISNUMBER(VALUE(LEFT($A73, 1))),
    "",
    IFERROR(IF(_xlfn.XLOOKUP($A73, INDIRECT("'" &amp; AD$2 &amp; "'!$A:$A"), INDIRECT("'" &amp; AD$2 &amp; "'!$B:$B"), "")&lt;&gt;"", "✓", "✗"), "✗")
)</f>
        <v>✗</v>
      </c>
      <c r="AE73" t="str" cm="1">
        <f t="array" aca="1" ref="AE73" ca="1">IF(
    ISNUMBER(VALUE(LEFT($A73, 1))),
    "",
    IFERROR(IF(_xlfn.XLOOKUP($A73, INDIRECT("'" &amp; AE$2 &amp; "'!$A:$A"), INDIRECT("'" &amp; AE$2 &amp; "'!$B:$B"), "")&lt;&gt;"", "✓", "✗"), "✗")
)</f>
        <v>✗</v>
      </c>
      <c r="AF73" t="str" cm="1">
        <f t="array" aca="1" ref="AF73" ca="1">IF(
    ISNUMBER(VALUE(LEFT($A73, 1))),
    "",
    IFERROR(IF(_xlfn.XLOOKUP($A73, INDIRECT("'" &amp; AF$2 &amp; "'!$A:$A"), INDIRECT("'" &amp; AF$2 &amp; "'!$B:$B"), "")&lt;&gt;"", "✓", "✗"), "✗")
)</f>
        <v>✗</v>
      </c>
      <c r="AG73" t="str" cm="1">
        <f t="array" aca="1" ref="AG73" ca="1">IF(
    ISNUMBER(VALUE(LEFT($A73, 1))),
    "",
    IFERROR(IF(_xlfn.XLOOKUP($A73, INDIRECT("'" &amp; AG$2 &amp; "'!$A:$A"), INDIRECT("'" &amp; AG$2 &amp; "'!$B:$B"), "")&lt;&gt;"", "✓", "✗"), "✗")
)</f>
        <v>✗</v>
      </c>
    </row>
    <row r="74" spans="1:33" x14ac:dyDescent="0.45">
      <c r="A74" t="str">
        <v>Funnel Stage</v>
      </c>
      <c r="B74" t="str" cm="1">
        <f t="array" aca="1" ref="B74" ca="1">IF(
    ISNUMBER(VALUE(LEFT($A74, 1))),
    "",
    IFERROR(IF(_xlfn.XLOOKUP($A74, INDIRECT("'" &amp; B$2 &amp; "'!$A:$A"), INDIRECT("'" &amp; B$2 &amp; "'!$B:$B"), "")&lt;&gt;"", "✓", "✗"), "✗")
)</f>
        <v>✓</v>
      </c>
      <c r="C74" t="str" cm="1">
        <f t="array" aca="1" ref="C74" ca="1">IF(
    ISNUMBER(VALUE(LEFT($A74, 1))),
    "",
    IFERROR(IF(_xlfn.XLOOKUP($A74, INDIRECT("'" &amp; C$2 &amp; "'!$A:$A"), INDIRECT("'" &amp; C$2 &amp; "'!$B:$B"), "")&lt;&gt;"", "✓", "✗"), "✗")
)</f>
        <v>✓</v>
      </c>
      <c r="D74" t="str" cm="1">
        <f t="array" aca="1" ref="D74" ca="1">IF(
    ISNUMBER(VALUE(LEFT($A74, 1))),
    "",
    IFERROR(IF(_xlfn.XLOOKUP($A74, INDIRECT("'" &amp; D$2 &amp; "'!$A:$A"), INDIRECT("'" &amp; D$2 &amp; "'!$B:$B"), "")&lt;&gt;"", "✓", "✗"), "✗")
)</f>
        <v>✓</v>
      </c>
      <c r="E74" t="str" cm="1">
        <f t="array" aca="1" ref="E74" ca="1">IF(
    ISNUMBER(VALUE(LEFT($A74, 1))),
    "",
    IFERROR(IF(_xlfn.XLOOKUP($A74, INDIRECT("'" &amp; E$2 &amp; "'!$A:$A"), INDIRECT("'" &amp; E$2 &amp; "'!$B:$B"), "")&lt;&gt;"", "✓", "✗"), "✗")
)</f>
        <v>✓</v>
      </c>
      <c r="F74" t="str" cm="1">
        <f t="array" aca="1" ref="F74" ca="1">IF(
    ISNUMBER(VALUE(LEFT($A74, 1))),
    "",
    IFERROR(IF(_xlfn.XLOOKUP($A74, INDIRECT("'" &amp; F$2 &amp; "'!$A:$A"), INDIRECT("'" &amp; F$2 &amp; "'!$B:$B"), "")&lt;&gt;"", "✓", "✗"), "✗")
)</f>
        <v>✓</v>
      </c>
      <c r="G74" t="str" cm="1">
        <f t="array" aca="1" ref="G74" ca="1">IF(
    ISNUMBER(VALUE(LEFT($A74, 1))),
    "",
    IFERROR(IF(_xlfn.XLOOKUP($A74, INDIRECT("'" &amp; G$2 &amp; "'!$A:$A"), INDIRECT("'" &amp; G$2 &amp; "'!$B:$B"), "")&lt;&gt;"", "✓", "✗"), "✗")
)</f>
        <v>✓</v>
      </c>
      <c r="H74" t="str" cm="1">
        <f t="array" aca="1" ref="H74" ca="1">IF(
    ISNUMBER(VALUE(LEFT($A74, 1))),
    "",
    IFERROR(IF(_xlfn.XLOOKUP($A74, INDIRECT("'" &amp; H$2 &amp; "'!$A:$A"), INDIRECT("'" &amp; H$2 &amp; "'!$B:$B"), "")&lt;&gt;"", "✓", "✗"), "✗")
)</f>
        <v>✓</v>
      </c>
      <c r="I74" t="str" cm="1">
        <f t="array" aca="1" ref="I74" ca="1">IF(
    ISNUMBER(VALUE(LEFT($A74, 1))),
    "",
    IFERROR(IF(_xlfn.XLOOKUP($A74, INDIRECT("'" &amp; I$2 &amp; "'!$A:$A"), INDIRECT("'" &amp; I$2 &amp; "'!$B:$B"), "")&lt;&gt;"", "✓", "✗"), "✗")
)</f>
        <v>✓</v>
      </c>
      <c r="J74" t="str" cm="1">
        <f t="array" aca="1" ref="J74" ca="1">IF(
    ISNUMBER(VALUE(LEFT($A74, 1))),
    "",
    IFERROR(IF(_xlfn.XLOOKUP($A74, INDIRECT("'" &amp; J$2 &amp; "'!$A:$A"), INDIRECT("'" &amp; J$2 &amp; "'!$B:$B"), "")&lt;&gt;"", "✓", "✗"), "✗")
)</f>
        <v>✓</v>
      </c>
      <c r="K74" t="str" cm="1">
        <f t="array" aca="1" ref="K74" ca="1">IF(
    ISNUMBER(VALUE(LEFT($A74, 1))),
    "",
    IFERROR(IF(_xlfn.XLOOKUP($A74, INDIRECT("'" &amp; K$2 &amp; "'!$A:$A"), INDIRECT("'" &amp; K$2 &amp; "'!$B:$B"), "")&lt;&gt;"", "✓", "✗"), "✗")
)</f>
        <v>✓</v>
      </c>
      <c r="L74" t="str" cm="1">
        <f t="array" aca="1" ref="L74" ca="1">IF(
    ISNUMBER(VALUE(LEFT($A74, 1))),
    "",
    IFERROR(IF(_xlfn.XLOOKUP($A74, INDIRECT("'" &amp; L$2 &amp; "'!$A:$A"), INDIRECT("'" &amp; L$2 &amp; "'!$B:$B"), "")&lt;&gt;"", "✓", "✗"), "✗")
)</f>
        <v>✓</v>
      </c>
      <c r="M74" t="str" cm="1">
        <f t="array" aca="1" ref="M74" ca="1">IF(
    ISNUMBER(VALUE(LEFT($A74, 1))),
    "",
    IFERROR(IF(_xlfn.XLOOKUP($A74, INDIRECT("'" &amp; M$2 &amp; "'!$A:$A"), INDIRECT("'" &amp; M$2 &amp; "'!$B:$B"), "")&lt;&gt;"", "✓", "✗"), "✗")
)</f>
        <v>✓</v>
      </c>
      <c r="N74" t="str" cm="1">
        <f t="array" aca="1" ref="N74" ca="1">IF(
    ISNUMBER(VALUE(LEFT($A74, 1))),
    "",
    IFERROR(IF(_xlfn.XLOOKUP($A74, INDIRECT("'" &amp; N$2 &amp; "'!$A:$A"), INDIRECT("'" &amp; N$2 &amp; "'!$B:$B"), "")&lt;&gt;"", "✓", "✗"), "✗")
)</f>
        <v>✓</v>
      </c>
      <c r="O74" t="str" cm="1">
        <f t="array" aca="1" ref="O74" ca="1">IF(
    ISNUMBER(VALUE(LEFT($A74, 1))),
    "",
    IFERROR(IF(_xlfn.XLOOKUP($A74, INDIRECT("'" &amp; O$2 &amp; "'!$A:$A"), INDIRECT("'" &amp; O$2 &amp; "'!$B:$B"), "")&lt;&gt;"", "✓", "✗"), "✗")
)</f>
        <v>✓</v>
      </c>
      <c r="P74" t="str" cm="1">
        <f t="array" aca="1" ref="P74" ca="1">IF(
    ISNUMBER(VALUE(LEFT($A74, 1))),
    "",
    IFERROR(IF(_xlfn.XLOOKUP($A74, INDIRECT("'" &amp; P$2 &amp; "'!$A:$A"), INDIRECT("'" &amp; P$2 &amp; "'!$B:$B"), "")&lt;&gt;"", "✓", "✗"), "✗")
)</f>
        <v>✓</v>
      </c>
      <c r="Q74" t="str" cm="1">
        <f t="array" aca="1" ref="Q74" ca="1">IF(
    ISNUMBER(VALUE(LEFT($A74, 1))),
    "",
    IFERROR(IF(_xlfn.XLOOKUP($A74, INDIRECT("'" &amp; Q$2 &amp; "'!$A:$A"), INDIRECT("'" &amp; Q$2 &amp; "'!$B:$B"), "")&lt;&gt;"", "✓", "✗"), "✗")
)</f>
        <v>✓</v>
      </c>
      <c r="R74" t="str" cm="1">
        <f t="array" aca="1" ref="R74" ca="1">IF(
    ISNUMBER(VALUE(LEFT($A74, 1))),
    "",
    IFERROR(IF(_xlfn.XLOOKUP($A74, INDIRECT("'" &amp; R$2 &amp; "'!$A:$A"), INDIRECT("'" &amp; R$2 &amp; "'!$B:$B"), "")&lt;&gt;"", "✓", "✗"), "✗")
)</f>
        <v>✓</v>
      </c>
      <c r="S74" t="str" cm="1">
        <f t="array" aca="1" ref="S74" ca="1">IF(
    ISNUMBER(VALUE(LEFT($A74, 1))),
    "",
    IFERROR(IF(_xlfn.XLOOKUP($A74, INDIRECT("'" &amp; S$2 &amp; "'!$A:$A"), INDIRECT("'" &amp; S$2 &amp; "'!$B:$B"), "")&lt;&gt;"", "✓", "✗"), "✗")
)</f>
        <v>✓</v>
      </c>
      <c r="T74" t="str" cm="1">
        <f t="array" aca="1" ref="T74" ca="1">IF(
    ISNUMBER(VALUE(LEFT($A74, 1))),
    "",
    IFERROR(IF(_xlfn.XLOOKUP($A74, INDIRECT("'" &amp; T$2 &amp; "'!$A:$A"), INDIRECT("'" &amp; T$2 &amp; "'!$B:$B"), "")&lt;&gt;"", "✓", "✗"), "✗")
)</f>
        <v>✓</v>
      </c>
      <c r="U74" t="str" cm="1">
        <f t="array" aca="1" ref="U74" ca="1">IF(
    ISNUMBER(VALUE(LEFT($A74, 1))),
    "",
    IFERROR(IF(_xlfn.XLOOKUP($A74, INDIRECT("'" &amp; U$2 &amp; "'!$A:$A"), INDIRECT("'" &amp; U$2 &amp; "'!$B:$B"), "")&lt;&gt;"", "✓", "✗"), "✗")
)</f>
        <v>✓</v>
      </c>
      <c r="V74" t="str" cm="1">
        <f t="array" aca="1" ref="V74" ca="1">IF(
    ISNUMBER(VALUE(LEFT($A74, 1))),
    "",
    IFERROR(IF(_xlfn.XLOOKUP($A74, INDIRECT("'" &amp; V$2 &amp; "'!$A:$A"), INDIRECT("'" &amp; V$2 &amp; "'!$B:$B"), "")&lt;&gt;"", "✓", "✗"), "✗")
)</f>
        <v>✓</v>
      </c>
      <c r="W74" t="str" cm="1">
        <f t="array" aca="1" ref="W74" ca="1">IF(
    ISNUMBER(VALUE(LEFT($A74, 1))),
    "",
    IFERROR(IF(_xlfn.XLOOKUP($A74, INDIRECT("'" &amp; W$2 &amp; "'!$A:$A"), INDIRECT("'" &amp; W$2 &amp; "'!$B:$B"), "")&lt;&gt;"", "✓", "✗"), "✗")
)</f>
        <v>✓</v>
      </c>
      <c r="X74" t="str" cm="1">
        <f t="array" aca="1" ref="X74" ca="1">IF(
    ISNUMBER(VALUE(LEFT($A74, 1))),
    "",
    IFERROR(IF(_xlfn.XLOOKUP($A74, INDIRECT("'" &amp; X$2 &amp; "'!$A:$A"), INDIRECT("'" &amp; X$2 &amp; "'!$B:$B"), "")&lt;&gt;"", "✓", "✗"), "✗")
)</f>
        <v>✓</v>
      </c>
      <c r="Y74" t="str" cm="1">
        <f t="array" aca="1" ref="Y74" ca="1">IF(
    ISNUMBER(VALUE(LEFT($A74, 1))),
    "",
    IFERROR(IF(_xlfn.XLOOKUP($A74, INDIRECT("'" &amp; Y$2 &amp; "'!$A:$A"), INDIRECT("'" &amp; Y$2 &amp; "'!$B:$B"), "")&lt;&gt;"", "✓", "✗"), "✗")
)</f>
        <v>✓</v>
      </c>
      <c r="Z74" t="str" cm="1">
        <f t="array" aca="1" ref="Z74" ca="1">IF(
    ISNUMBER(VALUE(LEFT($A74, 1))),
    "",
    IFERROR(IF(_xlfn.XLOOKUP($A74, INDIRECT("'" &amp; Z$2 &amp; "'!$A:$A"), INDIRECT("'" &amp; Z$2 &amp; "'!$B:$B"), "")&lt;&gt;"", "✓", "✗"), "✗")
)</f>
        <v>✓</v>
      </c>
      <c r="AA74" t="str" cm="1">
        <f t="array" aca="1" ref="AA74" ca="1">IF(
    ISNUMBER(VALUE(LEFT($A74, 1))),
    "",
    IFERROR(IF(_xlfn.XLOOKUP($A74, INDIRECT("'" &amp; AA$2 &amp; "'!$A:$A"), INDIRECT("'" &amp; AA$2 &amp; "'!$B:$B"), "")&lt;&gt;"", "✓", "✗"), "✗")
)</f>
        <v>✓</v>
      </c>
      <c r="AB74" t="str" cm="1">
        <f t="array" aca="1" ref="AB74" ca="1">IF(
    ISNUMBER(VALUE(LEFT($A74, 1))),
    "",
    IFERROR(IF(_xlfn.XLOOKUP($A74, INDIRECT("'" &amp; AB$2 &amp; "'!$A:$A"), INDIRECT("'" &amp; AB$2 &amp; "'!$B:$B"), "")&lt;&gt;"", "✓", "✗"), "✗")
)</f>
        <v>✓</v>
      </c>
      <c r="AC74" t="str" cm="1">
        <f t="array" aca="1" ref="AC74" ca="1">IF(
    ISNUMBER(VALUE(LEFT($A74, 1))),
    "",
    IFERROR(IF(_xlfn.XLOOKUP($A74, INDIRECT("'" &amp; AC$2 &amp; "'!$A:$A"), INDIRECT("'" &amp; AC$2 &amp; "'!$B:$B"), "")&lt;&gt;"", "✓", "✗"), "✗")
)</f>
        <v>✗</v>
      </c>
      <c r="AD74" t="str" cm="1">
        <f t="array" aca="1" ref="AD74" ca="1">IF(
    ISNUMBER(VALUE(LEFT($A74, 1))),
    "",
    IFERROR(IF(_xlfn.XLOOKUP($A74, INDIRECT("'" &amp; AD$2 &amp; "'!$A:$A"), INDIRECT("'" &amp; AD$2 &amp; "'!$B:$B"), "")&lt;&gt;"", "✓", "✗"), "✗")
)</f>
        <v>✓</v>
      </c>
      <c r="AE74" t="str" cm="1">
        <f t="array" aca="1" ref="AE74" ca="1">IF(
    ISNUMBER(VALUE(LEFT($A74, 1))),
    "",
    IFERROR(IF(_xlfn.XLOOKUP($A74, INDIRECT("'" &amp; AE$2 &amp; "'!$A:$A"), INDIRECT("'" &amp; AE$2 &amp; "'!$B:$B"), "")&lt;&gt;"", "✓", "✗"), "✗")
)</f>
        <v>✓</v>
      </c>
      <c r="AF74" t="str" cm="1">
        <f t="array" aca="1" ref="AF74" ca="1">IF(
    ISNUMBER(VALUE(LEFT($A74, 1))),
    "",
    IFERROR(IF(_xlfn.XLOOKUP($A74, INDIRECT("'" &amp; AF$2 &amp; "'!$A:$A"), INDIRECT("'" &amp; AF$2 &amp; "'!$B:$B"), "")&lt;&gt;"", "✓", "✗"), "✗")
)</f>
        <v>✓</v>
      </c>
      <c r="AG74" t="str" cm="1">
        <f t="array" aca="1" ref="AG74" ca="1">IF(
    ISNUMBER(VALUE(LEFT($A74, 1))),
    "",
    IFERROR(IF(_xlfn.XLOOKUP($A74, INDIRECT("'" &amp; AG$2 &amp; "'!$A:$A"), INDIRECT("'" &amp; AG$2 &amp; "'!$B:$B"), "")&lt;&gt;"", "✓", "✗"), "✗")
)</f>
        <v>✓</v>
      </c>
    </row>
    <row r="75" spans="1:33" x14ac:dyDescent="0.45">
      <c r="A75" t="str">
        <v>Workfront Content ID</v>
      </c>
      <c r="B75" t="str" cm="1">
        <f t="array" aca="1" ref="B75" ca="1">IF(
    ISNUMBER(VALUE(LEFT($A75, 1))),
    "",
    IFERROR(IF(_xlfn.XLOOKUP($A75, INDIRECT("'" &amp; B$2 &amp; "'!$A:$A"), INDIRECT("'" &amp; B$2 &amp; "'!$B:$B"), "")&lt;&gt;"", "✓", "✗"), "✗")
)</f>
        <v>✓</v>
      </c>
      <c r="C75" t="str" cm="1">
        <f t="array" aca="1" ref="C75" ca="1">IF(
    ISNUMBER(VALUE(LEFT($A75, 1))),
    "",
    IFERROR(IF(_xlfn.XLOOKUP($A75, INDIRECT("'" &amp; C$2 &amp; "'!$A:$A"), INDIRECT("'" &amp; C$2 &amp; "'!$B:$B"), "")&lt;&gt;"", "✓", "✗"), "✗")
)</f>
        <v>✓</v>
      </c>
      <c r="D75" t="str" cm="1">
        <f t="array" aca="1" ref="D75" ca="1">IF(
    ISNUMBER(VALUE(LEFT($A75, 1))),
    "",
    IFERROR(IF(_xlfn.XLOOKUP($A75, INDIRECT("'" &amp; D$2 &amp; "'!$A:$A"), INDIRECT("'" &amp; D$2 &amp; "'!$B:$B"), "")&lt;&gt;"", "✓", "✗"), "✗")
)</f>
        <v>✓</v>
      </c>
      <c r="E75" t="str" cm="1">
        <f t="array" aca="1" ref="E75" ca="1">IF(
    ISNUMBER(VALUE(LEFT($A75, 1))),
    "",
    IFERROR(IF(_xlfn.XLOOKUP($A75, INDIRECT("'" &amp; E$2 &amp; "'!$A:$A"), INDIRECT("'" &amp; E$2 &amp; "'!$B:$B"), "")&lt;&gt;"", "✓", "✗"), "✗")
)</f>
        <v>✓</v>
      </c>
      <c r="F75" t="str" cm="1">
        <f t="array" aca="1" ref="F75" ca="1">IF(
    ISNUMBER(VALUE(LEFT($A75, 1))),
    "",
    IFERROR(IF(_xlfn.XLOOKUP($A75, INDIRECT("'" &amp; F$2 &amp; "'!$A:$A"), INDIRECT("'" &amp; F$2 &amp; "'!$B:$B"), "")&lt;&gt;"", "✓", "✗"), "✗")
)</f>
        <v>✓</v>
      </c>
      <c r="G75" t="str" cm="1">
        <f t="array" aca="1" ref="G75" ca="1">IF(
    ISNUMBER(VALUE(LEFT($A75, 1))),
    "",
    IFERROR(IF(_xlfn.XLOOKUP($A75, INDIRECT("'" &amp; G$2 &amp; "'!$A:$A"), INDIRECT("'" &amp; G$2 &amp; "'!$B:$B"), "")&lt;&gt;"", "✓", "✗"), "✗")
)</f>
        <v>✓</v>
      </c>
      <c r="H75" t="str" cm="1">
        <f t="array" aca="1" ref="H75" ca="1">IF(
    ISNUMBER(VALUE(LEFT($A75, 1))),
    "",
    IFERROR(IF(_xlfn.XLOOKUP($A75, INDIRECT("'" &amp; H$2 &amp; "'!$A:$A"), INDIRECT("'" &amp; H$2 &amp; "'!$B:$B"), "")&lt;&gt;"", "✓", "✗"), "✗")
)</f>
        <v>✓</v>
      </c>
      <c r="I75" t="str" cm="1">
        <f t="array" aca="1" ref="I75" ca="1">IF(
    ISNUMBER(VALUE(LEFT($A75, 1))),
    "",
    IFERROR(IF(_xlfn.XLOOKUP($A75, INDIRECT("'" &amp; I$2 &amp; "'!$A:$A"), INDIRECT("'" &amp; I$2 &amp; "'!$B:$B"), "")&lt;&gt;"", "✓", "✗"), "✗")
)</f>
        <v>✓</v>
      </c>
      <c r="J75" t="str" cm="1">
        <f t="array" aca="1" ref="J75" ca="1">IF(
    ISNUMBER(VALUE(LEFT($A75, 1))),
    "",
    IFERROR(IF(_xlfn.XLOOKUP($A75, INDIRECT("'" &amp; J$2 &amp; "'!$A:$A"), INDIRECT("'" &amp; J$2 &amp; "'!$B:$B"), "")&lt;&gt;"", "✓", "✗"), "✗")
)</f>
        <v>✓</v>
      </c>
      <c r="K75" t="str" cm="1">
        <f t="array" aca="1" ref="K75" ca="1">IF(
    ISNUMBER(VALUE(LEFT($A75, 1))),
    "",
    IFERROR(IF(_xlfn.XLOOKUP($A75, INDIRECT("'" &amp; K$2 &amp; "'!$A:$A"), INDIRECT("'" &amp; K$2 &amp; "'!$B:$B"), "")&lt;&gt;"", "✓", "✗"), "✗")
)</f>
        <v>✓</v>
      </c>
      <c r="L75" t="str" cm="1">
        <f t="array" aca="1" ref="L75" ca="1">IF(
    ISNUMBER(VALUE(LEFT($A75, 1))),
    "",
    IFERROR(IF(_xlfn.XLOOKUP($A75, INDIRECT("'" &amp; L$2 &amp; "'!$A:$A"), INDIRECT("'" &amp; L$2 &amp; "'!$B:$B"), "")&lt;&gt;"", "✓", "✗"), "✗")
)</f>
        <v>✓</v>
      </c>
      <c r="M75" t="str" cm="1">
        <f t="array" aca="1" ref="M75" ca="1">IF(
    ISNUMBER(VALUE(LEFT($A75, 1))),
    "",
    IFERROR(IF(_xlfn.XLOOKUP($A75, INDIRECT("'" &amp; M$2 &amp; "'!$A:$A"), INDIRECT("'" &amp; M$2 &amp; "'!$B:$B"), "")&lt;&gt;"", "✓", "✗"), "✗")
)</f>
        <v>✓</v>
      </c>
      <c r="N75" t="str" cm="1">
        <f t="array" aca="1" ref="N75" ca="1">IF(
    ISNUMBER(VALUE(LEFT($A75, 1))),
    "",
    IFERROR(IF(_xlfn.XLOOKUP($A75, INDIRECT("'" &amp; N$2 &amp; "'!$A:$A"), INDIRECT("'" &amp; N$2 &amp; "'!$B:$B"), "")&lt;&gt;"", "✓", "✗"), "✗")
)</f>
        <v>✓</v>
      </c>
      <c r="O75" t="str" cm="1">
        <f t="array" aca="1" ref="O75" ca="1">IF(
    ISNUMBER(VALUE(LEFT($A75, 1))),
    "",
    IFERROR(IF(_xlfn.XLOOKUP($A75, INDIRECT("'" &amp; O$2 &amp; "'!$A:$A"), INDIRECT("'" &amp; O$2 &amp; "'!$B:$B"), "")&lt;&gt;"", "✓", "✗"), "✗")
)</f>
        <v>✓</v>
      </c>
      <c r="P75" t="str" cm="1">
        <f t="array" aca="1" ref="P75" ca="1">IF(
    ISNUMBER(VALUE(LEFT($A75, 1))),
    "",
    IFERROR(IF(_xlfn.XLOOKUP($A75, INDIRECT("'" &amp; P$2 &amp; "'!$A:$A"), INDIRECT("'" &amp; P$2 &amp; "'!$B:$B"), "")&lt;&gt;"", "✓", "✗"), "✗")
)</f>
        <v>✓</v>
      </c>
      <c r="Q75" t="str" cm="1">
        <f t="array" aca="1" ref="Q75" ca="1">IF(
    ISNUMBER(VALUE(LEFT($A75, 1))),
    "",
    IFERROR(IF(_xlfn.XLOOKUP($A75, INDIRECT("'" &amp; Q$2 &amp; "'!$A:$A"), INDIRECT("'" &amp; Q$2 &amp; "'!$B:$B"), "")&lt;&gt;"", "✓", "✗"), "✗")
)</f>
        <v>✓</v>
      </c>
      <c r="R75" t="str" cm="1">
        <f t="array" aca="1" ref="R75" ca="1">IF(
    ISNUMBER(VALUE(LEFT($A75, 1))),
    "",
    IFERROR(IF(_xlfn.XLOOKUP($A75, INDIRECT("'" &amp; R$2 &amp; "'!$A:$A"), INDIRECT("'" &amp; R$2 &amp; "'!$B:$B"), "")&lt;&gt;"", "✓", "✗"), "✗")
)</f>
        <v>✓</v>
      </c>
      <c r="S75" t="str" cm="1">
        <f t="array" aca="1" ref="S75" ca="1">IF(
    ISNUMBER(VALUE(LEFT($A75, 1))),
    "",
    IFERROR(IF(_xlfn.XLOOKUP($A75, INDIRECT("'" &amp; S$2 &amp; "'!$A:$A"), INDIRECT("'" &amp; S$2 &amp; "'!$B:$B"), "")&lt;&gt;"", "✓", "✗"), "✗")
)</f>
        <v>✓</v>
      </c>
      <c r="T75" t="str" cm="1">
        <f t="array" aca="1" ref="T75" ca="1">IF(
    ISNUMBER(VALUE(LEFT($A75, 1))),
    "",
    IFERROR(IF(_xlfn.XLOOKUP($A75, INDIRECT("'" &amp; T$2 &amp; "'!$A:$A"), INDIRECT("'" &amp; T$2 &amp; "'!$B:$B"), "")&lt;&gt;"", "✓", "✗"), "✗")
)</f>
        <v>✓</v>
      </c>
      <c r="U75" t="str" cm="1">
        <f t="array" aca="1" ref="U75" ca="1">IF(
    ISNUMBER(VALUE(LEFT($A75, 1))),
    "",
    IFERROR(IF(_xlfn.XLOOKUP($A75, INDIRECT("'" &amp; U$2 &amp; "'!$A:$A"), INDIRECT("'" &amp; U$2 &amp; "'!$B:$B"), "")&lt;&gt;"", "✓", "✗"), "✗")
)</f>
        <v>✓</v>
      </c>
      <c r="V75" t="str" cm="1">
        <f t="array" aca="1" ref="V75" ca="1">IF(
    ISNUMBER(VALUE(LEFT($A75, 1))),
    "",
    IFERROR(IF(_xlfn.XLOOKUP($A75, INDIRECT("'" &amp; V$2 &amp; "'!$A:$A"), INDIRECT("'" &amp; V$2 &amp; "'!$B:$B"), "")&lt;&gt;"", "✓", "✗"), "✗")
)</f>
        <v>✓</v>
      </c>
      <c r="W75" t="str" cm="1">
        <f t="array" aca="1" ref="W75" ca="1">IF(
    ISNUMBER(VALUE(LEFT($A75, 1))),
    "",
    IFERROR(IF(_xlfn.XLOOKUP($A75, INDIRECT("'" &amp; W$2 &amp; "'!$A:$A"), INDIRECT("'" &amp; W$2 &amp; "'!$B:$B"), "")&lt;&gt;"", "✓", "✗"), "✗")
)</f>
        <v>✓</v>
      </c>
      <c r="X75" t="str" cm="1">
        <f t="array" aca="1" ref="X75" ca="1">IF(
    ISNUMBER(VALUE(LEFT($A75, 1))),
    "",
    IFERROR(IF(_xlfn.XLOOKUP($A75, INDIRECT("'" &amp; X$2 &amp; "'!$A:$A"), INDIRECT("'" &amp; X$2 &amp; "'!$B:$B"), "")&lt;&gt;"", "✓", "✗"), "✗")
)</f>
        <v>✓</v>
      </c>
      <c r="Y75" t="str" cm="1">
        <f t="array" aca="1" ref="Y75" ca="1">IF(
    ISNUMBER(VALUE(LEFT($A75, 1))),
    "",
    IFERROR(IF(_xlfn.XLOOKUP($A75, INDIRECT("'" &amp; Y$2 &amp; "'!$A:$A"), INDIRECT("'" &amp; Y$2 &amp; "'!$B:$B"), "")&lt;&gt;"", "✓", "✗"), "✗")
)</f>
        <v>✓</v>
      </c>
      <c r="Z75" t="str" cm="1">
        <f t="array" aca="1" ref="Z75" ca="1">IF(
    ISNUMBER(VALUE(LEFT($A75, 1))),
    "",
    IFERROR(IF(_xlfn.XLOOKUP($A75, INDIRECT("'" &amp; Z$2 &amp; "'!$A:$A"), INDIRECT("'" &amp; Z$2 &amp; "'!$B:$B"), "")&lt;&gt;"", "✓", "✗"), "✗")
)</f>
        <v>✓</v>
      </c>
      <c r="AA75" t="str" cm="1">
        <f t="array" aca="1" ref="AA75" ca="1">IF(
    ISNUMBER(VALUE(LEFT($A75, 1))),
    "",
    IFERROR(IF(_xlfn.XLOOKUP($A75, INDIRECT("'" &amp; AA$2 &amp; "'!$A:$A"), INDIRECT("'" &amp; AA$2 &amp; "'!$B:$B"), "")&lt;&gt;"", "✓", "✗"), "✗")
)</f>
        <v>✓</v>
      </c>
      <c r="AB75" t="str" cm="1">
        <f t="array" aca="1" ref="AB75" ca="1">IF(
    ISNUMBER(VALUE(LEFT($A75, 1))),
    "",
    IFERROR(IF(_xlfn.XLOOKUP($A75, INDIRECT("'" &amp; AB$2 &amp; "'!$A:$A"), INDIRECT("'" &amp; AB$2 &amp; "'!$B:$B"), "")&lt;&gt;"", "✓", "✗"), "✗")
)</f>
        <v>✓</v>
      </c>
      <c r="AC75" t="str" cm="1">
        <f t="array" aca="1" ref="AC75" ca="1">IF(
    ISNUMBER(VALUE(LEFT($A75, 1))),
    "",
    IFERROR(IF(_xlfn.XLOOKUP($A75, INDIRECT("'" &amp; AC$2 &amp; "'!$A:$A"), INDIRECT("'" &amp; AC$2 &amp; "'!$B:$B"), "")&lt;&gt;"", "✓", "✗"), "✗")
)</f>
        <v>✗</v>
      </c>
      <c r="AD75" t="str" cm="1">
        <f t="array" aca="1" ref="AD75" ca="1">IF(
    ISNUMBER(VALUE(LEFT($A75, 1))),
    "",
    IFERROR(IF(_xlfn.XLOOKUP($A75, INDIRECT("'" &amp; AD$2 &amp; "'!$A:$A"), INDIRECT("'" &amp; AD$2 &amp; "'!$B:$B"), "")&lt;&gt;"", "✓", "✗"), "✗")
)</f>
        <v>✓</v>
      </c>
      <c r="AE75" t="str" cm="1">
        <f t="array" aca="1" ref="AE75" ca="1">IF(
    ISNUMBER(VALUE(LEFT($A75, 1))),
    "",
    IFERROR(IF(_xlfn.XLOOKUP($A75, INDIRECT("'" &amp; AE$2 &amp; "'!$A:$A"), INDIRECT("'" &amp; AE$2 &amp; "'!$B:$B"), "")&lt;&gt;"", "✓", "✗"), "✗")
)</f>
        <v>✗</v>
      </c>
      <c r="AF75" t="str" cm="1">
        <f t="array" aca="1" ref="AF75" ca="1">IF(
    ISNUMBER(VALUE(LEFT($A75, 1))),
    "",
    IFERROR(IF(_xlfn.XLOOKUP($A75, INDIRECT("'" &amp; AF$2 &amp; "'!$A:$A"), INDIRECT("'" &amp; AF$2 &amp; "'!$B:$B"), "")&lt;&gt;"", "✓", "✗"), "✗")
)</f>
        <v>✓</v>
      </c>
      <c r="AG75" t="str" cm="1">
        <f t="array" aca="1" ref="AG75" ca="1">IF(
    ISNUMBER(VALUE(LEFT($A75, 1))),
    "",
    IFERROR(IF(_xlfn.XLOOKUP($A75, INDIRECT("'" &amp; AG$2 &amp; "'!$A:$A"), INDIRECT("'" &amp; AG$2 &amp; "'!$B:$B"), "")&lt;&gt;"", "✓", "✗"), "✗")
)</f>
        <v>✗</v>
      </c>
    </row>
    <row r="76" spans="1:33" x14ac:dyDescent="0.45">
      <c r="A76" t="str">
        <v>Content Type</v>
      </c>
      <c r="B76" t="str" cm="1">
        <f t="array" aca="1" ref="B76" ca="1">IF(
    ISNUMBER(VALUE(LEFT($A76, 1))),
    "",
    IFERROR(IF(_xlfn.XLOOKUP($A76, INDIRECT("'" &amp; B$2 &amp; "'!$A:$A"), INDIRECT("'" &amp; B$2 &amp; "'!$B:$B"), "")&lt;&gt;"", "✓", "✗"), "✗")
)</f>
        <v>✓</v>
      </c>
      <c r="C76" t="str" cm="1">
        <f t="array" aca="1" ref="C76" ca="1">IF(
    ISNUMBER(VALUE(LEFT($A76, 1))),
    "",
    IFERROR(IF(_xlfn.XLOOKUP($A76, INDIRECT("'" &amp; C$2 &amp; "'!$A:$A"), INDIRECT("'" &amp; C$2 &amp; "'!$B:$B"), "")&lt;&gt;"", "✓", "✗"), "✗")
)</f>
        <v>✓</v>
      </c>
      <c r="D76" t="str" cm="1">
        <f t="array" aca="1" ref="D76" ca="1">IF(
    ISNUMBER(VALUE(LEFT($A76, 1))),
    "",
    IFERROR(IF(_xlfn.XLOOKUP($A76, INDIRECT("'" &amp; D$2 &amp; "'!$A:$A"), INDIRECT("'" &amp; D$2 &amp; "'!$B:$B"), "")&lt;&gt;"", "✓", "✗"), "✗")
)</f>
        <v>✓</v>
      </c>
      <c r="E76" t="str" cm="1">
        <f t="array" aca="1" ref="E76" ca="1">IF(
    ISNUMBER(VALUE(LEFT($A76, 1))),
    "",
    IFERROR(IF(_xlfn.XLOOKUP($A76, INDIRECT("'" &amp; E$2 &amp; "'!$A:$A"), INDIRECT("'" &amp; E$2 &amp; "'!$B:$B"), "")&lt;&gt;"", "✓", "✗"), "✗")
)</f>
        <v>✓</v>
      </c>
      <c r="F76" t="str" cm="1">
        <f t="array" aca="1" ref="F76" ca="1">IF(
    ISNUMBER(VALUE(LEFT($A76, 1))),
    "",
    IFERROR(IF(_xlfn.XLOOKUP($A76, INDIRECT("'" &amp; F$2 &amp; "'!$A:$A"), INDIRECT("'" &amp; F$2 &amp; "'!$B:$B"), "")&lt;&gt;"", "✓", "✗"), "✗")
)</f>
        <v>✓</v>
      </c>
      <c r="G76" t="str" cm="1">
        <f t="array" aca="1" ref="G76" ca="1">IF(
    ISNUMBER(VALUE(LEFT($A76, 1))),
    "",
    IFERROR(IF(_xlfn.XLOOKUP($A76, INDIRECT("'" &amp; G$2 &amp; "'!$A:$A"), INDIRECT("'" &amp; G$2 &amp; "'!$B:$B"), "")&lt;&gt;"", "✓", "✗"), "✗")
)</f>
        <v>✓</v>
      </c>
      <c r="H76" t="str" cm="1">
        <f t="array" aca="1" ref="H76" ca="1">IF(
    ISNUMBER(VALUE(LEFT($A76, 1))),
    "",
    IFERROR(IF(_xlfn.XLOOKUP($A76, INDIRECT("'" &amp; H$2 &amp; "'!$A:$A"), INDIRECT("'" &amp; H$2 &amp; "'!$B:$B"), "")&lt;&gt;"", "✓", "✗"), "✗")
)</f>
        <v>✓</v>
      </c>
      <c r="I76" t="str" cm="1">
        <f t="array" aca="1" ref="I76" ca="1">IF(
    ISNUMBER(VALUE(LEFT($A76, 1))),
    "",
    IFERROR(IF(_xlfn.XLOOKUP($A76, INDIRECT("'" &amp; I$2 &amp; "'!$A:$A"), INDIRECT("'" &amp; I$2 &amp; "'!$B:$B"), "")&lt;&gt;"", "✓", "✗"), "✗")
)</f>
        <v>✓</v>
      </c>
      <c r="J76" t="str" cm="1">
        <f t="array" aca="1" ref="J76" ca="1">IF(
    ISNUMBER(VALUE(LEFT($A76, 1))),
    "",
    IFERROR(IF(_xlfn.XLOOKUP($A76, INDIRECT("'" &amp; J$2 &amp; "'!$A:$A"), INDIRECT("'" &amp; J$2 &amp; "'!$B:$B"), "")&lt;&gt;"", "✓", "✗"), "✗")
)</f>
        <v>✓</v>
      </c>
      <c r="K76" t="str" cm="1">
        <f t="array" aca="1" ref="K76" ca="1">IF(
    ISNUMBER(VALUE(LEFT($A76, 1))),
    "",
    IFERROR(IF(_xlfn.XLOOKUP($A76, INDIRECT("'" &amp; K$2 &amp; "'!$A:$A"), INDIRECT("'" &amp; K$2 &amp; "'!$B:$B"), "")&lt;&gt;"", "✓", "✗"), "✗")
)</f>
        <v>✓</v>
      </c>
      <c r="L76" t="str" cm="1">
        <f t="array" aca="1" ref="L76" ca="1">IF(
    ISNUMBER(VALUE(LEFT($A76, 1))),
    "",
    IFERROR(IF(_xlfn.XLOOKUP($A76, INDIRECT("'" &amp; L$2 &amp; "'!$A:$A"), INDIRECT("'" &amp; L$2 &amp; "'!$B:$B"), "")&lt;&gt;"", "✓", "✗"), "✗")
)</f>
        <v>✓</v>
      </c>
      <c r="M76" t="str" cm="1">
        <f t="array" aca="1" ref="M76" ca="1">IF(
    ISNUMBER(VALUE(LEFT($A76, 1))),
    "",
    IFERROR(IF(_xlfn.XLOOKUP($A76, INDIRECT("'" &amp; M$2 &amp; "'!$A:$A"), INDIRECT("'" &amp; M$2 &amp; "'!$B:$B"), "")&lt;&gt;"", "✓", "✗"), "✗")
)</f>
        <v>✓</v>
      </c>
      <c r="N76" t="str" cm="1">
        <f t="array" aca="1" ref="N76" ca="1">IF(
    ISNUMBER(VALUE(LEFT($A76, 1))),
    "",
    IFERROR(IF(_xlfn.XLOOKUP($A76, INDIRECT("'" &amp; N$2 &amp; "'!$A:$A"), INDIRECT("'" &amp; N$2 &amp; "'!$B:$B"), "")&lt;&gt;"", "✓", "✗"), "✗")
)</f>
        <v>✓</v>
      </c>
      <c r="O76" t="str" cm="1">
        <f t="array" aca="1" ref="O76" ca="1">IF(
    ISNUMBER(VALUE(LEFT($A76, 1))),
    "",
    IFERROR(IF(_xlfn.XLOOKUP($A76, INDIRECT("'" &amp; O$2 &amp; "'!$A:$A"), INDIRECT("'" &amp; O$2 &amp; "'!$B:$B"), "")&lt;&gt;"", "✓", "✗"), "✗")
)</f>
        <v>✓</v>
      </c>
      <c r="P76" t="str" cm="1">
        <f t="array" aca="1" ref="P76" ca="1">IF(
    ISNUMBER(VALUE(LEFT($A76, 1))),
    "",
    IFERROR(IF(_xlfn.XLOOKUP($A76, INDIRECT("'" &amp; P$2 &amp; "'!$A:$A"), INDIRECT("'" &amp; P$2 &amp; "'!$B:$B"), "")&lt;&gt;"", "✓", "✗"), "✗")
)</f>
        <v>✓</v>
      </c>
      <c r="Q76" t="str" cm="1">
        <f t="array" aca="1" ref="Q76" ca="1">IF(
    ISNUMBER(VALUE(LEFT($A76, 1))),
    "",
    IFERROR(IF(_xlfn.XLOOKUP($A76, INDIRECT("'" &amp; Q$2 &amp; "'!$A:$A"), INDIRECT("'" &amp; Q$2 &amp; "'!$B:$B"), "")&lt;&gt;"", "✓", "✗"), "✗")
)</f>
        <v>✓</v>
      </c>
      <c r="R76" t="str" cm="1">
        <f t="array" aca="1" ref="R76" ca="1">IF(
    ISNUMBER(VALUE(LEFT($A76, 1))),
    "",
    IFERROR(IF(_xlfn.XLOOKUP($A76, INDIRECT("'" &amp; R$2 &amp; "'!$A:$A"), INDIRECT("'" &amp; R$2 &amp; "'!$B:$B"), "")&lt;&gt;"", "✓", "✗"), "✗")
)</f>
        <v>✓</v>
      </c>
      <c r="S76" t="str" cm="1">
        <f t="array" aca="1" ref="S76" ca="1">IF(
    ISNUMBER(VALUE(LEFT($A76, 1))),
    "",
    IFERROR(IF(_xlfn.XLOOKUP($A76, INDIRECT("'" &amp; S$2 &amp; "'!$A:$A"), INDIRECT("'" &amp; S$2 &amp; "'!$B:$B"), "")&lt;&gt;"", "✓", "✗"), "✗")
)</f>
        <v>✓</v>
      </c>
      <c r="T76" t="str" cm="1">
        <f t="array" aca="1" ref="T76" ca="1">IF(
    ISNUMBER(VALUE(LEFT($A76, 1))),
    "",
    IFERROR(IF(_xlfn.XLOOKUP($A76, INDIRECT("'" &amp; T$2 &amp; "'!$A:$A"), INDIRECT("'" &amp; T$2 &amp; "'!$B:$B"), "")&lt;&gt;"", "✓", "✗"), "✗")
)</f>
        <v>✓</v>
      </c>
      <c r="U76" t="str" cm="1">
        <f t="array" aca="1" ref="U76" ca="1">IF(
    ISNUMBER(VALUE(LEFT($A76, 1))),
    "",
    IFERROR(IF(_xlfn.XLOOKUP($A76, INDIRECT("'" &amp; U$2 &amp; "'!$A:$A"), INDIRECT("'" &amp; U$2 &amp; "'!$B:$B"), "")&lt;&gt;"", "✓", "✗"), "✗")
)</f>
        <v>✓</v>
      </c>
      <c r="V76" t="str" cm="1">
        <f t="array" aca="1" ref="V76" ca="1">IF(
    ISNUMBER(VALUE(LEFT($A76, 1))),
    "",
    IFERROR(IF(_xlfn.XLOOKUP($A76, INDIRECT("'" &amp; V$2 &amp; "'!$A:$A"), INDIRECT("'" &amp; V$2 &amp; "'!$B:$B"), "")&lt;&gt;"", "✓", "✗"), "✗")
)</f>
        <v>✓</v>
      </c>
      <c r="W76" t="str" cm="1">
        <f t="array" aca="1" ref="W76" ca="1">IF(
    ISNUMBER(VALUE(LEFT($A76, 1))),
    "",
    IFERROR(IF(_xlfn.XLOOKUP($A76, INDIRECT("'" &amp; W$2 &amp; "'!$A:$A"), INDIRECT("'" &amp; W$2 &amp; "'!$B:$B"), "")&lt;&gt;"", "✓", "✗"), "✗")
)</f>
        <v>✓</v>
      </c>
      <c r="X76" t="str" cm="1">
        <f t="array" aca="1" ref="X76" ca="1">IF(
    ISNUMBER(VALUE(LEFT($A76, 1))),
    "",
    IFERROR(IF(_xlfn.XLOOKUP($A76, INDIRECT("'" &amp; X$2 &amp; "'!$A:$A"), INDIRECT("'" &amp; X$2 &amp; "'!$B:$B"), "")&lt;&gt;"", "✓", "✗"), "✗")
)</f>
        <v>✓</v>
      </c>
      <c r="Y76" t="str" cm="1">
        <f t="array" aca="1" ref="Y76" ca="1">IF(
    ISNUMBER(VALUE(LEFT($A76, 1))),
    "",
    IFERROR(IF(_xlfn.XLOOKUP($A76, INDIRECT("'" &amp; Y$2 &amp; "'!$A:$A"), INDIRECT("'" &amp; Y$2 &amp; "'!$B:$B"), "")&lt;&gt;"", "✓", "✗"), "✗")
)</f>
        <v>✓</v>
      </c>
      <c r="Z76" t="str" cm="1">
        <f t="array" aca="1" ref="Z76" ca="1">IF(
    ISNUMBER(VALUE(LEFT($A76, 1))),
    "",
    IFERROR(IF(_xlfn.XLOOKUP($A76, INDIRECT("'" &amp; Z$2 &amp; "'!$A:$A"), INDIRECT("'" &amp; Z$2 &amp; "'!$B:$B"), "")&lt;&gt;"", "✓", "✗"), "✗")
)</f>
        <v>✓</v>
      </c>
      <c r="AA76" t="str" cm="1">
        <f t="array" aca="1" ref="AA76" ca="1">IF(
    ISNUMBER(VALUE(LEFT($A76, 1))),
    "",
    IFERROR(IF(_xlfn.XLOOKUP($A76, INDIRECT("'" &amp; AA$2 &amp; "'!$A:$A"), INDIRECT("'" &amp; AA$2 &amp; "'!$B:$B"), "")&lt;&gt;"", "✓", "✗"), "✗")
)</f>
        <v>✓</v>
      </c>
      <c r="AB76" t="str" cm="1">
        <f t="array" aca="1" ref="AB76" ca="1">IF(
    ISNUMBER(VALUE(LEFT($A76, 1))),
    "",
    IFERROR(IF(_xlfn.XLOOKUP($A76, INDIRECT("'" &amp; AB$2 &amp; "'!$A:$A"), INDIRECT("'" &amp; AB$2 &amp; "'!$B:$B"), "")&lt;&gt;"", "✓", "✗"), "✗")
)</f>
        <v>✓</v>
      </c>
      <c r="AC76" t="str" cm="1">
        <f t="array" aca="1" ref="AC76" ca="1">IF(
    ISNUMBER(VALUE(LEFT($A76, 1))),
    "",
    IFERROR(IF(_xlfn.XLOOKUP($A76, INDIRECT("'" &amp; AC$2 &amp; "'!$A:$A"), INDIRECT("'" &amp; AC$2 &amp; "'!$B:$B"), "")&lt;&gt;"", "✓", "✗"), "✗")
)</f>
        <v>✗</v>
      </c>
      <c r="AD76" t="str" cm="1">
        <f t="array" aca="1" ref="AD76" ca="1">IF(
    ISNUMBER(VALUE(LEFT($A76, 1))),
    "",
    IFERROR(IF(_xlfn.XLOOKUP($A76, INDIRECT("'" &amp; AD$2 &amp; "'!$A:$A"), INDIRECT("'" &amp; AD$2 &amp; "'!$B:$B"), "")&lt;&gt;"", "✓", "✗"), "✗")
)</f>
        <v>✓</v>
      </c>
      <c r="AE76" t="str" cm="1">
        <f t="array" aca="1" ref="AE76" ca="1">IF(
    ISNUMBER(VALUE(LEFT($A76, 1))),
    "",
    IFERROR(IF(_xlfn.XLOOKUP($A76, INDIRECT("'" &amp; AE$2 &amp; "'!$A:$A"), INDIRECT("'" &amp; AE$2 &amp; "'!$B:$B"), "")&lt;&gt;"", "✓", "✗"), "✗")
)</f>
        <v>✗</v>
      </c>
      <c r="AF76" t="str" cm="1">
        <f t="array" aca="1" ref="AF76" ca="1">IF(
    ISNUMBER(VALUE(LEFT($A76, 1))),
    "",
    IFERROR(IF(_xlfn.XLOOKUP($A76, INDIRECT("'" &amp; AF$2 &amp; "'!$A:$A"), INDIRECT("'" &amp; AF$2 &amp; "'!$B:$B"), "")&lt;&gt;"", "✓", "✗"), "✗")
)</f>
        <v>✓</v>
      </c>
      <c r="AG76" t="str" cm="1">
        <f t="array" aca="1" ref="AG76" ca="1">IF(
    ISNUMBER(VALUE(LEFT($A76, 1))),
    "",
    IFERROR(IF(_xlfn.XLOOKUP($A76, INDIRECT("'" &amp; AG$2 &amp; "'!$A:$A"), INDIRECT("'" &amp; AG$2 &amp; "'!$B:$B"), "")&lt;&gt;"", "✓", "✗"), "✗")
)</f>
        <v>✗</v>
      </c>
    </row>
    <row r="77" spans="1:33" x14ac:dyDescent="0.45">
      <c r="A77" t="str">
        <v>Vendor</v>
      </c>
      <c r="B77" t="str" cm="1">
        <f t="array" aca="1" ref="B77" ca="1">IF(
    ISNUMBER(VALUE(LEFT($A77, 1))),
    "",
    IFERROR(IF(_xlfn.XLOOKUP($A77, INDIRECT("'" &amp; B$2 &amp; "'!$A:$A"), INDIRECT("'" &amp; B$2 &amp; "'!$B:$B"), "")&lt;&gt;"", "✓", "✗"), "✗")
)</f>
        <v>✗</v>
      </c>
      <c r="C77" t="str" cm="1">
        <f t="array" aca="1" ref="C77" ca="1">IF(
    ISNUMBER(VALUE(LEFT($A77, 1))),
    "",
    IFERROR(IF(_xlfn.XLOOKUP($A77, INDIRECT("'" &amp; C$2 &amp; "'!$A:$A"), INDIRECT("'" &amp; C$2 &amp; "'!$B:$B"), "")&lt;&gt;"", "✓", "✗"), "✗")
)</f>
        <v>✗</v>
      </c>
      <c r="D77" t="str" cm="1">
        <f t="array" aca="1" ref="D77" ca="1">IF(
    ISNUMBER(VALUE(LEFT($A77, 1))),
    "",
    IFERROR(IF(_xlfn.XLOOKUP($A77, INDIRECT("'" &amp; D$2 &amp; "'!$A:$A"), INDIRECT("'" &amp; D$2 &amp; "'!$B:$B"), "")&lt;&gt;"", "✓", "✗"), "✗")
)</f>
        <v>✗</v>
      </c>
      <c r="E77" t="str" cm="1">
        <f t="array" aca="1" ref="E77" ca="1">IF(
    ISNUMBER(VALUE(LEFT($A77, 1))),
    "",
    IFERROR(IF(_xlfn.XLOOKUP($A77, INDIRECT("'" &amp; E$2 &amp; "'!$A:$A"), INDIRECT("'" &amp; E$2 &amp; "'!$B:$B"), "")&lt;&gt;"", "✓", "✗"), "✗")
)</f>
        <v>✗</v>
      </c>
      <c r="F77" t="str" cm="1">
        <f t="array" aca="1" ref="F77" ca="1">IF(
    ISNUMBER(VALUE(LEFT($A77, 1))),
    "",
    IFERROR(IF(_xlfn.XLOOKUP($A77, INDIRECT("'" &amp; F$2 &amp; "'!$A:$A"), INDIRECT("'" &amp; F$2 &amp; "'!$B:$B"), "")&lt;&gt;"", "✓", "✗"), "✗")
)</f>
        <v>✗</v>
      </c>
      <c r="G77" t="str" cm="1">
        <f t="array" aca="1" ref="G77" ca="1">IF(
    ISNUMBER(VALUE(LEFT($A77, 1))),
    "",
    IFERROR(IF(_xlfn.XLOOKUP($A77, INDIRECT("'" &amp; G$2 &amp; "'!$A:$A"), INDIRECT("'" &amp; G$2 &amp; "'!$B:$B"), "")&lt;&gt;"", "✓", "✗"), "✗")
)</f>
        <v>✓</v>
      </c>
      <c r="H77" t="str" cm="1">
        <f t="array" aca="1" ref="H77" ca="1">IF(
    ISNUMBER(VALUE(LEFT($A77, 1))),
    "",
    IFERROR(IF(_xlfn.XLOOKUP($A77, INDIRECT("'" &amp; H$2 &amp; "'!$A:$A"), INDIRECT("'" &amp; H$2 &amp; "'!$B:$B"), "")&lt;&gt;"", "✓", "✗"), "✗")
)</f>
        <v>✓</v>
      </c>
      <c r="I77" t="str" cm="1">
        <f t="array" aca="1" ref="I77" ca="1">IF(
    ISNUMBER(VALUE(LEFT($A77, 1))),
    "",
    IFERROR(IF(_xlfn.XLOOKUP($A77, INDIRECT("'" &amp; I$2 &amp; "'!$A:$A"), INDIRECT("'" &amp; I$2 &amp; "'!$B:$B"), "")&lt;&gt;"", "✓", "✗"), "✗")
)</f>
        <v>✓</v>
      </c>
      <c r="J77" t="str" cm="1">
        <f t="array" aca="1" ref="J77" ca="1">IF(
    ISNUMBER(VALUE(LEFT($A77, 1))),
    "",
    IFERROR(IF(_xlfn.XLOOKUP($A77, INDIRECT("'" &amp; J$2 &amp; "'!$A:$A"), INDIRECT("'" &amp; J$2 &amp; "'!$B:$B"), "")&lt;&gt;"", "✓", "✗"), "✗")
)</f>
        <v>✓</v>
      </c>
      <c r="K77" t="str" cm="1">
        <f t="array" aca="1" ref="K77" ca="1">IF(
    ISNUMBER(VALUE(LEFT($A77, 1))),
    "",
    IFERROR(IF(_xlfn.XLOOKUP($A77, INDIRECT("'" &amp; K$2 &amp; "'!$A:$A"), INDIRECT("'" &amp; K$2 &amp; "'!$B:$B"), "")&lt;&gt;"", "✓", "✗"), "✗")
)</f>
        <v>✓</v>
      </c>
      <c r="L77" t="str" cm="1">
        <f t="array" aca="1" ref="L77" ca="1">IF(
    ISNUMBER(VALUE(LEFT($A77, 1))),
    "",
    IFERROR(IF(_xlfn.XLOOKUP($A77, INDIRECT("'" &amp; L$2 &amp; "'!$A:$A"), INDIRECT("'" &amp; L$2 &amp; "'!$B:$B"), "")&lt;&gt;"", "✓", "✗"), "✗")
)</f>
        <v>✓</v>
      </c>
      <c r="M77" t="str" cm="1">
        <f t="array" aca="1" ref="M77" ca="1">IF(
    ISNUMBER(VALUE(LEFT($A77, 1))),
    "",
    IFERROR(IF(_xlfn.XLOOKUP($A77, INDIRECT("'" &amp; M$2 &amp; "'!$A:$A"), INDIRECT("'" &amp; M$2 &amp; "'!$B:$B"), "")&lt;&gt;"", "✓", "✗"), "✗")
)</f>
        <v>✓</v>
      </c>
      <c r="N77" t="str" cm="1">
        <f t="array" aca="1" ref="N77" ca="1">IF(
    ISNUMBER(VALUE(LEFT($A77, 1))),
    "",
    IFERROR(IF(_xlfn.XLOOKUP($A77, INDIRECT("'" &amp; N$2 &amp; "'!$A:$A"), INDIRECT("'" &amp; N$2 &amp; "'!$B:$B"), "")&lt;&gt;"", "✓", "✗"), "✗")
)</f>
        <v>✓</v>
      </c>
      <c r="O77" t="str" cm="1">
        <f t="array" aca="1" ref="O77" ca="1">IF(
    ISNUMBER(VALUE(LEFT($A77, 1))),
    "",
    IFERROR(IF(_xlfn.XLOOKUP($A77, INDIRECT("'" &amp; O$2 &amp; "'!$A:$A"), INDIRECT("'" &amp; O$2 &amp; "'!$B:$B"), "")&lt;&gt;"", "✓", "✗"), "✗")
)</f>
        <v>✓</v>
      </c>
      <c r="P77" t="str" cm="1">
        <f t="array" aca="1" ref="P77" ca="1">IF(
    ISNUMBER(VALUE(LEFT($A77, 1))),
    "",
    IFERROR(IF(_xlfn.XLOOKUP($A77, INDIRECT("'" &amp; P$2 &amp; "'!$A:$A"), INDIRECT("'" &amp; P$2 &amp; "'!$B:$B"), "")&lt;&gt;"", "✓", "✗"), "✗")
)</f>
        <v>✓</v>
      </c>
      <c r="Q77" t="str" cm="1">
        <f t="array" aca="1" ref="Q77" ca="1">IF(
    ISNUMBER(VALUE(LEFT($A77, 1))),
    "",
    IFERROR(IF(_xlfn.XLOOKUP($A77, INDIRECT("'" &amp; Q$2 &amp; "'!$A:$A"), INDIRECT("'" &amp; Q$2 &amp; "'!$B:$B"), "")&lt;&gt;"", "✓", "✗"), "✗")
)</f>
        <v>✓</v>
      </c>
      <c r="R77" t="str" cm="1">
        <f t="array" aca="1" ref="R77" ca="1">IF(
    ISNUMBER(VALUE(LEFT($A77, 1))),
    "",
    IFERROR(IF(_xlfn.XLOOKUP($A77, INDIRECT("'" &amp; R$2 &amp; "'!$A:$A"), INDIRECT("'" &amp; R$2 &amp; "'!$B:$B"), "")&lt;&gt;"", "✓", "✗"), "✗")
)</f>
        <v>✓</v>
      </c>
      <c r="S77" t="str" cm="1">
        <f t="array" aca="1" ref="S77" ca="1">IF(
    ISNUMBER(VALUE(LEFT($A77, 1))),
    "",
    IFERROR(IF(_xlfn.XLOOKUP($A77, INDIRECT("'" &amp; S$2 &amp; "'!$A:$A"), INDIRECT("'" &amp; S$2 &amp; "'!$B:$B"), "")&lt;&gt;"", "✓", "✗"), "✗")
)</f>
        <v>✓</v>
      </c>
      <c r="T77" t="str" cm="1">
        <f t="array" aca="1" ref="T77" ca="1">IF(
    ISNUMBER(VALUE(LEFT($A77, 1))),
    "",
    IFERROR(IF(_xlfn.XLOOKUP($A77, INDIRECT("'" &amp; T$2 &amp; "'!$A:$A"), INDIRECT("'" &amp; T$2 &amp; "'!$B:$B"), "")&lt;&gt;"", "✓", "✗"), "✗")
)</f>
        <v>✓</v>
      </c>
      <c r="U77" t="str" cm="1">
        <f t="array" aca="1" ref="U77" ca="1">IF(
    ISNUMBER(VALUE(LEFT($A77, 1))),
    "",
    IFERROR(IF(_xlfn.XLOOKUP($A77, INDIRECT("'" &amp; U$2 &amp; "'!$A:$A"), INDIRECT("'" &amp; U$2 &amp; "'!$B:$B"), "")&lt;&gt;"", "✓", "✗"), "✗")
)</f>
        <v>✓</v>
      </c>
      <c r="V77" t="str" cm="1">
        <f t="array" aca="1" ref="V77" ca="1">IF(
    ISNUMBER(VALUE(LEFT($A77, 1))),
    "",
    IFERROR(IF(_xlfn.XLOOKUP($A77, INDIRECT("'" &amp; V$2 &amp; "'!$A:$A"), INDIRECT("'" &amp; V$2 &amp; "'!$B:$B"), "")&lt;&gt;"", "✓", "✗"), "✗")
)</f>
        <v>✓</v>
      </c>
      <c r="W77" t="str" cm="1">
        <f t="array" aca="1" ref="W77" ca="1">IF(
    ISNUMBER(VALUE(LEFT($A77, 1))),
    "",
    IFERROR(IF(_xlfn.XLOOKUP($A77, INDIRECT("'" &amp; W$2 &amp; "'!$A:$A"), INDIRECT("'" &amp; W$2 &amp; "'!$B:$B"), "")&lt;&gt;"", "✓", "✗"), "✗")
)</f>
        <v>✓</v>
      </c>
      <c r="X77" t="str" cm="1">
        <f t="array" aca="1" ref="X77" ca="1">IF(
    ISNUMBER(VALUE(LEFT($A77, 1))),
    "",
    IFERROR(IF(_xlfn.XLOOKUP($A77, INDIRECT("'" &amp; X$2 &amp; "'!$A:$A"), INDIRECT("'" &amp; X$2 &amp; "'!$B:$B"), "")&lt;&gt;"", "✓", "✗"), "✗")
)</f>
        <v>✓</v>
      </c>
      <c r="Y77" t="str" cm="1">
        <f t="array" aca="1" ref="Y77" ca="1">IF(
    ISNUMBER(VALUE(LEFT($A77, 1))),
    "",
    IFERROR(IF(_xlfn.XLOOKUP($A77, INDIRECT("'" &amp; Y$2 &amp; "'!$A:$A"), INDIRECT("'" &amp; Y$2 &amp; "'!$B:$B"), "")&lt;&gt;"", "✓", "✗"), "✗")
)</f>
        <v>✓</v>
      </c>
      <c r="Z77" t="str" cm="1">
        <f t="array" aca="1" ref="Z77" ca="1">IF(
    ISNUMBER(VALUE(LEFT($A77, 1))),
    "",
    IFERROR(IF(_xlfn.XLOOKUP($A77, INDIRECT("'" &amp; Z$2 &amp; "'!$A:$A"), INDIRECT("'" &amp; Z$2 &amp; "'!$B:$B"), "")&lt;&gt;"", "✓", "✗"), "✗")
)</f>
        <v>✓</v>
      </c>
      <c r="AA77" t="str" cm="1">
        <f t="array" aca="1" ref="AA77" ca="1">IF(
    ISNUMBER(VALUE(LEFT($A77, 1))),
    "",
    IFERROR(IF(_xlfn.XLOOKUP($A77, INDIRECT("'" &amp; AA$2 &amp; "'!$A:$A"), INDIRECT("'" &amp; AA$2 &amp; "'!$B:$B"), "")&lt;&gt;"", "✓", "✗"), "✗")
)</f>
        <v>✓</v>
      </c>
      <c r="AB77" t="str" cm="1">
        <f t="array" aca="1" ref="AB77" ca="1">IF(
    ISNUMBER(VALUE(LEFT($A77, 1))),
    "",
    IFERROR(IF(_xlfn.XLOOKUP($A77, INDIRECT("'" &amp; AB$2 &amp; "'!$A:$A"), INDIRECT("'" &amp; AB$2 &amp; "'!$B:$B"), "")&lt;&gt;"", "✓", "✗"), "✗")
)</f>
        <v>✗</v>
      </c>
      <c r="AC77" t="str" cm="1">
        <f t="array" aca="1" ref="AC77" ca="1">IF(
    ISNUMBER(VALUE(LEFT($A77, 1))),
    "",
    IFERROR(IF(_xlfn.XLOOKUP($A77, INDIRECT("'" &amp; AC$2 &amp; "'!$A:$A"), INDIRECT("'" &amp; AC$2 &amp; "'!$B:$B"), "")&lt;&gt;"", "✓", "✗"), "✗")
)</f>
        <v>✗</v>
      </c>
      <c r="AD77" t="str" cm="1">
        <f t="array" aca="1" ref="AD77" ca="1">IF(
    ISNUMBER(VALUE(LEFT($A77, 1))),
    "",
    IFERROR(IF(_xlfn.XLOOKUP($A77, INDIRECT("'" &amp; AD$2 &amp; "'!$A:$A"), INDIRECT("'" &amp; AD$2 &amp; "'!$B:$B"), "")&lt;&gt;"", "✓", "✗"), "✗")
)</f>
        <v>✗</v>
      </c>
      <c r="AE77" t="str" cm="1">
        <f t="array" aca="1" ref="AE77" ca="1">IF(
    ISNUMBER(VALUE(LEFT($A77, 1))),
    "",
    IFERROR(IF(_xlfn.XLOOKUP($A77, INDIRECT("'" &amp; AE$2 &amp; "'!$A:$A"), INDIRECT("'" &amp; AE$2 &amp; "'!$B:$B"), "")&lt;&gt;"", "✓", "✗"), "✗")
)</f>
        <v>✗</v>
      </c>
      <c r="AF77" t="str" cm="1">
        <f t="array" aca="1" ref="AF77" ca="1">IF(
    ISNUMBER(VALUE(LEFT($A77, 1))),
    "",
    IFERROR(IF(_xlfn.XLOOKUP($A77, INDIRECT("'" &amp; AF$2 &amp; "'!$A:$A"), INDIRECT("'" &amp; AF$2 &amp; "'!$B:$B"), "")&lt;&gt;"", "✓", "✗"), "✗")
)</f>
        <v>✗</v>
      </c>
      <c r="AG77" t="str" cm="1">
        <f t="array" aca="1" ref="AG77" ca="1">IF(
    ISNUMBER(VALUE(LEFT($A77, 1))),
    "",
    IFERROR(IF(_xlfn.XLOOKUP($A77, INDIRECT("'" &amp; AG$2 &amp; "'!$A:$A"), INDIRECT("'" &amp; AG$2 &amp; "'!$B:$B"), "")&lt;&gt;"", "✓", "✗"), "✗")
)</f>
        <v>✗</v>
      </c>
    </row>
    <row r="78" spans="1:33" x14ac:dyDescent="0.45">
      <c r="A78" t="str">
        <v>7 - Event Tracking Parameters</v>
      </c>
      <c r="B78" t="str" cm="1">
        <f t="array" aca="1" ref="B78" ca="1">IF(
    ISNUMBER(VALUE(LEFT($A78, 1))),
    "",
    IFERROR(IF(_xlfn.XLOOKUP($A78, INDIRECT("'" &amp; B$2 &amp; "'!$A:$A"), INDIRECT("'" &amp; B$2 &amp; "'!$B:$B"), "")&lt;&gt;"", "✓", "✗"), "✗")
)</f>
        <v/>
      </c>
      <c r="C78" t="str" cm="1">
        <f t="array" aca="1" ref="C78" ca="1">IF(
    ISNUMBER(VALUE(LEFT($A78, 1))),
    "",
    IFERROR(IF(_xlfn.XLOOKUP($A78, INDIRECT("'" &amp; C$2 &amp; "'!$A:$A"), INDIRECT("'" &amp; C$2 &amp; "'!$B:$B"), "")&lt;&gt;"", "✓", "✗"), "✗")
)</f>
        <v/>
      </c>
      <c r="D78" t="str" cm="1">
        <f t="array" aca="1" ref="D78" ca="1">IF(
    ISNUMBER(VALUE(LEFT($A78, 1))),
    "",
    IFERROR(IF(_xlfn.XLOOKUP($A78, INDIRECT("'" &amp; D$2 &amp; "'!$A:$A"), INDIRECT("'" &amp; D$2 &amp; "'!$B:$B"), "")&lt;&gt;"", "✓", "✗"), "✗")
)</f>
        <v/>
      </c>
      <c r="E78" t="str" cm="1">
        <f t="array" aca="1" ref="E78" ca="1">IF(
    ISNUMBER(VALUE(LEFT($A78, 1))),
    "",
    IFERROR(IF(_xlfn.XLOOKUP($A78, INDIRECT("'" &amp; E$2 &amp; "'!$A:$A"), INDIRECT("'" &amp; E$2 &amp; "'!$B:$B"), "")&lt;&gt;"", "✓", "✗"), "✗")
)</f>
        <v/>
      </c>
      <c r="F78" t="str" cm="1">
        <f t="array" aca="1" ref="F78" ca="1">IF(
    ISNUMBER(VALUE(LEFT($A78, 1))),
    "",
    IFERROR(IF(_xlfn.XLOOKUP($A78, INDIRECT("'" &amp; F$2 &amp; "'!$A:$A"), INDIRECT("'" &amp; F$2 &amp; "'!$B:$B"), "")&lt;&gt;"", "✓", "✗"), "✗")
)</f>
        <v/>
      </c>
      <c r="G78" t="str" cm="1">
        <f t="array" aca="1" ref="G78" ca="1">IF(
    ISNUMBER(VALUE(LEFT($A78, 1))),
    "",
    IFERROR(IF(_xlfn.XLOOKUP($A78, INDIRECT("'" &amp; G$2 &amp; "'!$A:$A"), INDIRECT("'" &amp; G$2 &amp; "'!$B:$B"), "")&lt;&gt;"", "✓", "✗"), "✗")
)</f>
        <v/>
      </c>
      <c r="H78" t="str" cm="1">
        <f t="array" aca="1" ref="H78" ca="1">IF(
    ISNUMBER(VALUE(LEFT($A78, 1))),
    "",
    IFERROR(IF(_xlfn.XLOOKUP($A78, INDIRECT("'" &amp; H$2 &amp; "'!$A:$A"), INDIRECT("'" &amp; H$2 &amp; "'!$B:$B"), "")&lt;&gt;"", "✓", "✗"), "✗")
)</f>
        <v/>
      </c>
      <c r="I78" t="str" cm="1">
        <f t="array" aca="1" ref="I78" ca="1">IF(
    ISNUMBER(VALUE(LEFT($A78, 1))),
    "",
    IFERROR(IF(_xlfn.XLOOKUP($A78, INDIRECT("'" &amp; I$2 &amp; "'!$A:$A"), INDIRECT("'" &amp; I$2 &amp; "'!$B:$B"), "")&lt;&gt;"", "✓", "✗"), "✗")
)</f>
        <v/>
      </c>
      <c r="J78" t="str" cm="1">
        <f t="array" aca="1" ref="J78" ca="1">IF(
    ISNUMBER(VALUE(LEFT($A78, 1))),
    "",
    IFERROR(IF(_xlfn.XLOOKUP($A78, INDIRECT("'" &amp; J$2 &amp; "'!$A:$A"), INDIRECT("'" &amp; J$2 &amp; "'!$B:$B"), "")&lt;&gt;"", "✓", "✗"), "✗")
)</f>
        <v/>
      </c>
      <c r="K78" t="str" cm="1">
        <f t="array" aca="1" ref="K78" ca="1">IF(
    ISNUMBER(VALUE(LEFT($A78, 1))),
    "",
    IFERROR(IF(_xlfn.XLOOKUP($A78, INDIRECT("'" &amp; K$2 &amp; "'!$A:$A"), INDIRECT("'" &amp; K$2 &amp; "'!$B:$B"), "")&lt;&gt;"", "✓", "✗"), "✗")
)</f>
        <v/>
      </c>
      <c r="L78" t="str" cm="1">
        <f t="array" aca="1" ref="L78" ca="1">IF(
    ISNUMBER(VALUE(LEFT($A78, 1))),
    "",
    IFERROR(IF(_xlfn.XLOOKUP($A78, INDIRECT("'" &amp; L$2 &amp; "'!$A:$A"), INDIRECT("'" &amp; L$2 &amp; "'!$B:$B"), "")&lt;&gt;"", "✓", "✗"), "✗")
)</f>
        <v/>
      </c>
      <c r="M78" t="str" cm="1">
        <f t="array" aca="1" ref="M78" ca="1">IF(
    ISNUMBER(VALUE(LEFT($A78, 1))),
    "",
    IFERROR(IF(_xlfn.XLOOKUP($A78, INDIRECT("'" &amp; M$2 &amp; "'!$A:$A"), INDIRECT("'" &amp; M$2 &amp; "'!$B:$B"), "")&lt;&gt;"", "✓", "✗"), "✗")
)</f>
        <v/>
      </c>
      <c r="N78" t="str" cm="1">
        <f t="array" aca="1" ref="N78" ca="1">IF(
    ISNUMBER(VALUE(LEFT($A78, 1))),
    "",
    IFERROR(IF(_xlfn.XLOOKUP($A78, INDIRECT("'" &amp; N$2 &amp; "'!$A:$A"), INDIRECT("'" &amp; N$2 &amp; "'!$B:$B"), "")&lt;&gt;"", "✓", "✗"), "✗")
)</f>
        <v/>
      </c>
      <c r="O78" t="str" cm="1">
        <f t="array" aca="1" ref="O78" ca="1">IF(
    ISNUMBER(VALUE(LEFT($A78, 1))),
    "",
    IFERROR(IF(_xlfn.XLOOKUP($A78, INDIRECT("'" &amp; O$2 &amp; "'!$A:$A"), INDIRECT("'" &amp; O$2 &amp; "'!$B:$B"), "")&lt;&gt;"", "✓", "✗"), "✗")
)</f>
        <v/>
      </c>
      <c r="P78" t="str" cm="1">
        <f t="array" aca="1" ref="P78" ca="1">IF(
    ISNUMBER(VALUE(LEFT($A78, 1))),
    "",
    IFERROR(IF(_xlfn.XLOOKUP($A78, INDIRECT("'" &amp; P$2 &amp; "'!$A:$A"), INDIRECT("'" &amp; P$2 &amp; "'!$B:$B"), "")&lt;&gt;"", "✓", "✗"), "✗")
)</f>
        <v/>
      </c>
      <c r="Q78" t="str" cm="1">
        <f t="array" aca="1" ref="Q78" ca="1">IF(
    ISNUMBER(VALUE(LEFT($A78, 1))),
    "",
    IFERROR(IF(_xlfn.XLOOKUP($A78, INDIRECT("'" &amp; Q$2 &amp; "'!$A:$A"), INDIRECT("'" &amp; Q$2 &amp; "'!$B:$B"), "")&lt;&gt;"", "✓", "✗"), "✗")
)</f>
        <v/>
      </c>
      <c r="R78" t="str" cm="1">
        <f t="array" aca="1" ref="R78" ca="1">IF(
    ISNUMBER(VALUE(LEFT($A78, 1))),
    "",
    IFERROR(IF(_xlfn.XLOOKUP($A78, INDIRECT("'" &amp; R$2 &amp; "'!$A:$A"), INDIRECT("'" &amp; R$2 &amp; "'!$B:$B"), "")&lt;&gt;"", "✓", "✗"), "✗")
)</f>
        <v/>
      </c>
      <c r="S78" t="str" cm="1">
        <f t="array" aca="1" ref="S78" ca="1">IF(
    ISNUMBER(VALUE(LEFT($A78, 1))),
    "",
    IFERROR(IF(_xlfn.XLOOKUP($A78, INDIRECT("'" &amp; S$2 &amp; "'!$A:$A"), INDIRECT("'" &amp; S$2 &amp; "'!$B:$B"), "")&lt;&gt;"", "✓", "✗"), "✗")
)</f>
        <v/>
      </c>
      <c r="T78" t="str" cm="1">
        <f t="array" aca="1" ref="T78" ca="1">IF(
    ISNUMBER(VALUE(LEFT($A78, 1))),
    "",
    IFERROR(IF(_xlfn.XLOOKUP($A78, INDIRECT("'" &amp; T$2 &amp; "'!$A:$A"), INDIRECT("'" &amp; T$2 &amp; "'!$B:$B"), "")&lt;&gt;"", "✓", "✗"), "✗")
)</f>
        <v/>
      </c>
      <c r="U78" t="str" cm="1">
        <f t="array" aca="1" ref="U78" ca="1">IF(
    ISNUMBER(VALUE(LEFT($A78, 1))),
    "",
    IFERROR(IF(_xlfn.XLOOKUP($A78, INDIRECT("'" &amp; U$2 &amp; "'!$A:$A"), INDIRECT("'" &amp; U$2 &amp; "'!$B:$B"), "")&lt;&gt;"", "✓", "✗"), "✗")
)</f>
        <v/>
      </c>
      <c r="V78" t="str" cm="1">
        <f t="array" aca="1" ref="V78" ca="1">IF(
    ISNUMBER(VALUE(LEFT($A78, 1))),
    "",
    IFERROR(IF(_xlfn.XLOOKUP($A78, INDIRECT("'" &amp; V$2 &amp; "'!$A:$A"), INDIRECT("'" &amp; V$2 &amp; "'!$B:$B"), "")&lt;&gt;"", "✓", "✗"), "✗")
)</f>
        <v/>
      </c>
      <c r="W78" t="str" cm="1">
        <f t="array" aca="1" ref="W78" ca="1">IF(
    ISNUMBER(VALUE(LEFT($A78, 1))),
    "",
    IFERROR(IF(_xlfn.XLOOKUP($A78, INDIRECT("'" &amp; W$2 &amp; "'!$A:$A"), INDIRECT("'" &amp; W$2 &amp; "'!$B:$B"), "")&lt;&gt;"", "✓", "✗"), "✗")
)</f>
        <v/>
      </c>
      <c r="X78" t="str" cm="1">
        <f t="array" aca="1" ref="X78" ca="1">IF(
    ISNUMBER(VALUE(LEFT($A78, 1))),
    "",
    IFERROR(IF(_xlfn.XLOOKUP($A78, INDIRECT("'" &amp; X$2 &amp; "'!$A:$A"), INDIRECT("'" &amp; X$2 &amp; "'!$B:$B"), "")&lt;&gt;"", "✓", "✗"), "✗")
)</f>
        <v/>
      </c>
      <c r="Y78" t="str" cm="1">
        <f t="array" aca="1" ref="Y78" ca="1">IF(
    ISNUMBER(VALUE(LEFT($A78, 1))),
    "",
    IFERROR(IF(_xlfn.XLOOKUP($A78, INDIRECT("'" &amp; Y$2 &amp; "'!$A:$A"), INDIRECT("'" &amp; Y$2 &amp; "'!$B:$B"), "")&lt;&gt;"", "✓", "✗"), "✗")
)</f>
        <v/>
      </c>
      <c r="Z78" t="str" cm="1">
        <f t="array" aca="1" ref="Z78" ca="1">IF(
    ISNUMBER(VALUE(LEFT($A78, 1))),
    "",
    IFERROR(IF(_xlfn.XLOOKUP($A78, INDIRECT("'" &amp; Z$2 &amp; "'!$A:$A"), INDIRECT("'" &amp; Z$2 &amp; "'!$B:$B"), "")&lt;&gt;"", "✓", "✗"), "✗")
)</f>
        <v/>
      </c>
      <c r="AA78" t="str" cm="1">
        <f t="array" aca="1" ref="AA78" ca="1">IF(
    ISNUMBER(VALUE(LEFT($A78, 1))),
    "",
    IFERROR(IF(_xlfn.XLOOKUP($A78, INDIRECT("'" &amp; AA$2 &amp; "'!$A:$A"), INDIRECT("'" &amp; AA$2 &amp; "'!$B:$B"), "")&lt;&gt;"", "✓", "✗"), "✗")
)</f>
        <v/>
      </c>
      <c r="AB78" t="str" cm="1">
        <f t="array" aca="1" ref="AB78" ca="1">IF(
    ISNUMBER(VALUE(LEFT($A78, 1))),
    "",
    IFERROR(IF(_xlfn.XLOOKUP($A78, INDIRECT("'" &amp; AB$2 &amp; "'!$A:$A"), INDIRECT("'" &amp; AB$2 &amp; "'!$B:$B"), "")&lt;&gt;"", "✓", "✗"), "✗")
)</f>
        <v/>
      </c>
      <c r="AC78" t="str" cm="1">
        <f t="array" aca="1" ref="AC78" ca="1">IF(
    ISNUMBER(VALUE(LEFT($A78, 1))),
    "",
    IFERROR(IF(_xlfn.XLOOKUP($A78, INDIRECT("'" &amp; AC$2 &amp; "'!$A:$A"), INDIRECT("'" &amp; AC$2 &amp; "'!$B:$B"), "")&lt;&gt;"", "✓", "✗"), "✗")
)</f>
        <v/>
      </c>
      <c r="AD78" t="str" cm="1">
        <f t="array" aca="1" ref="AD78" ca="1">IF(
    ISNUMBER(VALUE(LEFT($A78, 1))),
    "",
    IFERROR(IF(_xlfn.XLOOKUP($A78, INDIRECT("'" &amp; AD$2 &amp; "'!$A:$A"), INDIRECT("'" &amp; AD$2 &amp; "'!$B:$B"), "")&lt;&gt;"", "✓", "✗"), "✗")
)</f>
        <v/>
      </c>
      <c r="AE78" t="str" cm="1">
        <f t="array" aca="1" ref="AE78" ca="1">IF(
    ISNUMBER(VALUE(LEFT($A78, 1))),
    "",
    IFERROR(IF(_xlfn.XLOOKUP($A78, INDIRECT("'" &amp; AE$2 &amp; "'!$A:$A"), INDIRECT("'" &amp; AE$2 &amp; "'!$B:$B"), "")&lt;&gt;"", "✓", "✗"), "✗")
)</f>
        <v/>
      </c>
      <c r="AF78" t="str" cm="1">
        <f t="array" aca="1" ref="AF78" ca="1">IF(
    ISNUMBER(VALUE(LEFT($A78, 1))),
    "",
    IFERROR(IF(_xlfn.XLOOKUP($A78, INDIRECT("'" &amp; AF$2 &amp; "'!$A:$A"), INDIRECT("'" &amp; AF$2 &amp; "'!$B:$B"), "")&lt;&gt;"", "✓", "✗"), "✗")
)</f>
        <v/>
      </c>
      <c r="AG78" t="str" cm="1">
        <f t="array" aca="1" ref="AG78" ca="1">IF(
    ISNUMBER(VALUE(LEFT($A78, 1))),
    "",
    IFERROR(IF(_xlfn.XLOOKUP($A78, INDIRECT("'" &amp; AG$2 &amp; "'!$A:$A"), INDIRECT("'" &amp; AG$2 &amp; "'!$B:$B"), "")&lt;&gt;"", "✓", "✗"), "✗")
)</f>
        <v/>
      </c>
    </row>
    <row r="79" spans="1:33" x14ac:dyDescent="0.45">
      <c r="A79" t="str">
        <v>Event ID / EID</v>
      </c>
      <c r="B79" t="str" cm="1">
        <f t="array" aca="1" ref="B79" ca="1">IF(
    ISNUMBER(VALUE(LEFT($A79, 1))),
    "",
    IFERROR(IF(_xlfn.XLOOKUP($A79, INDIRECT("'" &amp; B$2 &amp; "'!$A:$A"), INDIRECT("'" &amp; B$2 &amp; "'!$B:$B"), "")&lt;&gt;"", "✓", "✗"), "✗")
)</f>
        <v>✗</v>
      </c>
      <c r="C79" t="str" cm="1">
        <f t="array" aca="1" ref="C79" ca="1">IF(
    ISNUMBER(VALUE(LEFT($A79, 1))),
    "",
    IFERROR(IF(_xlfn.XLOOKUP($A79, INDIRECT("'" &amp; C$2 &amp; "'!$A:$A"), INDIRECT("'" &amp; C$2 &amp; "'!$B:$B"), "")&lt;&gt;"", "✓", "✗"), "✗")
)</f>
        <v>✗</v>
      </c>
      <c r="D79" t="str" cm="1">
        <f t="array" aca="1" ref="D79" ca="1">IF(
    ISNUMBER(VALUE(LEFT($A79, 1))),
    "",
    IFERROR(IF(_xlfn.XLOOKUP($A79, INDIRECT("'" &amp; D$2 &amp; "'!$A:$A"), INDIRECT("'" &amp; D$2 &amp; "'!$B:$B"), "")&lt;&gt;"", "✓", "✗"), "✗")
)</f>
        <v>✗</v>
      </c>
      <c r="E79" t="str" cm="1">
        <f t="array" aca="1" ref="E79" ca="1">IF(
    ISNUMBER(VALUE(LEFT($A79, 1))),
    "",
    IFERROR(IF(_xlfn.XLOOKUP($A79, INDIRECT("'" &amp; E$2 &amp; "'!$A:$A"), INDIRECT("'" &amp; E$2 &amp; "'!$B:$B"), "")&lt;&gt;"", "✓", "✗"), "✗")
)</f>
        <v>✗</v>
      </c>
      <c r="F79" t="str" cm="1">
        <f t="array" aca="1" ref="F79" ca="1">IF(
    ISNUMBER(VALUE(LEFT($A79, 1))),
    "",
    IFERROR(IF(_xlfn.XLOOKUP($A79, INDIRECT("'" &amp; F$2 &amp; "'!$A:$A"), INDIRECT("'" &amp; F$2 &amp; "'!$B:$B"), "")&lt;&gt;"", "✓", "✗"), "✗")
)</f>
        <v>✗</v>
      </c>
      <c r="G79" t="str" cm="1">
        <f t="array" aca="1" ref="G79" ca="1">IF(
    ISNUMBER(VALUE(LEFT($A79, 1))),
    "",
    IFERROR(IF(_xlfn.XLOOKUP($A79, INDIRECT("'" &amp; G$2 &amp; "'!$A:$A"), INDIRECT("'" &amp; G$2 &amp; "'!$B:$B"), "")&lt;&gt;"", "✓", "✗"), "✗")
)</f>
        <v>✓</v>
      </c>
      <c r="H79" t="str" cm="1">
        <f t="array" aca="1" ref="H79" ca="1">IF(
    ISNUMBER(VALUE(LEFT($A79, 1))),
    "",
    IFERROR(IF(_xlfn.XLOOKUP($A79, INDIRECT("'" &amp; H$2 &amp; "'!$A:$A"), INDIRECT("'" &amp; H$2 &amp; "'!$B:$B"), "")&lt;&gt;"", "✓", "✗"), "✗")
)</f>
        <v>✓</v>
      </c>
      <c r="I79" t="str" cm="1">
        <f t="array" aca="1" ref="I79" ca="1">IF(
    ISNUMBER(VALUE(LEFT($A79, 1))),
    "",
    IFERROR(IF(_xlfn.XLOOKUP($A79, INDIRECT("'" &amp; I$2 &amp; "'!$A:$A"), INDIRECT("'" &amp; I$2 &amp; "'!$B:$B"), "")&lt;&gt;"", "✓", "✗"), "✗")
)</f>
        <v>✗</v>
      </c>
      <c r="J79" t="str" cm="1">
        <f t="array" aca="1" ref="J79" ca="1">IF(
    ISNUMBER(VALUE(LEFT($A79, 1))),
    "",
    IFERROR(IF(_xlfn.XLOOKUP($A79, INDIRECT("'" &amp; J$2 &amp; "'!$A:$A"), INDIRECT("'" &amp; J$2 &amp; "'!$B:$B"), "")&lt;&gt;"", "✓", "✗"), "✗")
)</f>
        <v>✗</v>
      </c>
      <c r="K79" t="str" cm="1">
        <f t="array" aca="1" ref="K79" ca="1">IF(
    ISNUMBER(VALUE(LEFT($A79, 1))),
    "",
    IFERROR(IF(_xlfn.XLOOKUP($A79, INDIRECT("'" &amp; K$2 &amp; "'!$A:$A"), INDIRECT("'" &amp; K$2 &amp; "'!$B:$B"), "")&lt;&gt;"", "✓", "✗"), "✗")
)</f>
        <v>✓</v>
      </c>
      <c r="L79" t="str" cm="1">
        <f t="array" aca="1" ref="L79" ca="1">IF(
    ISNUMBER(VALUE(LEFT($A79, 1))),
    "",
    IFERROR(IF(_xlfn.XLOOKUP($A79, INDIRECT("'" &amp; L$2 &amp; "'!$A:$A"), INDIRECT("'" &amp; L$2 &amp; "'!$B:$B"), "")&lt;&gt;"", "✓", "✗"), "✗")
)</f>
        <v>✓</v>
      </c>
      <c r="M79" t="str" cm="1">
        <f t="array" aca="1" ref="M79" ca="1">IF(
    ISNUMBER(VALUE(LEFT($A79, 1))),
    "",
    IFERROR(IF(_xlfn.XLOOKUP($A79, INDIRECT("'" &amp; M$2 &amp; "'!$A:$A"), INDIRECT("'" &amp; M$2 &amp; "'!$B:$B"), "")&lt;&gt;"", "✓", "✗"), "✗")
)</f>
        <v>✓</v>
      </c>
      <c r="N79" t="str" cm="1">
        <f t="array" aca="1" ref="N79" ca="1">IF(
    ISNUMBER(VALUE(LEFT($A79, 1))),
    "",
    IFERROR(IF(_xlfn.XLOOKUP($A79, INDIRECT("'" &amp; N$2 &amp; "'!$A:$A"), INDIRECT("'" &amp; N$2 &amp; "'!$B:$B"), "")&lt;&gt;"", "✓", "✗"), "✗")
)</f>
        <v>✓</v>
      </c>
      <c r="O79" t="str" cm="1">
        <f t="array" aca="1" ref="O79" ca="1">IF(
    ISNUMBER(VALUE(LEFT($A79, 1))),
    "",
    IFERROR(IF(_xlfn.XLOOKUP($A79, INDIRECT("'" &amp; O$2 &amp; "'!$A:$A"), INDIRECT("'" &amp; O$2 &amp; "'!$B:$B"), "")&lt;&gt;"", "✓", "✗"), "✗")
)</f>
        <v>✓</v>
      </c>
      <c r="P79" t="str" cm="1">
        <f t="array" aca="1" ref="P79" ca="1">IF(
    ISNUMBER(VALUE(LEFT($A79, 1))),
    "",
    IFERROR(IF(_xlfn.XLOOKUP($A79, INDIRECT("'" &amp; P$2 &amp; "'!$A:$A"), INDIRECT("'" &amp; P$2 &amp; "'!$B:$B"), "")&lt;&gt;"", "✓", "✗"), "✗")
)</f>
        <v>✓</v>
      </c>
      <c r="Q79" t="str" cm="1">
        <f t="array" aca="1" ref="Q79" ca="1">IF(
    ISNUMBER(VALUE(LEFT($A79, 1))),
    "",
    IFERROR(IF(_xlfn.XLOOKUP($A79, INDIRECT("'" &amp; Q$2 &amp; "'!$A:$A"), INDIRECT("'" &amp; Q$2 &amp; "'!$B:$B"), "")&lt;&gt;"", "✓", "✗"), "✗")
)</f>
        <v>✓</v>
      </c>
      <c r="R79" t="str" cm="1">
        <f t="array" aca="1" ref="R79" ca="1">IF(
    ISNUMBER(VALUE(LEFT($A79, 1))),
    "",
    IFERROR(IF(_xlfn.XLOOKUP($A79, INDIRECT("'" &amp; R$2 &amp; "'!$A:$A"), INDIRECT("'" &amp; R$2 &amp; "'!$B:$B"), "")&lt;&gt;"", "✓", "✗"), "✗")
)</f>
        <v>✓</v>
      </c>
      <c r="S79" t="str" cm="1">
        <f t="array" aca="1" ref="S79" ca="1">IF(
    ISNUMBER(VALUE(LEFT($A79, 1))),
    "",
    IFERROR(IF(_xlfn.XLOOKUP($A79, INDIRECT("'" &amp; S$2 &amp; "'!$A:$A"), INDIRECT("'" &amp; S$2 &amp; "'!$B:$B"), "")&lt;&gt;"", "✓", "✗"), "✗")
)</f>
        <v>✓</v>
      </c>
      <c r="T79" t="str" cm="1">
        <f t="array" aca="1" ref="T79" ca="1">IF(
    ISNUMBER(VALUE(LEFT($A79, 1))),
    "",
    IFERROR(IF(_xlfn.XLOOKUP($A79, INDIRECT("'" &amp; T$2 &amp; "'!$A:$A"), INDIRECT("'" &amp; T$2 &amp; "'!$B:$B"), "")&lt;&gt;"", "✓", "✗"), "✗")
)</f>
        <v>✓</v>
      </c>
      <c r="U79" t="str" cm="1">
        <f t="array" aca="1" ref="U79" ca="1">IF(
    ISNUMBER(VALUE(LEFT($A79, 1))),
    "",
    IFERROR(IF(_xlfn.XLOOKUP($A79, INDIRECT("'" &amp; U$2 &amp; "'!$A:$A"), INDIRECT("'" &amp; U$2 &amp; "'!$B:$B"), "")&lt;&gt;"", "✓", "✗"), "✗")
)</f>
        <v>✓</v>
      </c>
      <c r="V79" t="str" cm="1">
        <f t="array" aca="1" ref="V79" ca="1">IF(
    ISNUMBER(VALUE(LEFT($A79, 1))),
    "",
    IFERROR(IF(_xlfn.XLOOKUP($A79, INDIRECT("'" &amp; V$2 &amp; "'!$A:$A"), INDIRECT("'" &amp; V$2 &amp; "'!$B:$B"), "")&lt;&gt;"", "✓", "✗"), "✗")
)</f>
        <v>✓</v>
      </c>
      <c r="W79" t="str" cm="1">
        <f t="array" aca="1" ref="W79" ca="1">IF(
    ISNUMBER(VALUE(LEFT($A79, 1))),
    "",
    IFERROR(IF(_xlfn.XLOOKUP($A79, INDIRECT("'" &amp; W$2 &amp; "'!$A:$A"), INDIRECT("'" &amp; W$2 &amp; "'!$B:$B"), "")&lt;&gt;"", "✓", "✗"), "✗")
)</f>
        <v>✓</v>
      </c>
      <c r="X79" t="str" cm="1">
        <f t="array" aca="1" ref="X79" ca="1">IF(
    ISNUMBER(VALUE(LEFT($A79, 1))),
    "",
    IFERROR(IF(_xlfn.XLOOKUP($A79, INDIRECT("'" &amp; X$2 &amp; "'!$A:$A"), INDIRECT("'" &amp; X$2 &amp; "'!$B:$B"), "")&lt;&gt;"", "✓", "✗"), "✗")
)</f>
        <v>✓</v>
      </c>
      <c r="Y79" t="str" cm="1">
        <f t="array" aca="1" ref="Y79" ca="1">IF(
    ISNUMBER(VALUE(LEFT($A79, 1))),
    "",
    IFERROR(IF(_xlfn.XLOOKUP($A79, INDIRECT("'" &amp; Y$2 &amp; "'!$A:$A"), INDIRECT("'" &amp; Y$2 &amp; "'!$B:$B"), "")&lt;&gt;"", "✓", "✗"), "✗")
)</f>
        <v>✓</v>
      </c>
      <c r="Z79" t="str" cm="1">
        <f t="array" aca="1" ref="Z79" ca="1">IF(
    ISNUMBER(VALUE(LEFT($A79, 1))),
    "",
    IFERROR(IF(_xlfn.XLOOKUP($A79, INDIRECT("'" &amp; Z$2 &amp; "'!$A:$A"), INDIRECT("'" &amp; Z$2 &amp; "'!$B:$B"), "")&lt;&gt;"", "✓", "✗"), "✗")
)</f>
        <v>✓</v>
      </c>
      <c r="AA79" t="str" cm="1">
        <f t="array" aca="1" ref="AA79" ca="1">IF(
    ISNUMBER(VALUE(LEFT($A79, 1))),
    "",
    IFERROR(IF(_xlfn.XLOOKUP($A79, INDIRECT("'" &amp; AA$2 &amp; "'!$A:$A"), INDIRECT("'" &amp; AA$2 &amp; "'!$B:$B"), "")&lt;&gt;"", "✓", "✗"), "✗")
)</f>
        <v>✓</v>
      </c>
      <c r="AB79" t="str" cm="1">
        <f t="array" aca="1" ref="AB79" ca="1">IF(
    ISNUMBER(VALUE(LEFT($A79, 1))),
    "",
    IFERROR(IF(_xlfn.XLOOKUP($A79, INDIRECT("'" &amp; AB$2 &amp; "'!$A:$A"), INDIRECT("'" &amp; AB$2 &amp; "'!$B:$B"), "")&lt;&gt;"", "✓", "✗"), "✗")
)</f>
        <v>✓</v>
      </c>
      <c r="AC79" t="str" cm="1">
        <f t="array" aca="1" ref="AC79" ca="1">IF(
    ISNUMBER(VALUE(LEFT($A79, 1))),
    "",
    IFERROR(IF(_xlfn.XLOOKUP($A79, INDIRECT("'" &amp; AC$2 &amp; "'!$A:$A"), INDIRECT("'" &amp; AC$2 &amp; "'!$B:$B"), "")&lt;&gt;"", "✓", "✗"), "✗")
)</f>
        <v>✗</v>
      </c>
      <c r="AD79" t="str" cm="1">
        <f t="array" aca="1" ref="AD79" ca="1">IF(
    ISNUMBER(VALUE(LEFT($A79, 1))),
    "",
    IFERROR(IF(_xlfn.XLOOKUP($A79, INDIRECT("'" &amp; AD$2 &amp; "'!$A:$A"), INDIRECT("'" &amp; AD$2 &amp; "'!$B:$B"), "")&lt;&gt;"", "✓", "✗"), "✗")
)</f>
        <v>✗</v>
      </c>
      <c r="AE79" t="str" cm="1">
        <f t="array" aca="1" ref="AE79" ca="1">IF(
    ISNUMBER(VALUE(LEFT($A79, 1))),
    "",
    IFERROR(IF(_xlfn.XLOOKUP($A79, INDIRECT("'" &amp; AE$2 &amp; "'!$A:$A"), INDIRECT("'" &amp; AE$2 &amp; "'!$B:$B"), "")&lt;&gt;"", "✓", "✗"), "✗")
)</f>
        <v>✓</v>
      </c>
      <c r="AF79" t="str" cm="1">
        <f t="array" aca="1" ref="AF79" ca="1">IF(
    ISNUMBER(VALUE(LEFT($A79, 1))),
    "",
    IFERROR(IF(_xlfn.XLOOKUP($A79, INDIRECT("'" &amp; AF$2 &amp; "'!$A:$A"), INDIRECT("'" &amp; AF$2 &amp; "'!$B:$B"), "")&lt;&gt;"", "✓", "✗"), "✗")
)</f>
        <v>✓</v>
      </c>
      <c r="AG79" t="str" cm="1">
        <f t="array" aca="1" ref="AG79" ca="1">IF(
    ISNUMBER(VALUE(LEFT($A79, 1))),
    "",
    IFERROR(IF(_xlfn.XLOOKUP($A79, INDIRECT("'" &amp; AG$2 &amp; "'!$A:$A"), INDIRECT("'" &amp; AG$2 &amp; "'!$B:$B"), "")&lt;&gt;"", "✓", "✗"), "✗")
)</f>
        <v>✓</v>
      </c>
    </row>
    <row r="80" spans="1:33" x14ac:dyDescent="0.45">
      <c r="A80" t="str">
        <v>Event Name</v>
      </c>
      <c r="B80" t="str" cm="1">
        <f t="array" aca="1" ref="B80" ca="1">IF(
    ISNUMBER(VALUE(LEFT($A80, 1))),
    "",
    IFERROR(IF(_xlfn.XLOOKUP($A80, INDIRECT("'" &amp; B$2 &amp; "'!$A:$A"), INDIRECT("'" &amp; B$2 &amp; "'!$B:$B"), "")&lt;&gt;"", "✓", "✗"), "✗")
)</f>
        <v>✗</v>
      </c>
      <c r="C80" t="str" cm="1">
        <f t="array" aca="1" ref="C80" ca="1">IF(
    ISNUMBER(VALUE(LEFT($A80, 1))),
    "",
    IFERROR(IF(_xlfn.XLOOKUP($A80, INDIRECT("'" &amp; C$2 &amp; "'!$A:$A"), INDIRECT("'" &amp; C$2 &amp; "'!$B:$B"), "")&lt;&gt;"", "✓", "✗"), "✗")
)</f>
        <v>✗</v>
      </c>
      <c r="D80" t="str" cm="1">
        <f t="array" aca="1" ref="D80" ca="1">IF(
    ISNUMBER(VALUE(LEFT($A80, 1))),
    "",
    IFERROR(IF(_xlfn.XLOOKUP($A80, INDIRECT("'" &amp; D$2 &amp; "'!$A:$A"), INDIRECT("'" &amp; D$2 &amp; "'!$B:$B"), "")&lt;&gt;"", "✓", "✗"), "✗")
)</f>
        <v>✗</v>
      </c>
      <c r="E80" t="str" cm="1">
        <f t="array" aca="1" ref="E80" ca="1">IF(
    ISNUMBER(VALUE(LEFT($A80, 1))),
    "",
    IFERROR(IF(_xlfn.XLOOKUP($A80, INDIRECT("'" &amp; E$2 &amp; "'!$A:$A"), INDIRECT("'" &amp; E$2 &amp; "'!$B:$B"), "")&lt;&gt;"", "✓", "✗"), "✗")
)</f>
        <v>✗</v>
      </c>
      <c r="F80" t="str" cm="1">
        <f t="array" aca="1" ref="F80" ca="1">IF(
    ISNUMBER(VALUE(LEFT($A80, 1))),
    "",
    IFERROR(IF(_xlfn.XLOOKUP($A80, INDIRECT("'" &amp; F$2 &amp; "'!$A:$A"), INDIRECT("'" &amp; F$2 &amp; "'!$B:$B"), "")&lt;&gt;"", "✓", "✗"), "✗")
)</f>
        <v>✗</v>
      </c>
      <c r="G80" t="str" cm="1">
        <f t="array" aca="1" ref="G80" ca="1">IF(
    ISNUMBER(VALUE(LEFT($A80, 1))),
    "",
    IFERROR(IF(_xlfn.XLOOKUP($A80, INDIRECT("'" &amp; G$2 &amp; "'!$A:$A"), INDIRECT("'" &amp; G$2 &amp; "'!$B:$B"), "")&lt;&gt;"", "✓", "✗"), "✗")
)</f>
        <v>✓</v>
      </c>
      <c r="H80" t="str" cm="1">
        <f t="array" aca="1" ref="H80" ca="1">IF(
    ISNUMBER(VALUE(LEFT($A80, 1))),
    "",
    IFERROR(IF(_xlfn.XLOOKUP($A80, INDIRECT("'" &amp; H$2 &amp; "'!$A:$A"), INDIRECT("'" &amp; H$2 &amp; "'!$B:$B"), "")&lt;&gt;"", "✓", "✗"), "✗")
)</f>
        <v>✓</v>
      </c>
      <c r="I80" t="str" cm="1">
        <f t="array" aca="1" ref="I80" ca="1">IF(
    ISNUMBER(VALUE(LEFT($A80, 1))),
    "",
    IFERROR(IF(_xlfn.XLOOKUP($A80, INDIRECT("'" &amp; I$2 &amp; "'!$A:$A"), INDIRECT("'" &amp; I$2 &amp; "'!$B:$B"), "")&lt;&gt;"", "✓", "✗"), "✗")
)</f>
        <v>✗</v>
      </c>
      <c r="J80" t="str" cm="1">
        <f t="array" aca="1" ref="J80" ca="1">IF(
    ISNUMBER(VALUE(LEFT($A80, 1))),
    "",
    IFERROR(IF(_xlfn.XLOOKUP($A80, INDIRECT("'" &amp; J$2 &amp; "'!$A:$A"), INDIRECT("'" &amp; J$2 &amp; "'!$B:$B"), "")&lt;&gt;"", "✓", "✗"), "✗")
)</f>
        <v>✗</v>
      </c>
      <c r="K80" t="str" cm="1">
        <f t="array" aca="1" ref="K80" ca="1">IF(
    ISNUMBER(VALUE(LEFT($A80, 1))),
    "",
    IFERROR(IF(_xlfn.XLOOKUP($A80, INDIRECT("'" &amp; K$2 &amp; "'!$A:$A"), INDIRECT("'" &amp; K$2 &amp; "'!$B:$B"), "")&lt;&gt;"", "✓", "✗"), "✗")
)</f>
        <v>✓</v>
      </c>
      <c r="L80" t="str" cm="1">
        <f t="array" aca="1" ref="L80" ca="1">IF(
    ISNUMBER(VALUE(LEFT($A80, 1))),
    "",
    IFERROR(IF(_xlfn.XLOOKUP($A80, INDIRECT("'" &amp; L$2 &amp; "'!$A:$A"), INDIRECT("'" &amp; L$2 &amp; "'!$B:$B"), "")&lt;&gt;"", "✓", "✗"), "✗")
)</f>
        <v>✓</v>
      </c>
      <c r="M80" t="str" cm="1">
        <f t="array" aca="1" ref="M80" ca="1">IF(
    ISNUMBER(VALUE(LEFT($A80, 1))),
    "",
    IFERROR(IF(_xlfn.XLOOKUP($A80, INDIRECT("'" &amp; M$2 &amp; "'!$A:$A"), INDIRECT("'" &amp; M$2 &amp; "'!$B:$B"), "")&lt;&gt;"", "✓", "✗"), "✗")
)</f>
        <v>✓</v>
      </c>
      <c r="N80" t="str" cm="1">
        <f t="array" aca="1" ref="N80" ca="1">IF(
    ISNUMBER(VALUE(LEFT($A80, 1))),
    "",
    IFERROR(IF(_xlfn.XLOOKUP($A80, INDIRECT("'" &amp; N$2 &amp; "'!$A:$A"), INDIRECT("'" &amp; N$2 &amp; "'!$B:$B"), "")&lt;&gt;"", "✓", "✗"), "✗")
)</f>
        <v>✓</v>
      </c>
      <c r="O80" t="str" cm="1">
        <f t="array" aca="1" ref="O80" ca="1">IF(
    ISNUMBER(VALUE(LEFT($A80, 1))),
    "",
    IFERROR(IF(_xlfn.XLOOKUP($A80, INDIRECT("'" &amp; O$2 &amp; "'!$A:$A"), INDIRECT("'" &amp; O$2 &amp; "'!$B:$B"), "")&lt;&gt;"", "✓", "✗"), "✗")
)</f>
        <v>✓</v>
      </c>
      <c r="P80" t="str" cm="1">
        <f t="array" aca="1" ref="P80" ca="1">IF(
    ISNUMBER(VALUE(LEFT($A80, 1))),
    "",
    IFERROR(IF(_xlfn.XLOOKUP($A80, INDIRECT("'" &amp; P$2 &amp; "'!$A:$A"), INDIRECT("'" &amp; P$2 &amp; "'!$B:$B"), "")&lt;&gt;"", "✓", "✗"), "✗")
)</f>
        <v>✓</v>
      </c>
      <c r="Q80" t="str" cm="1">
        <f t="array" aca="1" ref="Q80" ca="1">IF(
    ISNUMBER(VALUE(LEFT($A80, 1))),
    "",
    IFERROR(IF(_xlfn.XLOOKUP($A80, INDIRECT("'" &amp; Q$2 &amp; "'!$A:$A"), INDIRECT("'" &amp; Q$2 &amp; "'!$B:$B"), "")&lt;&gt;"", "✓", "✗"), "✗")
)</f>
        <v>✓</v>
      </c>
      <c r="R80" t="str" cm="1">
        <f t="array" aca="1" ref="R80" ca="1">IF(
    ISNUMBER(VALUE(LEFT($A80, 1))),
    "",
    IFERROR(IF(_xlfn.XLOOKUP($A80, INDIRECT("'" &amp; R$2 &amp; "'!$A:$A"), INDIRECT("'" &amp; R$2 &amp; "'!$B:$B"), "")&lt;&gt;"", "✓", "✗"), "✗")
)</f>
        <v>✓</v>
      </c>
      <c r="S80" t="str" cm="1">
        <f t="array" aca="1" ref="S80" ca="1">IF(
    ISNUMBER(VALUE(LEFT($A80, 1))),
    "",
    IFERROR(IF(_xlfn.XLOOKUP($A80, INDIRECT("'" &amp; S$2 &amp; "'!$A:$A"), INDIRECT("'" &amp; S$2 &amp; "'!$B:$B"), "")&lt;&gt;"", "✓", "✗"), "✗")
)</f>
        <v>✓</v>
      </c>
      <c r="T80" t="str" cm="1">
        <f t="array" aca="1" ref="T80" ca="1">IF(
    ISNUMBER(VALUE(LEFT($A80, 1))),
    "",
    IFERROR(IF(_xlfn.XLOOKUP($A80, INDIRECT("'" &amp; T$2 &amp; "'!$A:$A"), INDIRECT("'" &amp; T$2 &amp; "'!$B:$B"), "")&lt;&gt;"", "✓", "✗"), "✗")
)</f>
        <v>✓</v>
      </c>
      <c r="U80" t="str" cm="1">
        <f t="array" aca="1" ref="U80" ca="1">IF(
    ISNUMBER(VALUE(LEFT($A80, 1))),
    "",
    IFERROR(IF(_xlfn.XLOOKUP($A80, INDIRECT("'" &amp; U$2 &amp; "'!$A:$A"), INDIRECT("'" &amp; U$2 &amp; "'!$B:$B"), "")&lt;&gt;"", "✓", "✗"), "✗")
)</f>
        <v>✓</v>
      </c>
      <c r="V80" t="str" cm="1">
        <f t="array" aca="1" ref="V80" ca="1">IF(
    ISNUMBER(VALUE(LEFT($A80, 1))),
    "",
    IFERROR(IF(_xlfn.XLOOKUP($A80, INDIRECT("'" &amp; V$2 &amp; "'!$A:$A"), INDIRECT("'" &amp; V$2 &amp; "'!$B:$B"), "")&lt;&gt;"", "✓", "✗"), "✗")
)</f>
        <v>✓</v>
      </c>
      <c r="W80" t="str" cm="1">
        <f t="array" aca="1" ref="W80" ca="1">IF(
    ISNUMBER(VALUE(LEFT($A80, 1))),
    "",
    IFERROR(IF(_xlfn.XLOOKUP($A80, INDIRECT("'" &amp; W$2 &amp; "'!$A:$A"), INDIRECT("'" &amp; W$2 &amp; "'!$B:$B"), "")&lt;&gt;"", "✓", "✗"), "✗")
)</f>
        <v>✓</v>
      </c>
      <c r="X80" t="str" cm="1">
        <f t="array" aca="1" ref="X80" ca="1">IF(
    ISNUMBER(VALUE(LEFT($A80, 1))),
    "",
    IFERROR(IF(_xlfn.XLOOKUP($A80, INDIRECT("'" &amp; X$2 &amp; "'!$A:$A"), INDIRECT("'" &amp; X$2 &amp; "'!$B:$B"), "")&lt;&gt;"", "✓", "✗"), "✗")
)</f>
        <v>✓</v>
      </c>
      <c r="Y80" t="str" cm="1">
        <f t="array" aca="1" ref="Y80" ca="1">IF(
    ISNUMBER(VALUE(LEFT($A80, 1))),
    "",
    IFERROR(IF(_xlfn.XLOOKUP($A80, INDIRECT("'" &amp; Y$2 &amp; "'!$A:$A"), INDIRECT("'" &amp; Y$2 &amp; "'!$B:$B"), "")&lt;&gt;"", "✓", "✗"), "✗")
)</f>
        <v>✓</v>
      </c>
      <c r="Z80" t="str" cm="1">
        <f t="array" aca="1" ref="Z80" ca="1">IF(
    ISNUMBER(VALUE(LEFT($A80, 1))),
    "",
    IFERROR(IF(_xlfn.XLOOKUP($A80, INDIRECT("'" &amp; Z$2 &amp; "'!$A:$A"), INDIRECT("'" &amp; Z$2 &amp; "'!$B:$B"), "")&lt;&gt;"", "✓", "✗"), "✗")
)</f>
        <v>✓</v>
      </c>
      <c r="AA80" t="str" cm="1">
        <f t="array" aca="1" ref="AA80" ca="1">IF(
    ISNUMBER(VALUE(LEFT($A80, 1))),
    "",
    IFERROR(IF(_xlfn.XLOOKUP($A80, INDIRECT("'" &amp; AA$2 &amp; "'!$A:$A"), INDIRECT("'" &amp; AA$2 &amp; "'!$B:$B"), "")&lt;&gt;"", "✓", "✗"), "✗")
)</f>
        <v>✓</v>
      </c>
      <c r="AB80" t="str" cm="1">
        <f t="array" aca="1" ref="AB80" ca="1">IF(
    ISNUMBER(VALUE(LEFT($A80, 1))),
    "",
    IFERROR(IF(_xlfn.XLOOKUP($A80, INDIRECT("'" &amp; AB$2 &amp; "'!$A:$A"), INDIRECT("'" &amp; AB$2 &amp; "'!$B:$B"), "")&lt;&gt;"", "✓", "✗"), "✗")
)</f>
        <v>✓</v>
      </c>
      <c r="AC80" t="str" cm="1">
        <f t="array" aca="1" ref="AC80" ca="1">IF(
    ISNUMBER(VALUE(LEFT($A80, 1))),
    "",
    IFERROR(IF(_xlfn.XLOOKUP($A80, INDIRECT("'" &amp; AC$2 &amp; "'!$A:$A"), INDIRECT("'" &amp; AC$2 &amp; "'!$B:$B"), "")&lt;&gt;"", "✓", "✗"), "✗")
)</f>
        <v>✗</v>
      </c>
      <c r="AD80" t="str" cm="1">
        <f t="array" aca="1" ref="AD80" ca="1">IF(
    ISNUMBER(VALUE(LEFT($A80, 1))),
    "",
    IFERROR(IF(_xlfn.XLOOKUP($A80, INDIRECT("'" &amp; AD$2 &amp; "'!$A:$A"), INDIRECT("'" &amp; AD$2 &amp; "'!$B:$B"), "")&lt;&gt;"", "✓", "✗"), "✗")
)</f>
        <v>✗</v>
      </c>
      <c r="AE80" t="str" cm="1">
        <f t="array" aca="1" ref="AE80" ca="1">IF(
    ISNUMBER(VALUE(LEFT($A80, 1))),
    "",
    IFERROR(IF(_xlfn.XLOOKUP($A80, INDIRECT("'" &amp; AE$2 &amp; "'!$A:$A"), INDIRECT("'" &amp; AE$2 &amp; "'!$B:$B"), "")&lt;&gt;"", "✓", "✗"), "✗")
)</f>
        <v>✓</v>
      </c>
      <c r="AF80" t="str" cm="1">
        <f t="array" aca="1" ref="AF80" ca="1">IF(
    ISNUMBER(VALUE(LEFT($A80, 1))),
    "",
    IFERROR(IF(_xlfn.XLOOKUP($A80, INDIRECT("'" &amp; AF$2 &amp; "'!$A:$A"), INDIRECT("'" &amp; AF$2 &amp; "'!$B:$B"), "")&lt;&gt;"", "✓", "✗"), "✗")
)</f>
        <v>✓</v>
      </c>
      <c r="AG80" t="str" cm="1">
        <f t="array" aca="1" ref="AG80" ca="1">IF(
    ISNUMBER(VALUE(LEFT($A80, 1))),
    "",
    IFERROR(IF(_xlfn.XLOOKUP($A80, INDIRECT("'" &amp; AG$2 &amp; "'!$A:$A"), INDIRECT("'" &amp; AG$2 &amp; "'!$B:$B"), "")&lt;&gt;"", "✓", "✗"), "✗")
)</f>
        <v>✓</v>
      </c>
    </row>
    <row r="81" spans="1:33" x14ac:dyDescent="0.45">
      <c r="A81" t="str">
        <v>Event Start Date</v>
      </c>
      <c r="B81" t="str" cm="1">
        <f t="array" aca="1" ref="B81" ca="1">IF(
    ISNUMBER(VALUE(LEFT($A81, 1))),
    "",
    IFERROR(IF(_xlfn.XLOOKUP($A81, INDIRECT("'" &amp; B$2 &amp; "'!$A:$A"), INDIRECT("'" &amp; B$2 &amp; "'!$B:$B"), "")&lt;&gt;"", "✓", "✗"), "✗")
)</f>
        <v>✗</v>
      </c>
      <c r="C81" t="str" cm="1">
        <f t="array" aca="1" ref="C81" ca="1">IF(
    ISNUMBER(VALUE(LEFT($A81, 1))),
    "",
    IFERROR(IF(_xlfn.XLOOKUP($A81, INDIRECT("'" &amp; C$2 &amp; "'!$A:$A"), INDIRECT("'" &amp; C$2 &amp; "'!$B:$B"), "")&lt;&gt;"", "✓", "✗"), "✗")
)</f>
        <v>✗</v>
      </c>
      <c r="D81" t="str" cm="1">
        <f t="array" aca="1" ref="D81" ca="1">IF(
    ISNUMBER(VALUE(LEFT($A81, 1))),
    "",
    IFERROR(IF(_xlfn.XLOOKUP($A81, INDIRECT("'" &amp; D$2 &amp; "'!$A:$A"), INDIRECT("'" &amp; D$2 &amp; "'!$B:$B"), "")&lt;&gt;"", "✓", "✗"), "✗")
)</f>
        <v>✗</v>
      </c>
      <c r="E81" t="str" cm="1">
        <f t="array" aca="1" ref="E81" ca="1">IF(
    ISNUMBER(VALUE(LEFT($A81, 1))),
    "",
    IFERROR(IF(_xlfn.XLOOKUP($A81, INDIRECT("'" &amp; E$2 &amp; "'!$A:$A"), INDIRECT("'" &amp; E$2 &amp; "'!$B:$B"), "")&lt;&gt;"", "✓", "✗"), "✗")
)</f>
        <v>✗</v>
      </c>
      <c r="F81" t="str" cm="1">
        <f t="array" aca="1" ref="F81" ca="1">IF(
    ISNUMBER(VALUE(LEFT($A81, 1))),
    "",
    IFERROR(IF(_xlfn.XLOOKUP($A81, INDIRECT("'" &amp; F$2 &amp; "'!$A:$A"), INDIRECT("'" &amp; F$2 &amp; "'!$B:$B"), "")&lt;&gt;"", "✓", "✗"), "✗")
)</f>
        <v>✗</v>
      </c>
      <c r="G81" t="str" cm="1">
        <f t="array" aca="1" ref="G81" ca="1">IF(
    ISNUMBER(VALUE(LEFT($A81, 1))),
    "",
    IFERROR(IF(_xlfn.XLOOKUP($A81, INDIRECT("'" &amp; G$2 &amp; "'!$A:$A"), INDIRECT("'" &amp; G$2 &amp; "'!$B:$B"), "")&lt;&gt;"", "✓", "✗"), "✗")
)</f>
        <v>✓</v>
      </c>
      <c r="H81" t="str" cm="1">
        <f t="array" aca="1" ref="H81" ca="1">IF(
    ISNUMBER(VALUE(LEFT($A81, 1))),
    "",
    IFERROR(IF(_xlfn.XLOOKUP($A81, INDIRECT("'" &amp; H$2 &amp; "'!$A:$A"), INDIRECT("'" &amp; H$2 &amp; "'!$B:$B"), "")&lt;&gt;"", "✓", "✗"), "✗")
)</f>
        <v>✓</v>
      </c>
      <c r="I81" t="str" cm="1">
        <f t="array" aca="1" ref="I81" ca="1">IF(
    ISNUMBER(VALUE(LEFT($A81, 1))),
    "",
    IFERROR(IF(_xlfn.XLOOKUP($A81, INDIRECT("'" &amp; I$2 &amp; "'!$A:$A"), INDIRECT("'" &amp; I$2 &amp; "'!$B:$B"), "")&lt;&gt;"", "✓", "✗"), "✗")
)</f>
        <v>✗</v>
      </c>
      <c r="J81" t="str" cm="1">
        <f t="array" aca="1" ref="J81" ca="1">IF(
    ISNUMBER(VALUE(LEFT($A81, 1))),
    "",
    IFERROR(IF(_xlfn.XLOOKUP($A81, INDIRECT("'" &amp; J$2 &amp; "'!$A:$A"), INDIRECT("'" &amp; J$2 &amp; "'!$B:$B"), "")&lt;&gt;"", "✓", "✗"), "✗")
)</f>
        <v>✗</v>
      </c>
      <c r="K81" t="str" cm="1">
        <f t="array" aca="1" ref="K81" ca="1">IF(
    ISNUMBER(VALUE(LEFT($A81, 1))),
    "",
    IFERROR(IF(_xlfn.XLOOKUP($A81, INDIRECT("'" &amp; K$2 &amp; "'!$A:$A"), INDIRECT("'" &amp; K$2 &amp; "'!$B:$B"), "")&lt;&gt;"", "✓", "✗"), "✗")
)</f>
        <v>✓</v>
      </c>
      <c r="L81" t="str" cm="1">
        <f t="array" aca="1" ref="L81" ca="1">IF(
    ISNUMBER(VALUE(LEFT($A81, 1))),
    "",
    IFERROR(IF(_xlfn.XLOOKUP($A81, INDIRECT("'" &amp; L$2 &amp; "'!$A:$A"), INDIRECT("'" &amp; L$2 &amp; "'!$B:$B"), "")&lt;&gt;"", "✓", "✗"), "✗")
)</f>
        <v>✓</v>
      </c>
      <c r="M81" t="str" cm="1">
        <f t="array" aca="1" ref="M81" ca="1">IF(
    ISNUMBER(VALUE(LEFT($A81, 1))),
    "",
    IFERROR(IF(_xlfn.XLOOKUP($A81, INDIRECT("'" &amp; M$2 &amp; "'!$A:$A"), INDIRECT("'" &amp; M$2 &amp; "'!$B:$B"), "")&lt;&gt;"", "✓", "✗"), "✗")
)</f>
        <v>✓</v>
      </c>
      <c r="N81" t="str" cm="1">
        <f t="array" aca="1" ref="N81" ca="1">IF(
    ISNUMBER(VALUE(LEFT($A81, 1))),
    "",
    IFERROR(IF(_xlfn.XLOOKUP($A81, INDIRECT("'" &amp; N$2 &amp; "'!$A:$A"), INDIRECT("'" &amp; N$2 &amp; "'!$B:$B"), "")&lt;&gt;"", "✓", "✗"), "✗")
)</f>
        <v>✓</v>
      </c>
      <c r="O81" t="str" cm="1">
        <f t="array" aca="1" ref="O81" ca="1">IF(
    ISNUMBER(VALUE(LEFT($A81, 1))),
    "",
    IFERROR(IF(_xlfn.XLOOKUP($A81, INDIRECT("'" &amp; O$2 &amp; "'!$A:$A"), INDIRECT("'" &amp; O$2 &amp; "'!$B:$B"), "")&lt;&gt;"", "✓", "✗"), "✗")
)</f>
        <v>✓</v>
      </c>
      <c r="P81" t="str" cm="1">
        <f t="array" aca="1" ref="P81" ca="1">IF(
    ISNUMBER(VALUE(LEFT($A81, 1))),
    "",
    IFERROR(IF(_xlfn.XLOOKUP($A81, INDIRECT("'" &amp; P$2 &amp; "'!$A:$A"), INDIRECT("'" &amp; P$2 &amp; "'!$B:$B"), "")&lt;&gt;"", "✓", "✗"), "✗")
)</f>
        <v>✓</v>
      </c>
      <c r="Q81" t="str" cm="1">
        <f t="array" aca="1" ref="Q81" ca="1">IF(
    ISNUMBER(VALUE(LEFT($A81, 1))),
    "",
    IFERROR(IF(_xlfn.XLOOKUP($A81, INDIRECT("'" &amp; Q$2 &amp; "'!$A:$A"), INDIRECT("'" &amp; Q$2 &amp; "'!$B:$B"), "")&lt;&gt;"", "✓", "✗"), "✗")
)</f>
        <v>✓</v>
      </c>
      <c r="R81" t="str" cm="1">
        <f t="array" aca="1" ref="R81" ca="1">IF(
    ISNUMBER(VALUE(LEFT($A81, 1))),
    "",
    IFERROR(IF(_xlfn.XLOOKUP($A81, INDIRECT("'" &amp; R$2 &amp; "'!$A:$A"), INDIRECT("'" &amp; R$2 &amp; "'!$B:$B"), "")&lt;&gt;"", "✓", "✗"), "✗")
)</f>
        <v>✓</v>
      </c>
      <c r="S81" t="str" cm="1">
        <f t="array" aca="1" ref="S81" ca="1">IF(
    ISNUMBER(VALUE(LEFT($A81, 1))),
    "",
    IFERROR(IF(_xlfn.XLOOKUP($A81, INDIRECT("'" &amp; S$2 &amp; "'!$A:$A"), INDIRECT("'" &amp; S$2 &amp; "'!$B:$B"), "")&lt;&gt;"", "✓", "✗"), "✗")
)</f>
        <v>✓</v>
      </c>
      <c r="T81" t="str" cm="1">
        <f t="array" aca="1" ref="T81" ca="1">IF(
    ISNUMBER(VALUE(LEFT($A81, 1))),
    "",
    IFERROR(IF(_xlfn.XLOOKUP($A81, INDIRECT("'" &amp; T$2 &amp; "'!$A:$A"), INDIRECT("'" &amp; T$2 &amp; "'!$B:$B"), "")&lt;&gt;"", "✓", "✗"), "✗")
)</f>
        <v>✓</v>
      </c>
      <c r="U81" t="str" cm="1">
        <f t="array" aca="1" ref="U81" ca="1">IF(
    ISNUMBER(VALUE(LEFT($A81, 1))),
    "",
    IFERROR(IF(_xlfn.XLOOKUP($A81, INDIRECT("'" &amp; U$2 &amp; "'!$A:$A"), INDIRECT("'" &amp; U$2 &amp; "'!$B:$B"), "")&lt;&gt;"", "✓", "✗"), "✗")
)</f>
        <v>✓</v>
      </c>
      <c r="V81" t="str" cm="1">
        <f t="array" aca="1" ref="V81" ca="1">IF(
    ISNUMBER(VALUE(LEFT($A81, 1))),
    "",
    IFERROR(IF(_xlfn.XLOOKUP($A81, INDIRECT("'" &amp; V$2 &amp; "'!$A:$A"), INDIRECT("'" &amp; V$2 &amp; "'!$B:$B"), "")&lt;&gt;"", "✓", "✗"), "✗")
)</f>
        <v>✓</v>
      </c>
      <c r="W81" t="str" cm="1">
        <f t="array" aca="1" ref="W81" ca="1">IF(
    ISNUMBER(VALUE(LEFT($A81, 1))),
    "",
    IFERROR(IF(_xlfn.XLOOKUP($A81, INDIRECT("'" &amp; W$2 &amp; "'!$A:$A"), INDIRECT("'" &amp; W$2 &amp; "'!$B:$B"), "")&lt;&gt;"", "✓", "✗"), "✗")
)</f>
        <v>✓</v>
      </c>
      <c r="X81" t="str" cm="1">
        <f t="array" aca="1" ref="X81" ca="1">IF(
    ISNUMBER(VALUE(LEFT($A81, 1))),
    "",
    IFERROR(IF(_xlfn.XLOOKUP($A81, INDIRECT("'" &amp; X$2 &amp; "'!$A:$A"), INDIRECT("'" &amp; X$2 &amp; "'!$B:$B"), "")&lt;&gt;"", "✓", "✗"), "✗")
)</f>
        <v>✗</v>
      </c>
      <c r="Y81" t="str" cm="1">
        <f t="array" aca="1" ref="Y81" ca="1">IF(
    ISNUMBER(VALUE(LEFT($A81, 1))),
    "",
    IFERROR(IF(_xlfn.XLOOKUP($A81, INDIRECT("'" &amp; Y$2 &amp; "'!$A:$A"), INDIRECT("'" &amp; Y$2 &amp; "'!$B:$B"), "")&lt;&gt;"", "✓", "✗"), "✗")
)</f>
        <v>✗</v>
      </c>
      <c r="Z81" t="str" cm="1">
        <f t="array" aca="1" ref="Z81" ca="1">IF(
    ISNUMBER(VALUE(LEFT($A81, 1))),
    "",
    IFERROR(IF(_xlfn.XLOOKUP($A81, INDIRECT("'" &amp; Z$2 &amp; "'!$A:$A"), INDIRECT("'" &amp; Z$2 &amp; "'!$B:$B"), "")&lt;&gt;"", "✓", "✗"), "✗")
)</f>
        <v>✗</v>
      </c>
      <c r="AA81" t="str" cm="1">
        <f t="array" aca="1" ref="AA81" ca="1">IF(
    ISNUMBER(VALUE(LEFT($A81, 1))),
    "",
    IFERROR(IF(_xlfn.XLOOKUP($A81, INDIRECT("'" &amp; AA$2 &amp; "'!$A:$A"), INDIRECT("'" &amp; AA$2 &amp; "'!$B:$B"), "")&lt;&gt;"", "✓", "✗"), "✗")
)</f>
        <v>✓</v>
      </c>
      <c r="AB81" t="str" cm="1">
        <f t="array" aca="1" ref="AB81" ca="1">IF(
    ISNUMBER(VALUE(LEFT($A81, 1))),
    "",
    IFERROR(IF(_xlfn.XLOOKUP($A81, INDIRECT("'" &amp; AB$2 &amp; "'!$A:$A"), INDIRECT("'" &amp; AB$2 &amp; "'!$B:$B"), "")&lt;&gt;"", "✓", "✗"), "✗")
)</f>
        <v>✗</v>
      </c>
      <c r="AC81" t="str" cm="1">
        <f t="array" aca="1" ref="AC81" ca="1">IF(
    ISNUMBER(VALUE(LEFT($A81, 1))),
    "",
    IFERROR(IF(_xlfn.XLOOKUP($A81, INDIRECT("'" &amp; AC$2 &amp; "'!$A:$A"), INDIRECT("'" &amp; AC$2 &amp; "'!$B:$B"), "")&lt;&gt;"", "✓", "✗"), "✗")
)</f>
        <v>✗</v>
      </c>
      <c r="AD81" t="str" cm="1">
        <f t="array" aca="1" ref="AD81" ca="1">IF(
    ISNUMBER(VALUE(LEFT($A81, 1))),
    "",
    IFERROR(IF(_xlfn.XLOOKUP($A81, INDIRECT("'" &amp; AD$2 &amp; "'!$A:$A"), INDIRECT("'" &amp; AD$2 &amp; "'!$B:$B"), "")&lt;&gt;"", "✓", "✗"), "✗")
)</f>
        <v>✗</v>
      </c>
      <c r="AE81" t="str" cm="1">
        <f t="array" aca="1" ref="AE81" ca="1">IF(
    ISNUMBER(VALUE(LEFT($A81, 1))),
    "",
    IFERROR(IF(_xlfn.XLOOKUP($A81, INDIRECT("'" &amp; AE$2 &amp; "'!$A:$A"), INDIRECT("'" &amp; AE$2 &amp; "'!$B:$B"), "")&lt;&gt;"", "✓", "✗"), "✗")
)</f>
        <v>✗</v>
      </c>
      <c r="AF81" t="str" cm="1">
        <f t="array" aca="1" ref="AF81" ca="1">IF(
    ISNUMBER(VALUE(LEFT($A81, 1))),
    "",
    IFERROR(IF(_xlfn.XLOOKUP($A81, INDIRECT("'" &amp; AF$2 &amp; "'!$A:$A"), INDIRECT("'" &amp; AF$2 &amp; "'!$B:$B"), "")&lt;&gt;"", "✓", "✗"), "✗")
)</f>
        <v>✗</v>
      </c>
      <c r="AG81" t="str" cm="1">
        <f t="array" aca="1" ref="AG81" ca="1">IF(
    ISNUMBER(VALUE(LEFT($A81, 1))),
    "",
    IFERROR(IF(_xlfn.XLOOKUP($A81, INDIRECT("'" &amp; AG$2 &amp; "'!$A:$A"), INDIRECT("'" &amp; AG$2 &amp; "'!$B:$B"), "")&lt;&gt;"", "✓", "✗"), "✗")
)</f>
        <v>✗</v>
      </c>
    </row>
    <row r="82" spans="1:33" x14ac:dyDescent="0.45">
      <c r="A82" t="str">
        <v>Event End Date</v>
      </c>
      <c r="B82" t="str" cm="1">
        <f t="array" aca="1" ref="B82" ca="1">IF(
    ISNUMBER(VALUE(LEFT($A82, 1))),
    "",
    IFERROR(IF(_xlfn.XLOOKUP($A82, INDIRECT("'" &amp; B$2 &amp; "'!$A:$A"), INDIRECT("'" &amp; B$2 &amp; "'!$B:$B"), "")&lt;&gt;"", "✓", "✗"), "✗")
)</f>
        <v>✗</v>
      </c>
      <c r="C82" t="str" cm="1">
        <f t="array" aca="1" ref="C82" ca="1">IF(
    ISNUMBER(VALUE(LEFT($A82, 1))),
    "",
    IFERROR(IF(_xlfn.XLOOKUP($A82, INDIRECT("'" &amp; C$2 &amp; "'!$A:$A"), INDIRECT("'" &amp; C$2 &amp; "'!$B:$B"), "")&lt;&gt;"", "✓", "✗"), "✗")
)</f>
        <v>✗</v>
      </c>
      <c r="D82" t="str" cm="1">
        <f t="array" aca="1" ref="D82" ca="1">IF(
    ISNUMBER(VALUE(LEFT($A82, 1))),
    "",
    IFERROR(IF(_xlfn.XLOOKUP($A82, INDIRECT("'" &amp; D$2 &amp; "'!$A:$A"), INDIRECT("'" &amp; D$2 &amp; "'!$B:$B"), "")&lt;&gt;"", "✓", "✗"), "✗")
)</f>
        <v>✗</v>
      </c>
      <c r="E82" t="str" cm="1">
        <f t="array" aca="1" ref="E82" ca="1">IF(
    ISNUMBER(VALUE(LEFT($A82, 1))),
    "",
    IFERROR(IF(_xlfn.XLOOKUP($A82, INDIRECT("'" &amp; E$2 &amp; "'!$A:$A"), INDIRECT("'" &amp; E$2 &amp; "'!$B:$B"), "")&lt;&gt;"", "✓", "✗"), "✗")
)</f>
        <v>✗</v>
      </c>
      <c r="F82" t="str" cm="1">
        <f t="array" aca="1" ref="F82" ca="1">IF(
    ISNUMBER(VALUE(LEFT($A82, 1))),
    "",
    IFERROR(IF(_xlfn.XLOOKUP($A82, INDIRECT("'" &amp; F$2 &amp; "'!$A:$A"), INDIRECT("'" &amp; F$2 &amp; "'!$B:$B"), "")&lt;&gt;"", "✓", "✗"), "✗")
)</f>
        <v>✗</v>
      </c>
      <c r="G82" t="str" cm="1">
        <f t="array" aca="1" ref="G82" ca="1">IF(
    ISNUMBER(VALUE(LEFT($A82, 1))),
    "",
    IFERROR(IF(_xlfn.XLOOKUP($A82, INDIRECT("'" &amp; G$2 &amp; "'!$A:$A"), INDIRECT("'" &amp; G$2 &amp; "'!$B:$B"), "")&lt;&gt;"", "✓", "✗"), "✗")
)</f>
        <v>✓</v>
      </c>
      <c r="H82" t="str" cm="1">
        <f t="array" aca="1" ref="H82" ca="1">IF(
    ISNUMBER(VALUE(LEFT($A82, 1))),
    "",
    IFERROR(IF(_xlfn.XLOOKUP($A82, INDIRECT("'" &amp; H$2 &amp; "'!$A:$A"), INDIRECT("'" &amp; H$2 &amp; "'!$B:$B"), "")&lt;&gt;"", "✓", "✗"), "✗")
)</f>
        <v>✓</v>
      </c>
      <c r="I82" t="str" cm="1">
        <f t="array" aca="1" ref="I82" ca="1">IF(
    ISNUMBER(VALUE(LEFT($A82, 1))),
    "",
    IFERROR(IF(_xlfn.XLOOKUP($A82, INDIRECT("'" &amp; I$2 &amp; "'!$A:$A"), INDIRECT("'" &amp; I$2 &amp; "'!$B:$B"), "")&lt;&gt;"", "✓", "✗"), "✗")
)</f>
        <v>✗</v>
      </c>
      <c r="J82" t="str" cm="1">
        <f t="array" aca="1" ref="J82" ca="1">IF(
    ISNUMBER(VALUE(LEFT($A82, 1))),
    "",
    IFERROR(IF(_xlfn.XLOOKUP($A82, INDIRECT("'" &amp; J$2 &amp; "'!$A:$A"), INDIRECT("'" &amp; J$2 &amp; "'!$B:$B"), "")&lt;&gt;"", "✓", "✗"), "✗")
)</f>
        <v>✗</v>
      </c>
      <c r="K82" t="str" cm="1">
        <f t="array" aca="1" ref="K82" ca="1">IF(
    ISNUMBER(VALUE(LEFT($A82, 1))),
    "",
    IFERROR(IF(_xlfn.XLOOKUP($A82, INDIRECT("'" &amp; K$2 &amp; "'!$A:$A"), INDIRECT("'" &amp; K$2 &amp; "'!$B:$B"), "")&lt;&gt;"", "✓", "✗"), "✗")
)</f>
        <v>✓</v>
      </c>
      <c r="L82" t="str" cm="1">
        <f t="array" aca="1" ref="L82" ca="1">IF(
    ISNUMBER(VALUE(LEFT($A82, 1))),
    "",
    IFERROR(IF(_xlfn.XLOOKUP($A82, INDIRECT("'" &amp; L$2 &amp; "'!$A:$A"), INDIRECT("'" &amp; L$2 &amp; "'!$B:$B"), "")&lt;&gt;"", "✓", "✗"), "✗")
)</f>
        <v>✓</v>
      </c>
      <c r="M82" t="str" cm="1">
        <f t="array" aca="1" ref="M82" ca="1">IF(
    ISNUMBER(VALUE(LEFT($A82, 1))),
    "",
    IFERROR(IF(_xlfn.XLOOKUP($A82, INDIRECT("'" &amp; M$2 &amp; "'!$A:$A"), INDIRECT("'" &amp; M$2 &amp; "'!$B:$B"), "")&lt;&gt;"", "✓", "✗"), "✗")
)</f>
        <v>✓</v>
      </c>
      <c r="N82" t="str" cm="1">
        <f t="array" aca="1" ref="N82" ca="1">IF(
    ISNUMBER(VALUE(LEFT($A82, 1))),
    "",
    IFERROR(IF(_xlfn.XLOOKUP($A82, INDIRECT("'" &amp; N$2 &amp; "'!$A:$A"), INDIRECT("'" &amp; N$2 &amp; "'!$B:$B"), "")&lt;&gt;"", "✓", "✗"), "✗")
)</f>
        <v>✓</v>
      </c>
      <c r="O82" t="str" cm="1">
        <f t="array" aca="1" ref="O82" ca="1">IF(
    ISNUMBER(VALUE(LEFT($A82, 1))),
    "",
    IFERROR(IF(_xlfn.XLOOKUP($A82, INDIRECT("'" &amp; O$2 &amp; "'!$A:$A"), INDIRECT("'" &amp; O$2 &amp; "'!$B:$B"), "")&lt;&gt;"", "✓", "✗"), "✗")
)</f>
        <v>✓</v>
      </c>
      <c r="P82" t="str" cm="1">
        <f t="array" aca="1" ref="P82" ca="1">IF(
    ISNUMBER(VALUE(LEFT($A82, 1))),
    "",
    IFERROR(IF(_xlfn.XLOOKUP($A82, INDIRECT("'" &amp; P$2 &amp; "'!$A:$A"), INDIRECT("'" &amp; P$2 &amp; "'!$B:$B"), "")&lt;&gt;"", "✓", "✗"), "✗")
)</f>
        <v>✓</v>
      </c>
      <c r="Q82" t="str" cm="1">
        <f t="array" aca="1" ref="Q82" ca="1">IF(
    ISNUMBER(VALUE(LEFT($A82, 1))),
    "",
    IFERROR(IF(_xlfn.XLOOKUP($A82, INDIRECT("'" &amp; Q$2 &amp; "'!$A:$A"), INDIRECT("'" &amp; Q$2 &amp; "'!$B:$B"), "")&lt;&gt;"", "✓", "✗"), "✗")
)</f>
        <v>✓</v>
      </c>
      <c r="R82" t="str" cm="1">
        <f t="array" aca="1" ref="R82" ca="1">IF(
    ISNUMBER(VALUE(LEFT($A82, 1))),
    "",
    IFERROR(IF(_xlfn.XLOOKUP($A82, INDIRECT("'" &amp; R$2 &amp; "'!$A:$A"), INDIRECT("'" &amp; R$2 &amp; "'!$B:$B"), "")&lt;&gt;"", "✓", "✗"), "✗")
)</f>
        <v>✓</v>
      </c>
      <c r="S82" t="str" cm="1">
        <f t="array" aca="1" ref="S82" ca="1">IF(
    ISNUMBER(VALUE(LEFT($A82, 1))),
    "",
    IFERROR(IF(_xlfn.XLOOKUP($A82, INDIRECT("'" &amp; S$2 &amp; "'!$A:$A"), INDIRECT("'" &amp; S$2 &amp; "'!$B:$B"), "")&lt;&gt;"", "✓", "✗"), "✗")
)</f>
        <v>✓</v>
      </c>
      <c r="T82" t="str" cm="1">
        <f t="array" aca="1" ref="T82" ca="1">IF(
    ISNUMBER(VALUE(LEFT($A82, 1))),
    "",
    IFERROR(IF(_xlfn.XLOOKUP($A82, INDIRECT("'" &amp; T$2 &amp; "'!$A:$A"), INDIRECT("'" &amp; T$2 &amp; "'!$B:$B"), "")&lt;&gt;"", "✓", "✗"), "✗")
)</f>
        <v>✓</v>
      </c>
      <c r="U82" t="str" cm="1">
        <f t="array" aca="1" ref="U82" ca="1">IF(
    ISNUMBER(VALUE(LEFT($A82, 1))),
    "",
    IFERROR(IF(_xlfn.XLOOKUP($A82, INDIRECT("'" &amp; U$2 &amp; "'!$A:$A"), INDIRECT("'" &amp; U$2 &amp; "'!$B:$B"), "")&lt;&gt;"", "✓", "✗"), "✗")
)</f>
        <v>✓</v>
      </c>
      <c r="V82" t="str" cm="1">
        <f t="array" aca="1" ref="V82" ca="1">IF(
    ISNUMBER(VALUE(LEFT($A82, 1))),
    "",
    IFERROR(IF(_xlfn.XLOOKUP($A82, INDIRECT("'" &amp; V$2 &amp; "'!$A:$A"), INDIRECT("'" &amp; V$2 &amp; "'!$B:$B"), "")&lt;&gt;"", "✓", "✗"), "✗")
)</f>
        <v>✓</v>
      </c>
      <c r="W82" t="str" cm="1">
        <f t="array" aca="1" ref="W82" ca="1">IF(
    ISNUMBER(VALUE(LEFT($A82, 1))),
    "",
    IFERROR(IF(_xlfn.XLOOKUP($A82, INDIRECT("'" &amp; W$2 &amp; "'!$A:$A"), INDIRECT("'" &amp; W$2 &amp; "'!$B:$B"), "")&lt;&gt;"", "✓", "✗"), "✗")
)</f>
        <v>✓</v>
      </c>
      <c r="X82" t="str" cm="1">
        <f t="array" aca="1" ref="X82" ca="1">IF(
    ISNUMBER(VALUE(LEFT($A82, 1))),
    "",
    IFERROR(IF(_xlfn.XLOOKUP($A82, INDIRECT("'" &amp; X$2 &amp; "'!$A:$A"), INDIRECT("'" &amp; X$2 &amp; "'!$B:$B"), "")&lt;&gt;"", "✓", "✗"), "✗")
)</f>
        <v>✗</v>
      </c>
      <c r="Y82" t="str" cm="1">
        <f t="array" aca="1" ref="Y82" ca="1">IF(
    ISNUMBER(VALUE(LEFT($A82, 1))),
    "",
    IFERROR(IF(_xlfn.XLOOKUP($A82, INDIRECT("'" &amp; Y$2 &amp; "'!$A:$A"), INDIRECT("'" &amp; Y$2 &amp; "'!$B:$B"), "")&lt;&gt;"", "✓", "✗"), "✗")
)</f>
        <v>✗</v>
      </c>
      <c r="Z82" t="str" cm="1">
        <f t="array" aca="1" ref="Z82" ca="1">IF(
    ISNUMBER(VALUE(LEFT($A82, 1))),
    "",
    IFERROR(IF(_xlfn.XLOOKUP($A82, INDIRECT("'" &amp; Z$2 &amp; "'!$A:$A"), INDIRECT("'" &amp; Z$2 &amp; "'!$B:$B"), "")&lt;&gt;"", "✓", "✗"), "✗")
)</f>
        <v>✗</v>
      </c>
      <c r="AA82" t="str" cm="1">
        <f t="array" aca="1" ref="AA82" ca="1">IF(
    ISNUMBER(VALUE(LEFT($A82, 1))),
    "",
    IFERROR(IF(_xlfn.XLOOKUP($A82, INDIRECT("'" &amp; AA$2 &amp; "'!$A:$A"), INDIRECT("'" &amp; AA$2 &amp; "'!$B:$B"), "")&lt;&gt;"", "✓", "✗"), "✗")
)</f>
        <v>✓</v>
      </c>
      <c r="AB82" t="str" cm="1">
        <f t="array" aca="1" ref="AB82" ca="1">IF(
    ISNUMBER(VALUE(LEFT($A82, 1))),
    "",
    IFERROR(IF(_xlfn.XLOOKUP($A82, INDIRECT("'" &amp; AB$2 &amp; "'!$A:$A"), INDIRECT("'" &amp; AB$2 &amp; "'!$B:$B"), "")&lt;&gt;"", "✓", "✗"), "✗")
)</f>
        <v>✗</v>
      </c>
      <c r="AC82" t="str" cm="1">
        <f t="array" aca="1" ref="AC82" ca="1">IF(
    ISNUMBER(VALUE(LEFT($A82, 1))),
    "",
    IFERROR(IF(_xlfn.XLOOKUP($A82, INDIRECT("'" &amp; AC$2 &amp; "'!$A:$A"), INDIRECT("'" &amp; AC$2 &amp; "'!$B:$B"), "")&lt;&gt;"", "✓", "✗"), "✗")
)</f>
        <v>✗</v>
      </c>
      <c r="AD82" t="str" cm="1">
        <f t="array" aca="1" ref="AD82" ca="1">IF(
    ISNUMBER(VALUE(LEFT($A82, 1))),
    "",
    IFERROR(IF(_xlfn.XLOOKUP($A82, INDIRECT("'" &amp; AD$2 &amp; "'!$A:$A"), INDIRECT("'" &amp; AD$2 &amp; "'!$B:$B"), "")&lt;&gt;"", "✓", "✗"), "✗")
)</f>
        <v>✗</v>
      </c>
      <c r="AE82" t="str" cm="1">
        <f t="array" aca="1" ref="AE82" ca="1">IF(
    ISNUMBER(VALUE(LEFT($A82, 1))),
    "",
    IFERROR(IF(_xlfn.XLOOKUP($A82, INDIRECT("'" &amp; AE$2 &amp; "'!$A:$A"), INDIRECT("'" &amp; AE$2 &amp; "'!$B:$B"), "")&lt;&gt;"", "✓", "✗"), "✗")
)</f>
        <v>✗</v>
      </c>
      <c r="AF82" t="str" cm="1">
        <f t="array" aca="1" ref="AF82" ca="1">IF(
    ISNUMBER(VALUE(LEFT($A82, 1))),
    "",
    IFERROR(IF(_xlfn.XLOOKUP($A82, INDIRECT("'" &amp; AF$2 &amp; "'!$A:$A"), INDIRECT("'" &amp; AF$2 &amp; "'!$B:$B"), "")&lt;&gt;"", "✓", "✗"), "✗")
)</f>
        <v>✗</v>
      </c>
      <c r="AG82" t="str" cm="1">
        <f t="array" aca="1" ref="AG82" ca="1">IF(
    ISNUMBER(VALUE(LEFT($A82, 1))),
    "",
    IFERROR(IF(_xlfn.XLOOKUP($A82, INDIRECT("'" &amp; AG$2 &amp; "'!$A:$A"), INDIRECT("'" &amp; AG$2 &amp; "'!$B:$B"), "")&lt;&gt;"", "✓", "✗"), "✗")
)</f>
        <v>✗</v>
      </c>
    </row>
    <row r="83" spans="1:33" x14ac:dyDescent="0.45">
      <c r="A83" t="str">
        <v>Customer Comments</v>
      </c>
      <c r="B83" t="str" cm="1">
        <f t="array" aca="1" ref="B83" ca="1">IF(
    ISNUMBER(VALUE(LEFT($A83, 1))),
    "",
    IFERROR(IF(_xlfn.XLOOKUP($A83, INDIRECT("'" &amp; B$2 &amp; "'!$A:$A"), INDIRECT("'" &amp; B$2 &amp; "'!$B:$B"), "")&lt;&gt;"", "✓", "✗"), "✗")
)</f>
        <v>✗</v>
      </c>
      <c r="C83" t="str" cm="1">
        <f t="array" aca="1" ref="C83" ca="1">IF(
    ISNUMBER(VALUE(LEFT($A83, 1))),
    "",
    IFERROR(IF(_xlfn.XLOOKUP($A83, INDIRECT("'" &amp; C$2 &amp; "'!$A:$A"), INDIRECT("'" &amp; C$2 &amp; "'!$B:$B"), "")&lt;&gt;"", "✓", "✗"), "✗")
)</f>
        <v>✗</v>
      </c>
      <c r="D83" t="str" cm="1">
        <f t="array" aca="1" ref="D83" ca="1">IF(
    ISNUMBER(VALUE(LEFT($A83, 1))),
    "",
    IFERROR(IF(_xlfn.XLOOKUP($A83, INDIRECT("'" &amp; D$2 &amp; "'!$A:$A"), INDIRECT("'" &amp; D$2 &amp; "'!$B:$B"), "")&lt;&gt;"", "✓", "✗"), "✗")
)</f>
        <v>✗</v>
      </c>
      <c r="E83" t="str" cm="1">
        <f t="array" aca="1" ref="E83" ca="1">IF(
    ISNUMBER(VALUE(LEFT($A83, 1))),
    "",
    IFERROR(IF(_xlfn.XLOOKUP($A83, INDIRECT("'" &amp; E$2 &amp; "'!$A:$A"), INDIRECT("'" &amp; E$2 &amp; "'!$B:$B"), "")&lt;&gt;"", "✓", "✗"), "✗")
)</f>
        <v>✗</v>
      </c>
      <c r="F83" t="str" cm="1">
        <f t="array" aca="1" ref="F83" ca="1">IF(
    ISNUMBER(VALUE(LEFT($A83, 1))),
    "",
    IFERROR(IF(_xlfn.XLOOKUP($A83, INDIRECT("'" &amp; F$2 &amp; "'!$A:$A"), INDIRECT("'" &amp; F$2 &amp; "'!$B:$B"), "")&lt;&gt;"", "✓", "✗"), "✗")
)</f>
        <v>✗</v>
      </c>
      <c r="G83" t="str" cm="1">
        <f t="array" aca="1" ref="G83" ca="1">IF(
    ISNUMBER(VALUE(LEFT($A83, 1))),
    "",
    IFERROR(IF(_xlfn.XLOOKUP($A83, INDIRECT("'" &amp; G$2 &amp; "'!$A:$A"), INDIRECT("'" &amp; G$2 &amp; "'!$B:$B"), "")&lt;&gt;"", "✓", "✗"), "✗")
)</f>
        <v>✓</v>
      </c>
      <c r="H83" t="str" cm="1">
        <f t="array" aca="1" ref="H83" ca="1">IF(
    ISNUMBER(VALUE(LEFT($A83, 1))),
    "",
    IFERROR(IF(_xlfn.XLOOKUP($A83, INDIRECT("'" &amp; H$2 &amp; "'!$A:$A"), INDIRECT("'" &amp; H$2 &amp; "'!$B:$B"), "")&lt;&gt;"", "✓", "✗"), "✗")
)</f>
        <v>✓</v>
      </c>
      <c r="I83" t="str" cm="1">
        <f t="array" aca="1" ref="I83" ca="1">IF(
    ISNUMBER(VALUE(LEFT($A83, 1))),
    "",
    IFERROR(IF(_xlfn.XLOOKUP($A83, INDIRECT("'" &amp; I$2 &amp; "'!$A:$A"), INDIRECT("'" &amp; I$2 &amp; "'!$B:$B"), "")&lt;&gt;"", "✓", "✗"), "✗")
)</f>
        <v>✓</v>
      </c>
      <c r="J83" t="str" cm="1">
        <f t="array" aca="1" ref="J83" ca="1">IF(
    ISNUMBER(VALUE(LEFT($A83, 1))),
    "",
    IFERROR(IF(_xlfn.XLOOKUP($A83, INDIRECT("'" &amp; J$2 &amp; "'!$A:$A"), INDIRECT("'" &amp; J$2 &amp; "'!$B:$B"), "")&lt;&gt;"", "✓", "✗"), "✗")
)</f>
        <v>✓</v>
      </c>
      <c r="K83" t="str" cm="1">
        <f t="array" aca="1" ref="K83" ca="1">IF(
    ISNUMBER(VALUE(LEFT($A83, 1))),
    "",
    IFERROR(IF(_xlfn.XLOOKUP($A83, INDIRECT("'" &amp; K$2 &amp; "'!$A:$A"), INDIRECT("'" &amp; K$2 &amp; "'!$B:$B"), "")&lt;&gt;"", "✓", "✗"), "✗")
)</f>
        <v>✓</v>
      </c>
      <c r="L83" t="str" cm="1">
        <f t="array" aca="1" ref="L83" ca="1">IF(
    ISNUMBER(VALUE(LEFT($A83, 1))),
    "",
    IFERROR(IF(_xlfn.XLOOKUP($A83, INDIRECT("'" &amp; L$2 &amp; "'!$A:$A"), INDIRECT("'" &amp; L$2 &amp; "'!$B:$B"), "")&lt;&gt;"", "✓", "✗"), "✗")
)</f>
        <v>✓</v>
      </c>
      <c r="M83" t="str" cm="1">
        <f t="array" aca="1" ref="M83" ca="1">IF(
    ISNUMBER(VALUE(LEFT($A83, 1))),
    "",
    IFERROR(IF(_xlfn.XLOOKUP($A83, INDIRECT("'" &amp; M$2 &amp; "'!$A:$A"), INDIRECT("'" &amp; M$2 &amp; "'!$B:$B"), "")&lt;&gt;"", "✓", "✗"), "✗")
)</f>
        <v>✓</v>
      </c>
      <c r="N83" t="str" cm="1">
        <f t="array" aca="1" ref="N83" ca="1">IF(
    ISNUMBER(VALUE(LEFT($A83, 1))),
    "",
    IFERROR(IF(_xlfn.XLOOKUP($A83, INDIRECT("'" &amp; N$2 &amp; "'!$A:$A"), INDIRECT("'" &amp; N$2 &amp; "'!$B:$B"), "")&lt;&gt;"", "✓", "✗"), "✗")
)</f>
        <v>✓</v>
      </c>
      <c r="O83" t="str" cm="1">
        <f t="array" aca="1" ref="O83" ca="1">IF(
    ISNUMBER(VALUE(LEFT($A83, 1))),
    "",
    IFERROR(IF(_xlfn.XLOOKUP($A83, INDIRECT("'" &amp; O$2 &amp; "'!$A:$A"), INDIRECT("'" &amp; O$2 &amp; "'!$B:$B"), "")&lt;&gt;"", "✓", "✗"), "✗")
)</f>
        <v>✓</v>
      </c>
      <c r="P83" t="str" cm="1">
        <f t="array" aca="1" ref="P83" ca="1">IF(
    ISNUMBER(VALUE(LEFT($A83, 1))),
    "",
    IFERROR(IF(_xlfn.XLOOKUP($A83, INDIRECT("'" &amp; P$2 &amp; "'!$A:$A"), INDIRECT("'" &amp; P$2 &amp; "'!$B:$B"), "")&lt;&gt;"", "✓", "✗"), "✗")
)</f>
        <v>✓</v>
      </c>
      <c r="Q83" t="str" cm="1">
        <f t="array" aca="1" ref="Q83" ca="1">IF(
    ISNUMBER(VALUE(LEFT($A83, 1))),
    "",
    IFERROR(IF(_xlfn.XLOOKUP($A83, INDIRECT("'" &amp; Q$2 &amp; "'!$A:$A"), INDIRECT("'" &amp; Q$2 &amp; "'!$B:$B"), "")&lt;&gt;"", "✓", "✗"), "✗")
)</f>
        <v>✓</v>
      </c>
      <c r="R83" t="str" cm="1">
        <f t="array" aca="1" ref="R83" ca="1">IF(
    ISNUMBER(VALUE(LEFT($A83, 1))),
    "",
    IFERROR(IF(_xlfn.XLOOKUP($A83, INDIRECT("'" &amp; R$2 &amp; "'!$A:$A"), INDIRECT("'" &amp; R$2 &amp; "'!$B:$B"), "")&lt;&gt;"", "✓", "✗"), "✗")
)</f>
        <v>✓</v>
      </c>
      <c r="S83" t="str" cm="1">
        <f t="array" aca="1" ref="S83" ca="1">IF(
    ISNUMBER(VALUE(LEFT($A83, 1))),
    "",
    IFERROR(IF(_xlfn.XLOOKUP($A83, INDIRECT("'" &amp; S$2 &amp; "'!$A:$A"), INDIRECT("'" &amp; S$2 &amp; "'!$B:$B"), "")&lt;&gt;"", "✓", "✗"), "✗")
)</f>
        <v>✓</v>
      </c>
      <c r="T83" t="str" cm="1">
        <f t="array" aca="1" ref="T83" ca="1">IF(
    ISNUMBER(VALUE(LEFT($A83, 1))),
    "",
    IFERROR(IF(_xlfn.XLOOKUP($A83, INDIRECT("'" &amp; T$2 &amp; "'!$A:$A"), INDIRECT("'" &amp; T$2 &amp; "'!$B:$B"), "")&lt;&gt;"", "✓", "✗"), "✗")
)</f>
        <v>✓</v>
      </c>
      <c r="U83" t="str" cm="1">
        <f t="array" aca="1" ref="U83" ca="1">IF(
    ISNUMBER(VALUE(LEFT($A83, 1))),
    "",
    IFERROR(IF(_xlfn.XLOOKUP($A83, INDIRECT("'" &amp; U$2 &amp; "'!$A:$A"), INDIRECT("'" &amp; U$2 &amp; "'!$B:$B"), "")&lt;&gt;"", "✓", "✗"), "✗")
)</f>
        <v>✓</v>
      </c>
      <c r="V83" t="str" cm="1">
        <f t="array" aca="1" ref="V83" ca="1">IF(
    ISNUMBER(VALUE(LEFT($A83, 1))),
    "",
    IFERROR(IF(_xlfn.XLOOKUP($A83, INDIRECT("'" &amp; V$2 &amp; "'!$A:$A"), INDIRECT("'" &amp; V$2 &amp; "'!$B:$B"), "")&lt;&gt;"", "✓", "✗"), "✗")
)</f>
        <v>✓</v>
      </c>
      <c r="W83" t="str" cm="1">
        <f t="array" aca="1" ref="W83" ca="1">IF(
    ISNUMBER(VALUE(LEFT($A83, 1))),
    "",
    IFERROR(IF(_xlfn.XLOOKUP($A83, INDIRECT("'" &amp; W$2 &amp; "'!$A:$A"), INDIRECT("'" &amp; W$2 &amp; "'!$B:$B"), "")&lt;&gt;"", "✓", "✗"), "✗")
)</f>
        <v>✓</v>
      </c>
      <c r="X83" t="str" cm="1">
        <f t="array" aca="1" ref="X83" ca="1">IF(
    ISNUMBER(VALUE(LEFT($A83, 1))),
    "",
    IFERROR(IF(_xlfn.XLOOKUP($A83, INDIRECT("'" &amp; X$2 &amp; "'!$A:$A"), INDIRECT("'" &amp; X$2 &amp; "'!$B:$B"), "")&lt;&gt;"", "✓", "✗"), "✗")
)</f>
        <v>✓</v>
      </c>
      <c r="Y83" t="str" cm="1">
        <f t="array" aca="1" ref="Y83" ca="1">IF(
    ISNUMBER(VALUE(LEFT($A83, 1))),
    "",
    IFERROR(IF(_xlfn.XLOOKUP($A83, INDIRECT("'" &amp; Y$2 &amp; "'!$A:$A"), INDIRECT("'" &amp; Y$2 &amp; "'!$B:$B"), "")&lt;&gt;"", "✓", "✗"), "✗")
)</f>
        <v>✓</v>
      </c>
      <c r="Z83" t="str" cm="1">
        <f t="array" aca="1" ref="Z83" ca="1">IF(
    ISNUMBER(VALUE(LEFT($A83, 1))),
    "",
    IFERROR(IF(_xlfn.XLOOKUP($A83, INDIRECT("'" &amp; Z$2 &amp; "'!$A:$A"), INDIRECT("'" &amp; Z$2 &amp; "'!$B:$B"), "")&lt;&gt;"", "✓", "✗"), "✗")
)</f>
        <v>✓</v>
      </c>
      <c r="AA83" t="str" cm="1">
        <f t="array" aca="1" ref="AA83" ca="1">IF(
    ISNUMBER(VALUE(LEFT($A83, 1))),
    "",
    IFERROR(IF(_xlfn.XLOOKUP($A83, INDIRECT("'" &amp; AA$2 &amp; "'!$A:$A"), INDIRECT("'" &amp; AA$2 &amp; "'!$B:$B"), "")&lt;&gt;"", "✓", "✗"), "✗")
)</f>
        <v>✓</v>
      </c>
      <c r="AB83" t="str" cm="1">
        <f t="array" aca="1" ref="AB83" ca="1">IF(
    ISNUMBER(VALUE(LEFT($A83, 1))),
    "",
    IFERROR(IF(_xlfn.XLOOKUP($A83, INDIRECT("'" &amp; AB$2 &amp; "'!$A:$A"), INDIRECT("'" &amp; AB$2 &amp; "'!$B:$B"), "")&lt;&gt;"", "✓", "✗"), "✗")
)</f>
        <v>✗</v>
      </c>
      <c r="AC83" t="str" cm="1">
        <f t="array" aca="1" ref="AC83" ca="1">IF(
    ISNUMBER(VALUE(LEFT($A83, 1))),
    "",
    IFERROR(IF(_xlfn.XLOOKUP($A83, INDIRECT("'" &amp; AC$2 &amp; "'!$A:$A"), INDIRECT("'" &amp; AC$2 &amp; "'!$B:$B"), "")&lt;&gt;"", "✓", "✗"), "✗")
)</f>
        <v>✗</v>
      </c>
      <c r="AD83" t="str" cm="1">
        <f t="array" aca="1" ref="AD83" ca="1">IF(
    ISNUMBER(VALUE(LEFT($A83, 1))),
    "",
    IFERROR(IF(_xlfn.XLOOKUP($A83, INDIRECT("'" &amp; AD$2 &amp; "'!$A:$A"), INDIRECT("'" &amp; AD$2 &amp; "'!$B:$B"), "")&lt;&gt;"", "✓", "✗"), "✗")
)</f>
        <v>✗</v>
      </c>
      <c r="AE83" t="str" cm="1">
        <f t="array" aca="1" ref="AE83" ca="1">IF(
    ISNUMBER(VALUE(LEFT($A83, 1))),
    "",
    IFERROR(IF(_xlfn.XLOOKUP($A83, INDIRECT("'" &amp; AE$2 &amp; "'!$A:$A"), INDIRECT("'" &amp; AE$2 &amp; "'!$B:$B"), "")&lt;&gt;"", "✓", "✗"), "✗")
)</f>
        <v>✗</v>
      </c>
      <c r="AF83" t="str" cm="1">
        <f t="array" aca="1" ref="AF83" ca="1">IF(
    ISNUMBER(VALUE(LEFT($A83, 1))),
    "",
    IFERROR(IF(_xlfn.XLOOKUP($A83, INDIRECT("'" &amp; AF$2 &amp; "'!$A:$A"), INDIRECT("'" &amp; AF$2 &amp; "'!$B:$B"), "")&lt;&gt;"", "✓", "✗"), "✗")
)</f>
        <v>✗</v>
      </c>
      <c r="AG83" t="str" cm="1">
        <f t="array" aca="1" ref="AG83" ca="1">IF(
    ISNUMBER(VALUE(LEFT($A83, 1))),
    "",
    IFERROR(IF(_xlfn.XLOOKUP($A83, INDIRECT("'" &amp; AG$2 &amp; "'!$A:$A"), INDIRECT("'" &amp; AG$2 &amp; "'!$B:$B"), "")&lt;&gt;"", "✓", "✗"), "✗")
)</f>
        <v>✗</v>
      </c>
    </row>
    <row r="84" spans="1:33" x14ac:dyDescent="0.45">
      <c r="A84" t="str">
        <v>Transaction Date</v>
      </c>
      <c r="B84" t="str" cm="1">
        <f t="array" aca="1" ref="B84" ca="1">IF(
    ISNUMBER(VALUE(LEFT($A84, 1))),
    "",
    IFERROR(IF(_xlfn.XLOOKUP($A84, INDIRECT("'" &amp; B$2 &amp; "'!$A:$A"), INDIRECT("'" &amp; B$2 &amp; "'!$B:$B"), "")&lt;&gt;"", "✓", "✗"), "✗")
)</f>
        <v>✗</v>
      </c>
      <c r="C84" t="str" cm="1">
        <f t="array" aca="1" ref="C84" ca="1">IF(
    ISNUMBER(VALUE(LEFT($A84, 1))),
    "",
    IFERROR(IF(_xlfn.XLOOKUP($A84, INDIRECT("'" &amp; C$2 &amp; "'!$A:$A"), INDIRECT("'" &amp; C$2 &amp; "'!$B:$B"), "")&lt;&gt;"", "✓", "✗"), "✗")
)</f>
        <v>✗</v>
      </c>
      <c r="D84" t="str" cm="1">
        <f t="array" aca="1" ref="D84" ca="1">IF(
    ISNUMBER(VALUE(LEFT($A84, 1))),
    "",
    IFERROR(IF(_xlfn.XLOOKUP($A84, INDIRECT("'" &amp; D$2 &amp; "'!$A:$A"), INDIRECT("'" &amp; D$2 &amp; "'!$B:$B"), "")&lt;&gt;"", "✓", "✗"), "✗")
)</f>
        <v>✗</v>
      </c>
      <c r="E84" t="str" cm="1">
        <f t="array" aca="1" ref="E84" ca="1">IF(
    ISNUMBER(VALUE(LEFT($A84, 1))),
    "",
    IFERROR(IF(_xlfn.XLOOKUP($A84, INDIRECT("'" &amp; E$2 &amp; "'!$A:$A"), INDIRECT("'" &amp; E$2 &amp; "'!$B:$B"), "")&lt;&gt;"", "✓", "✗"), "✗")
)</f>
        <v>✗</v>
      </c>
      <c r="F84" t="str" cm="1">
        <f t="array" aca="1" ref="F84" ca="1">IF(
    ISNUMBER(VALUE(LEFT($A84, 1))),
    "",
    IFERROR(IF(_xlfn.XLOOKUP($A84, INDIRECT("'" &amp; F$2 &amp; "'!$A:$A"), INDIRECT("'" &amp; F$2 &amp; "'!$B:$B"), "")&lt;&gt;"", "✓", "✗"), "✗")
)</f>
        <v>✗</v>
      </c>
      <c r="G84" t="str" cm="1">
        <f t="array" aca="1" ref="G84" ca="1">IF(
    ISNUMBER(VALUE(LEFT($A84, 1))),
    "",
    IFERROR(IF(_xlfn.XLOOKUP($A84, INDIRECT("'" &amp; G$2 &amp; "'!$A:$A"), INDIRECT("'" &amp; G$2 &amp; "'!$B:$B"), "")&lt;&gt;"", "✓", "✗"), "✗")
)</f>
        <v>✓</v>
      </c>
      <c r="H84" t="str" cm="1">
        <f t="array" aca="1" ref="H84" ca="1">IF(
    ISNUMBER(VALUE(LEFT($A84, 1))),
    "",
    IFERROR(IF(_xlfn.XLOOKUP($A84, INDIRECT("'" &amp; H$2 &amp; "'!$A:$A"), INDIRECT("'" &amp; H$2 &amp; "'!$B:$B"), "")&lt;&gt;"", "✓", "✗"), "✗")
)</f>
        <v>✓</v>
      </c>
      <c r="I84" t="str" cm="1">
        <f t="array" aca="1" ref="I84" ca="1">IF(
    ISNUMBER(VALUE(LEFT($A84, 1))),
    "",
    IFERROR(IF(_xlfn.XLOOKUP($A84, INDIRECT("'" &amp; I$2 &amp; "'!$A:$A"), INDIRECT("'" &amp; I$2 &amp; "'!$B:$B"), "")&lt;&gt;"", "✓", "✗"), "✗")
)</f>
        <v>✗</v>
      </c>
      <c r="J84" t="str" cm="1">
        <f t="array" aca="1" ref="J84" ca="1">IF(
    ISNUMBER(VALUE(LEFT($A84, 1))),
    "",
    IFERROR(IF(_xlfn.XLOOKUP($A84, INDIRECT("'" &amp; J$2 &amp; "'!$A:$A"), INDIRECT("'" &amp; J$2 &amp; "'!$B:$B"), "")&lt;&gt;"", "✓", "✗"), "✗")
)</f>
        <v>✗</v>
      </c>
      <c r="K84" t="str" cm="1">
        <f t="array" aca="1" ref="K84" ca="1">IF(
    ISNUMBER(VALUE(LEFT($A84, 1))),
    "",
    IFERROR(IF(_xlfn.XLOOKUP($A84, INDIRECT("'" &amp; K$2 &amp; "'!$A:$A"), INDIRECT("'" &amp; K$2 &amp; "'!$B:$B"), "")&lt;&gt;"", "✓", "✗"), "✗")
)</f>
        <v>✓</v>
      </c>
      <c r="L84" t="str" cm="1">
        <f t="array" aca="1" ref="L84" ca="1">IF(
    ISNUMBER(VALUE(LEFT($A84, 1))),
    "",
    IFERROR(IF(_xlfn.XLOOKUP($A84, INDIRECT("'" &amp; L$2 &amp; "'!$A:$A"), INDIRECT("'" &amp; L$2 &amp; "'!$B:$B"), "")&lt;&gt;"", "✓", "✗"), "✗")
)</f>
        <v>✓</v>
      </c>
      <c r="M84" t="str" cm="1">
        <f t="array" aca="1" ref="M84" ca="1">IF(
    ISNUMBER(VALUE(LEFT($A84, 1))),
    "",
    IFERROR(IF(_xlfn.XLOOKUP($A84, INDIRECT("'" &amp; M$2 &amp; "'!$A:$A"), INDIRECT("'" &amp; M$2 &amp; "'!$B:$B"), "")&lt;&gt;"", "✓", "✗"), "✗")
)</f>
        <v>✓</v>
      </c>
      <c r="N84" t="str" cm="1">
        <f t="array" aca="1" ref="N84" ca="1">IF(
    ISNUMBER(VALUE(LEFT($A84, 1))),
    "",
    IFERROR(IF(_xlfn.XLOOKUP($A84, INDIRECT("'" &amp; N$2 &amp; "'!$A:$A"), INDIRECT("'" &amp; N$2 &amp; "'!$B:$B"), "")&lt;&gt;"", "✓", "✗"), "✗")
)</f>
        <v>✓</v>
      </c>
      <c r="O84" t="str" cm="1">
        <f t="array" aca="1" ref="O84" ca="1">IF(
    ISNUMBER(VALUE(LEFT($A84, 1))),
    "",
    IFERROR(IF(_xlfn.XLOOKUP($A84, INDIRECT("'" &amp; O$2 &amp; "'!$A:$A"), INDIRECT("'" &amp; O$2 &amp; "'!$B:$B"), "")&lt;&gt;"", "✓", "✗"), "✗")
)</f>
        <v>✓</v>
      </c>
      <c r="P84" t="str" cm="1">
        <f t="array" aca="1" ref="P84" ca="1">IF(
    ISNUMBER(VALUE(LEFT($A84, 1))),
    "",
    IFERROR(IF(_xlfn.XLOOKUP($A84, INDIRECT("'" &amp; P$2 &amp; "'!$A:$A"), INDIRECT("'" &amp; P$2 &amp; "'!$B:$B"), "")&lt;&gt;"", "✓", "✗"), "✗")
)</f>
        <v>✓</v>
      </c>
      <c r="Q84" t="str" cm="1">
        <f t="array" aca="1" ref="Q84" ca="1">IF(
    ISNUMBER(VALUE(LEFT($A84, 1))),
    "",
    IFERROR(IF(_xlfn.XLOOKUP($A84, INDIRECT("'" &amp; Q$2 &amp; "'!$A:$A"), INDIRECT("'" &amp; Q$2 &amp; "'!$B:$B"), "")&lt;&gt;"", "✓", "✗"), "✗")
)</f>
        <v>✓</v>
      </c>
      <c r="R84" t="str" cm="1">
        <f t="array" aca="1" ref="R84" ca="1">IF(
    ISNUMBER(VALUE(LEFT($A84, 1))),
    "",
    IFERROR(IF(_xlfn.XLOOKUP($A84, INDIRECT("'" &amp; R$2 &amp; "'!$A:$A"), INDIRECT("'" &amp; R$2 &amp; "'!$B:$B"), "")&lt;&gt;"", "✓", "✗"), "✗")
)</f>
        <v>✓</v>
      </c>
      <c r="S84" t="str" cm="1">
        <f t="array" aca="1" ref="S84" ca="1">IF(
    ISNUMBER(VALUE(LEFT($A84, 1))),
    "",
    IFERROR(IF(_xlfn.XLOOKUP($A84, INDIRECT("'" &amp; S$2 &amp; "'!$A:$A"), INDIRECT("'" &amp; S$2 &amp; "'!$B:$B"), "")&lt;&gt;"", "✓", "✗"), "✗")
)</f>
        <v>✓</v>
      </c>
      <c r="T84" t="str" cm="1">
        <f t="array" aca="1" ref="T84" ca="1">IF(
    ISNUMBER(VALUE(LEFT($A84, 1))),
    "",
    IFERROR(IF(_xlfn.XLOOKUP($A84, INDIRECT("'" &amp; T$2 &amp; "'!$A:$A"), INDIRECT("'" &amp; T$2 &amp; "'!$B:$B"), "")&lt;&gt;"", "✓", "✗"), "✗")
)</f>
        <v>✓</v>
      </c>
      <c r="U84" t="str" cm="1">
        <f t="array" aca="1" ref="U84" ca="1">IF(
    ISNUMBER(VALUE(LEFT($A84, 1))),
    "",
    IFERROR(IF(_xlfn.XLOOKUP($A84, INDIRECT("'" &amp; U$2 &amp; "'!$A:$A"), INDIRECT("'" &amp; U$2 &amp; "'!$B:$B"), "")&lt;&gt;"", "✓", "✗"), "✗")
)</f>
        <v>✓</v>
      </c>
      <c r="V84" t="str" cm="1">
        <f t="array" aca="1" ref="V84" ca="1">IF(
    ISNUMBER(VALUE(LEFT($A84, 1))),
    "",
    IFERROR(IF(_xlfn.XLOOKUP($A84, INDIRECT("'" &amp; V$2 &amp; "'!$A:$A"), INDIRECT("'" &amp; V$2 &amp; "'!$B:$B"), "")&lt;&gt;"", "✓", "✗"), "✗")
)</f>
        <v>✓</v>
      </c>
      <c r="W84" t="str" cm="1">
        <f t="array" aca="1" ref="W84" ca="1">IF(
    ISNUMBER(VALUE(LEFT($A84, 1))),
    "",
    IFERROR(IF(_xlfn.XLOOKUP($A84, INDIRECT("'" &amp; W$2 &amp; "'!$A:$A"), INDIRECT("'" &amp; W$2 &amp; "'!$B:$B"), "")&lt;&gt;"", "✓", "✗"), "✗")
)</f>
        <v>✓</v>
      </c>
      <c r="X84" t="str" cm="1">
        <f t="array" aca="1" ref="X84" ca="1">IF(
    ISNUMBER(VALUE(LEFT($A84, 1))),
    "",
    IFERROR(IF(_xlfn.XLOOKUP($A84, INDIRECT("'" &amp; X$2 &amp; "'!$A:$A"), INDIRECT("'" &amp; X$2 &amp; "'!$B:$B"), "")&lt;&gt;"", "✓", "✗"), "✗")
)</f>
        <v>✓</v>
      </c>
      <c r="Y84" t="str" cm="1">
        <f t="array" aca="1" ref="Y84" ca="1">IF(
    ISNUMBER(VALUE(LEFT($A84, 1))),
    "",
    IFERROR(IF(_xlfn.XLOOKUP($A84, INDIRECT("'" &amp; Y$2 &amp; "'!$A:$A"), INDIRECT("'" &amp; Y$2 &amp; "'!$B:$B"), "")&lt;&gt;"", "✓", "✗"), "✗")
)</f>
        <v>✓</v>
      </c>
      <c r="Z84" t="str" cm="1">
        <f t="array" aca="1" ref="Z84" ca="1">IF(
    ISNUMBER(VALUE(LEFT($A84, 1))),
    "",
    IFERROR(IF(_xlfn.XLOOKUP($A84, INDIRECT("'" &amp; Z$2 &amp; "'!$A:$A"), INDIRECT("'" &amp; Z$2 &amp; "'!$B:$B"), "")&lt;&gt;"", "✓", "✗"), "✗")
)</f>
        <v>✓</v>
      </c>
      <c r="AA84" t="str" cm="1">
        <f t="array" aca="1" ref="AA84" ca="1">IF(
    ISNUMBER(VALUE(LEFT($A84, 1))),
    "",
    IFERROR(IF(_xlfn.XLOOKUP($A84, INDIRECT("'" &amp; AA$2 &amp; "'!$A:$A"), INDIRECT("'" &amp; AA$2 &amp; "'!$B:$B"), "")&lt;&gt;"", "✓", "✗"), "✗")
)</f>
        <v>✓</v>
      </c>
      <c r="AB84" t="str" cm="1">
        <f t="array" aca="1" ref="AB84" ca="1">IF(
    ISNUMBER(VALUE(LEFT($A84, 1))),
    "",
    IFERROR(IF(_xlfn.XLOOKUP($A84, INDIRECT("'" &amp; AB$2 &amp; "'!$A:$A"), INDIRECT("'" &amp; AB$2 &amp; "'!$B:$B"), "")&lt;&gt;"", "✓", "✗"), "✗")
)</f>
        <v>✗</v>
      </c>
      <c r="AC84" t="str" cm="1">
        <f t="array" aca="1" ref="AC84" ca="1">IF(
    ISNUMBER(VALUE(LEFT($A84, 1))),
    "",
    IFERROR(IF(_xlfn.XLOOKUP($A84, INDIRECT("'" &amp; AC$2 &amp; "'!$A:$A"), INDIRECT("'" &amp; AC$2 &amp; "'!$B:$B"), "")&lt;&gt;"", "✓", "✗"), "✗")
)</f>
        <v>✗</v>
      </c>
      <c r="AD84" t="str" cm="1">
        <f t="array" aca="1" ref="AD84" ca="1">IF(
    ISNUMBER(VALUE(LEFT($A84, 1))),
    "",
    IFERROR(IF(_xlfn.XLOOKUP($A84, INDIRECT("'" &amp; AD$2 &amp; "'!$A:$A"), INDIRECT("'" &amp; AD$2 &amp; "'!$B:$B"), "")&lt;&gt;"", "✓", "✗"), "✗")
)</f>
        <v>✗</v>
      </c>
      <c r="AE84" t="str" cm="1">
        <f t="array" aca="1" ref="AE84" ca="1">IF(
    ISNUMBER(VALUE(LEFT($A84, 1))),
    "",
    IFERROR(IF(_xlfn.XLOOKUP($A84, INDIRECT("'" &amp; AE$2 &amp; "'!$A:$A"), INDIRECT("'" &amp; AE$2 &amp; "'!$B:$B"), "")&lt;&gt;"", "✓", "✗"), "✗")
)</f>
        <v>✗</v>
      </c>
      <c r="AF84" t="str" cm="1">
        <f t="array" aca="1" ref="AF84" ca="1">IF(
    ISNUMBER(VALUE(LEFT($A84, 1))),
    "",
    IFERROR(IF(_xlfn.XLOOKUP($A84, INDIRECT("'" &amp; AF$2 &amp; "'!$A:$A"), INDIRECT("'" &amp; AF$2 &amp; "'!$B:$B"), "")&lt;&gt;"", "✓", "✗"), "✗")
)</f>
        <v>✗</v>
      </c>
      <c r="AG84" t="str" cm="1">
        <f t="array" aca="1" ref="AG84" ca="1">IF(
    ISNUMBER(VALUE(LEFT($A84, 1))),
    "",
    IFERROR(IF(_xlfn.XLOOKUP($A84, INDIRECT("'" &amp; AG$2 &amp; "'!$A:$A"), INDIRECT("'" &amp; AG$2 &amp; "'!$B:$B"), "")&lt;&gt;"", "✓", "✗"), "✗")
)</f>
        <v>✗</v>
      </c>
    </row>
    <row r="85" spans="1:33" x14ac:dyDescent="0.45">
      <c r="A85" t="str">
        <v>8 - Activity Detail</v>
      </c>
      <c r="B85" t="str" cm="1">
        <f t="array" aca="1" ref="B85" ca="1">IF(
    ISNUMBER(VALUE(LEFT($A85, 1))),
    "",
    IFERROR(IF(_xlfn.XLOOKUP($A85, INDIRECT("'" &amp; B$2 &amp; "'!$A:$A"), INDIRECT("'" &amp; B$2 &amp; "'!$B:$B"), "")&lt;&gt;"", "✓", "✗"), "✗")
)</f>
        <v/>
      </c>
      <c r="C85" t="str" cm="1">
        <f t="array" aca="1" ref="C85" ca="1">IF(
    ISNUMBER(VALUE(LEFT($A85, 1))),
    "",
    IFERROR(IF(_xlfn.XLOOKUP($A85, INDIRECT("'" &amp; C$2 &amp; "'!$A:$A"), INDIRECT("'" &amp; C$2 &amp; "'!$B:$B"), "")&lt;&gt;"", "✓", "✗"), "✗")
)</f>
        <v/>
      </c>
      <c r="D85" t="str" cm="1">
        <f t="array" aca="1" ref="D85" ca="1">IF(
    ISNUMBER(VALUE(LEFT($A85, 1))),
    "",
    IFERROR(IF(_xlfn.XLOOKUP($A85, INDIRECT("'" &amp; D$2 &amp; "'!$A:$A"), INDIRECT("'" &amp; D$2 &amp; "'!$B:$B"), "")&lt;&gt;"", "✓", "✗"), "✗")
)</f>
        <v/>
      </c>
      <c r="E85" t="str" cm="1">
        <f t="array" aca="1" ref="E85" ca="1">IF(
    ISNUMBER(VALUE(LEFT($A85, 1))),
    "",
    IFERROR(IF(_xlfn.XLOOKUP($A85, INDIRECT("'" &amp; E$2 &amp; "'!$A:$A"), INDIRECT("'" &amp; E$2 &amp; "'!$B:$B"), "")&lt;&gt;"", "✓", "✗"), "✗")
)</f>
        <v/>
      </c>
      <c r="F85" t="str" cm="1">
        <f t="array" aca="1" ref="F85" ca="1">IF(
    ISNUMBER(VALUE(LEFT($A85, 1))),
    "",
    IFERROR(IF(_xlfn.XLOOKUP($A85, INDIRECT("'" &amp; F$2 &amp; "'!$A:$A"), INDIRECT("'" &amp; F$2 &amp; "'!$B:$B"), "")&lt;&gt;"", "✓", "✗"), "✗")
)</f>
        <v/>
      </c>
      <c r="G85" t="str" cm="1">
        <f t="array" aca="1" ref="G85" ca="1">IF(
    ISNUMBER(VALUE(LEFT($A85, 1))),
    "",
    IFERROR(IF(_xlfn.XLOOKUP($A85, INDIRECT("'" &amp; G$2 &amp; "'!$A:$A"), INDIRECT("'" &amp; G$2 &amp; "'!$B:$B"), "")&lt;&gt;"", "✓", "✗"), "✗")
)</f>
        <v/>
      </c>
      <c r="H85" t="str" cm="1">
        <f t="array" aca="1" ref="H85" ca="1">IF(
    ISNUMBER(VALUE(LEFT($A85, 1))),
    "",
    IFERROR(IF(_xlfn.XLOOKUP($A85, INDIRECT("'" &amp; H$2 &amp; "'!$A:$A"), INDIRECT("'" &amp; H$2 &amp; "'!$B:$B"), "")&lt;&gt;"", "✓", "✗"), "✗")
)</f>
        <v/>
      </c>
      <c r="I85" t="str" cm="1">
        <f t="array" aca="1" ref="I85" ca="1">IF(
    ISNUMBER(VALUE(LEFT($A85, 1))),
    "",
    IFERROR(IF(_xlfn.XLOOKUP($A85, INDIRECT("'" &amp; I$2 &amp; "'!$A:$A"), INDIRECT("'" &amp; I$2 &amp; "'!$B:$B"), "")&lt;&gt;"", "✓", "✗"), "✗")
)</f>
        <v/>
      </c>
      <c r="J85" t="str" cm="1">
        <f t="array" aca="1" ref="J85" ca="1">IF(
    ISNUMBER(VALUE(LEFT($A85, 1))),
    "",
    IFERROR(IF(_xlfn.XLOOKUP($A85, INDIRECT("'" &amp; J$2 &amp; "'!$A:$A"), INDIRECT("'" &amp; J$2 &amp; "'!$B:$B"), "")&lt;&gt;"", "✓", "✗"), "✗")
)</f>
        <v/>
      </c>
      <c r="K85" t="str" cm="1">
        <f t="array" aca="1" ref="K85" ca="1">IF(
    ISNUMBER(VALUE(LEFT($A85, 1))),
    "",
    IFERROR(IF(_xlfn.XLOOKUP($A85, INDIRECT("'" &amp; K$2 &amp; "'!$A:$A"), INDIRECT("'" &amp; K$2 &amp; "'!$B:$B"), "")&lt;&gt;"", "✓", "✗"), "✗")
)</f>
        <v/>
      </c>
      <c r="L85" t="str" cm="1">
        <f t="array" aca="1" ref="L85" ca="1">IF(
    ISNUMBER(VALUE(LEFT($A85, 1))),
    "",
    IFERROR(IF(_xlfn.XLOOKUP($A85, INDIRECT("'" &amp; L$2 &amp; "'!$A:$A"), INDIRECT("'" &amp; L$2 &amp; "'!$B:$B"), "")&lt;&gt;"", "✓", "✗"), "✗")
)</f>
        <v/>
      </c>
      <c r="M85" t="str" cm="1">
        <f t="array" aca="1" ref="M85" ca="1">IF(
    ISNUMBER(VALUE(LEFT($A85, 1))),
    "",
    IFERROR(IF(_xlfn.XLOOKUP($A85, INDIRECT("'" &amp; M$2 &amp; "'!$A:$A"), INDIRECT("'" &amp; M$2 &amp; "'!$B:$B"), "")&lt;&gt;"", "✓", "✗"), "✗")
)</f>
        <v/>
      </c>
      <c r="N85" t="str" cm="1">
        <f t="array" aca="1" ref="N85" ca="1">IF(
    ISNUMBER(VALUE(LEFT($A85, 1))),
    "",
    IFERROR(IF(_xlfn.XLOOKUP($A85, INDIRECT("'" &amp; N$2 &amp; "'!$A:$A"), INDIRECT("'" &amp; N$2 &amp; "'!$B:$B"), "")&lt;&gt;"", "✓", "✗"), "✗")
)</f>
        <v/>
      </c>
      <c r="O85" t="str" cm="1">
        <f t="array" aca="1" ref="O85" ca="1">IF(
    ISNUMBER(VALUE(LEFT($A85, 1))),
    "",
    IFERROR(IF(_xlfn.XLOOKUP($A85, INDIRECT("'" &amp; O$2 &amp; "'!$A:$A"), INDIRECT("'" &amp; O$2 &amp; "'!$B:$B"), "")&lt;&gt;"", "✓", "✗"), "✗")
)</f>
        <v/>
      </c>
      <c r="P85" t="str" cm="1">
        <f t="array" aca="1" ref="P85" ca="1">IF(
    ISNUMBER(VALUE(LEFT($A85, 1))),
    "",
    IFERROR(IF(_xlfn.XLOOKUP($A85, INDIRECT("'" &amp; P$2 &amp; "'!$A:$A"), INDIRECT("'" &amp; P$2 &amp; "'!$B:$B"), "")&lt;&gt;"", "✓", "✗"), "✗")
)</f>
        <v/>
      </c>
      <c r="Q85" t="str" cm="1">
        <f t="array" aca="1" ref="Q85" ca="1">IF(
    ISNUMBER(VALUE(LEFT($A85, 1))),
    "",
    IFERROR(IF(_xlfn.XLOOKUP($A85, INDIRECT("'" &amp; Q$2 &amp; "'!$A:$A"), INDIRECT("'" &amp; Q$2 &amp; "'!$B:$B"), "")&lt;&gt;"", "✓", "✗"), "✗")
)</f>
        <v/>
      </c>
      <c r="R85" t="str" cm="1">
        <f t="array" aca="1" ref="R85" ca="1">IF(
    ISNUMBER(VALUE(LEFT($A85, 1))),
    "",
    IFERROR(IF(_xlfn.XLOOKUP($A85, INDIRECT("'" &amp; R$2 &amp; "'!$A:$A"), INDIRECT("'" &amp; R$2 &amp; "'!$B:$B"), "")&lt;&gt;"", "✓", "✗"), "✗")
)</f>
        <v/>
      </c>
      <c r="S85" t="str" cm="1">
        <f t="array" aca="1" ref="S85" ca="1">IF(
    ISNUMBER(VALUE(LEFT($A85, 1))),
    "",
    IFERROR(IF(_xlfn.XLOOKUP($A85, INDIRECT("'" &amp; S$2 &amp; "'!$A:$A"), INDIRECT("'" &amp; S$2 &amp; "'!$B:$B"), "")&lt;&gt;"", "✓", "✗"), "✗")
)</f>
        <v/>
      </c>
      <c r="T85" t="str" cm="1">
        <f t="array" aca="1" ref="T85" ca="1">IF(
    ISNUMBER(VALUE(LEFT($A85, 1))),
    "",
    IFERROR(IF(_xlfn.XLOOKUP($A85, INDIRECT("'" &amp; T$2 &amp; "'!$A:$A"), INDIRECT("'" &amp; T$2 &amp; "'!$B:$B"), "")&lt;&gt;"", "✓", "✗"), "✗")
)</f>
        <v/>
      </c>
      <c r="U85" t="str" cm="1">
        <f t="array" aca="1" ref="U85" ca="1">IF(
    ISNUMBER(VALUE(LEFT($A85, 1))),
    "",
    IFERROR(IF(_xlfn.XLOOKUP($A85, INDIRECT("'" &amp; U$2 &amp; "'!$A:$A"), INDIRECT("'" &amp; U$2 &amp; "'!$B:$B"), "")&lt;&gt;"", "✓", "✗"), "✗")
)</f>
        <v/>
      </c>
      <c r="V85" t="str" cm="1">
        <f t="array" aca="1" ref="V85" ca="1">IF(
    ISNUMBER(VALUE(LEFT($A85, 1))),
    "",
    IFERROR(IF(_xlfn.XLOOKUP($A85, INDIRECT("'" &amp; V$2 &amp; "'!$A:$A"), INDIRECT("'" &amp; V$2 &amp; "'!$B:$B"), "")&lt;&gt;"", "✓", "✗"), "✗")
)</f>
        <v/>
      </c>
      <c r="W85" t="str" cm="1">
        <f t="array" aca="1" ref="W85" ca="1">IF(
    ISNUMBER(VALUE(LEFT($A85, 1))),
    "",
    IFERROR(IF(_xlfn.XLOOKUP($A85, INDIRECT("'" &amp; W$2 &amp; "'!$A:$A"), INDIRECT("'" &amp; W$2 &amp; "'!$B:$B"), "")&lt;&gt;"", "✓", "✗"), "✗")
)</f>
        <v/>
      </c>
      <c r="X85" t="str" cm="1">
        <f t="array" aca="1" ref="X85" ca="1">IF(
    ISNUMBER(VALUE(LEFT($A85, 1))),
    "",
    IFERROR(IF(_xlfn.XLOOKUP($A85, INDIRECT("'" &amp; X$2 &amp; "'!$A:$A"), INDIRECT("'" &amp; X$2 &amp; "'!$B:$B"), "")&lt;&gt;"", "✓", "✗"), "✗")
)</f>
        <v/>
      </c>
      <c r="Y85" t="str" cm="1">
        <f t="array" aca="1" ref="Y85" ca="1">IF(
    ISNUMBER(VALUE(LEFT($A85, 1))),
    "",
    IFERROR(IF(_xlfn.XLOOKUP($A85, INDIRECT("'" &amp; Y$2 &amp; "'!$A:$A"), INDIRECT("'" &amp; Y$2 &amp; "'!$B:$B"), "")&lt;&gt;"", "✓", "✗"), "✗")
)</f>
        <v/>
      </c>
      <c r="Z85" t="str" cm="1">
        <f t="array" aca="1" ref="Z85" ca="1">IF(
    ISNUMBER(VALUE(LEFT($A85, 1))),
    "",
    IFERROR(IF(_xlfn.XLOOKUP($A85, INDIRECT("'" &amp; Z$2 &amp; "'!$A:$A"), INDIRECT("'" &amp; Z$2 &amp; "'!$B:$B"), "")&lt;&gt;"", "✓", "✗"), "✗")
)</f>
        <v/>
      </c>
      <c r="AA85" t="str" cm="1">
        <f t="array" aca="1" ref="AA85" ca="1">IF(
    ISNUMBER(VALUE(LEFT($A85, 1))),
    "",
    IFERROR(IF(_xlfn.XLOOKUP($A85, INDIRECT("'" &amp; AA$2 &amp; "'!$A:$A"), INDIRECT("'" &amp; AA$2 &amp; "'!$B:$B"), "")&lt;&gt;"", "✓", "✗"), "✗")
)</f>
        <v/>
      </c>
      <c r="AB85" t="str" cm="1">
        <f t="array" aca="1" ref="AB85" ca="1">IF(
    ISNUMBER(VALUE(LEFT($A85, 1))),
    "",
    IFERROR(IF(_xlfn.XLOOKUP($A85, INDIRECT("'" &amp; AB$2 &amp; "'!$A:$A"), INDIRECT("'" &amp; AB$2 &amp; "'!$B:$B"), "")&lt;&gt;"", "✓", "✗"), "✗")
)</f>
        <v/>
      </c>
      <c r="AC85" t="str" cm="1">
        <f t="array" aca="1" ref="AC85" ca="1">IF(
    ISNUMBER(VALUE(LEFT($A85, 1))),
    "",
    IFERROR(IF(_xlfn.XLOOKUP($A85, INDIRECT("'" &amp; AC$2 &amp; "'!$A:$A"), INDIRECT("'" &amp; AC$2 &amp; "'!$B:$B"), "")&lt;&gt;"", "✓", "✗"), "✗")
)</f>
        <v/>
      </c>
      <c r="AD85" t="str" cm="1">
        <f t="array" aca="1" ref="AD85" ca="1">IF(
    ISNUMBER(VALUE(LEFT($A85, 1))),
    "",
    IFERROR(IF(_xlfn.XLOOKUP($A85, INDIRECT("'" &amp; AD$2 &amp; "'!$A:$A"), INDIRECT("'" &amp; AD$2 &amp; "'!$B:$B"), "")&lt;&gt;"", "✓", "✗"), "✗")
)</f>
        <v/>
      </c>
      <c r="AE85" t="str" cm="1">
        <f t="array" aca="1" ref="AE85" ca="1">IF(
    ISNUMBER(VALUE(LEFT($A85, 1))),
    "",
    IFERROR(IF(_xlfn.XLOOKUP($A85, INDIRECT("'" &amp; AE$2 &amp; "'!$A:$A"), INDIRECT("'" &amp; AE$2 &amp; "'!$B:$B"), "")&lt;&gt;"", "✓", "✗"), "✗")
)</f>
        <v/>
      </c>
      <c r="AF85" t="str" cm="1">
        <f t="array" aca="1" ref="AF85" ca="1">IF(
    ISNUMBER(VALUE(LEFT($A85, 1))),
    "",
    IFERROR(IF(_xlfn.XLOOKUP($A85, INDIRECT("'" &amp; AF$2 &amp; "'!$A:$A"), INDIRECT("'" &amp; AF$2 &amp; "'!$B:$B"), "")&lt;&gt;"", "✓", "✗"), "✗")
)</f>
        <v/>
      </c>
      <c r="AG85" t="str" cm="1">
        <f t="array" aca="1" ref="AG85" ca="1">IF(
    ISNUMBER(VALUE(LEFT($A85, 1))),
    "",
    IFERROR(IF(_xlfn.XLOOKUP($A85, INDIRECT("'" &amp; AG$2 &amp; "'!$A:$A"), INDIRECT("'" &amp; AG$2 &amp; "'!$B:$B"), "")&lt;&gt;"", "✓", "✗"), "✗")
)</f>
        <v/>
      </c>
    </row>
    <row r="86" spans="1:33" x14ac:dyDescent="0.45">
      <c r="A86" t="str">
        <v>Form Submit Date</v>
      </c>
      <c r="B86" t="str" cm="1">
        <f t="array" aca="1" ref="B86" ca="1">IF(
    ISNUMBER(VALUE(LEFT($A86, 1))),
    "",
    IFERROR(IF(_xlfn.XLOOKUP($A86, INDIRECT("'" &amp; B$2 &amp; "'!$A:$A"), INDIRECT("'" &amp; B$2 &amp; "'!$B:$B"), "")&lt;&gt;"", "✓", "✗"), "✗")
)</f>
        <v>✓</v>
      </c>
      <c r="C86" t="str" cm="1">
        <f t="array" aca="1" ref="C86" ca="1">IF(
    ISNUMBER(VALUE(LEFT($A86, 1))),
    "",
    IFERROR(IF(_xlfn.XLOOKUP($A86, INDIRECT("'" &amp; C$2 &amp; "'!$A:$A"), INDIRECT("'" &amp; C$2 &amp; "'!$B:$B"), "")&lt;&gt;"", "✓", "✗"), "✗")
)</f>
        <v>✓</v>
      </c>
      <c r="D86" t="str" cm="1">
        <f t="array" aca="1" ref="D86" ca="1">IF(
    ISNUMBER(VALUE(LEFT($A86, 1))),
    "",
    IFERROR(IF(_xlfn.XLOOKUP($A86, INDIRECT("'" &amp; D$2 &amp; "'!$A:$A"), INDIRECT("'" &amp; D$2 &amp; "'!$B:$B"), "")&lt;&gt;"", "✓", "✗"), "✗")
)</f>
        <v>✓</v>
      </c>
      <c r="E86" t="str" cm="1">
        <f t="array" aca="1" ref="E86" ca="1">IF(
    ISNUMBER(VALUE(LEFT($A86, 1))),
    "",
    IFERROR(IF(_xlfn.XLOOKUP($A86, INDIRECT("'" &amp; E$2 &amp; "'!$A:$A"), INDIRECT("'" &amp; E$2 &amp; "'!$B:$B"), "")&lt;&gt;"", "✓", "✗"), "✗")
)</f>
        <v>✓</v>
      </c>
      <c r="F86" t="str" cm="1">
        <f t="array" aca="1" ref="F86" ca="1">IF(
    ISNUMBER(VALUE(LEFT($A86, 1))),
    "",
    IFERROR(IF(_xlfn.XLOOKUP($A86, INDIRECT("'" &amp; F$2 &amp; "'!$A:$A"), INDIRECT("'" &amp; F$2 &amp; "'!$B:$B"), "")&lt;&gt;"", "✓", "✗"), "✗")
)</f>
        <v>✓</v>
      </c>
      <c r="G86" t="str" cm="1">
        <f t="array" aca="1" ref="G86" ca="1">IF(
    ISNUMBER(VALUE(LEFT($A86, 1))),
    "",
    IFERROR(IF(_xlfn.XLOOKUP($A86, INDIRECT("'" &amp; G$2 &amp; "'!$A:$A"), INDIRECT("'" &amp; G$2 &amp; "'!$B:$B"), "")&lt;&gt;"", "✓", "✗"), "✗")
)</f>
        <v>✗</v>
      </c>
      <c r="H86" t="str" cm="1">
        <f t="array" aca="1" ref="H86" ca="1">IF(
    ISNUMBER(VALUE(LEFT($A86, 1))),
    "",
    IFERROR(IF(_xlfn.XLOOKUP($A86, INDIRECT("'" &amp; H$2 &amp; "'!$A:$A"), INDIRECT("'" &amp; H$2 &amp; "'!$B:$B"), "")&lt;&gt;"", "✓", "✗"), "✗")
)</f>
        <v>✗</v>
      </c>
      <c r="I86" t="str" cm="1">
        <f t="array" aca="1" ref="I86" ca="1">IF(
    ISNUMBER(VALUE(LEFT($A86, 1))),
    "",
    IFERROR(IF(_xlfn.XLOOKUP($A86, INDIRECT("'" &amp; I$2 &amp; "'!$A:$A"), INDIRECT("'" &amp; I$2 &amp; "'!$B:$B"), "")&lt;&gt;"", "✓", "✗"), "✗")
)</f>
        <v>✗</v>
      </c>
      <c r="J86" t="str" cm="1">
        <f t="array" aca="1" ref="J86" ca="1">IF(
    ISNUMBER(VALUE(LEFT($A86, 1))),
    "",
    IFERROR(IF(_xlfn.XLOOKUP($A86, INDIRECT("'" &amp; J$2 &amp; "'!$A:$A"), INDIRECT("'" &amp; J$2 &amp; "'!$B:$B"), "")&lt;&gt;"", "✓", "✗"), "✗")
)</f>
        <v>✗</v>
      </c>
      <c r="K86" t="str" cm="1">
        <f t="array" aca="1" ref="K86" ca="1">IF(
    ISNUMBER(VALUE(LEFT($A86, 1))),
    "",
    IFERROR(IF(_xlfn.XLOOKUP($A86, INDIRECT("'" &amp; K$2 &amp; "'!$A:$A"), INDIRECT("'" &amp; K$2 &amp; "'!$B:$B"), "")&lt;&gt;"", "✓", "✗"), "✗")
)</f>
        <v>✗</v>
      </c>
      <c r="L86" t="str" cm="1">
        <f t="array" aca="1" ref="L86" ca="1">IF(
    ISNUMBER(VALUE(LEFT($A86, 1))),
    "",
    IFERROR(IF(_xlfn.XLOOKUP($A86, INDIRECT("'" &amp; L$2 &amp; "'!$A:$A"), INDIRECT("'" &amp; L$2 &amp; "'!$B:$B"), "")&lt;&gt;"", "✓", "✗"), "✗")
)</f>
        <v>✗</v>
      </c>
      <c r="M86" t="str" cm="1">
        <f t="array" aca="1" ref="M86" ca="1">IF(
    ISNUMBER(VALUE(LEFT($A86, 1))),
    "",
    IFERROR(IF(_xlfn.XLOOKUP($A86, INDIRECT("'" &amp; M$2 &amp; "'!$A:$A"), INDIRECT("'" &amp; M$2 &amp; "'!$B:$B"), "")&lt;&gt;"", "✓", "✗"), "✗")
)</f>
        <v>✗</v>
      </c>
      <c r="N86" t="str" cm="1">
        <f t="array" aca="1" ref="N86" ca="1">IF(
    ISNUMBER(VALUE(LEFT($A86, 1))),
    "",
    IFERROR(IF(_xlfn.XLOOKUP($A86, INDIRECT("'" &amp; N$2 &amp; "'!$A:$A"), INDIRECT("'" &amp; N$2 &amp; "'!$B:$B"), "")&lt;&gt;"", "✓", "✗"), "✗")
)</f>
        <v>✗</v>
      </c>
      <c r="O86" t="str" cm="1">
        <f t="array" aca="1" ref="O86" ca="1">IF(
    ISNUMBER(VALUE(LEFT($A86, 1))),
    "",
    IFERROR(IF(_xlfn.XLOOKUP($A86, INDIRECT("'" &amp; O$2 &amp; "'!$A:$A"), INDIRECT("'" &amp; O$2 &amp; "'!$B:$B"), "")&lt;&gt;"", "✓", "✗"), "✗")
)</f>
        <v>✗</v>
      </c>
      <c r="P86" t="str" cm="1">
        <f t="array" aca="1" ref="P86" ca="1">IF(
    ISNUMBER(VALUE(LEFT($A86, 1))),
    "",
    IFERROR(IF(_xlfn.XLOOKUP($A86, INDIRECT("'" &amp; P$2 &amp; "'!$A:$A"), INDIRECT("'" &amp; P$2 &amp; "'!$B:$B"), "")&lt;&gt;"", "✓", "✗"), "✗")
)</f>
        <v>✗</v>
      </c>
      <c r="Q86" t="str" cm="1">
        <f t="array" aca="1" ref="Q86" ca="1">IF(
    ISNUMBER(VALUE(LEFT($A86, 1))),
    "",
    IFERROR(IF(_xlfn.XLOOKUP($A86, INDIRECT("'" &amp; Q$2 &amp; "'!$A:$A"), INDIRECT("'" &amp; Q$2 &amp; "'!$B:$B"), "")&lt;&gt;"", "✓", "✗"), "✗")
)</f>
        <v>✗</v>
      </c>
      <c r="R86" t="str" cm="1">
        <f t="array" aca="1" ref="R86" ca="1">IF(
    ISNUMBER(VALUE(LEFT($A86, 1))),
    "",
    IFERROR(IF(_xlfn.XLOOKUP($A86, INDIRECT("'" &amp; R$2 &amp; "'!$A:$A"), INDIRECT("'" &amp; R$2 &amp; "'!$B:$B"), "")&lt;&gt;"", "✓", "✗"), "✗")
)</f>
        <v>✗</v>
      </c>
      <c r="S86" t="str" cm="1">
        <f t="array" aca="1" ref="S86" ca="1">IF(
    ISNUMBER(VALUE(LEFT($A86, 1))),
    "",
    IFERROR(IF(_xlfn.XLOOKUP($A86, INDIRECT("'" &amp; S$2 &amp; "'!$A:$A"), INDIRECT("'" &amp; S$2 &amp; "'!$B:$B"), "")&lt;&gt;"", "✓", "✗"), "✗")
)</f>
        <v>✗</v>
      </c>
      <c r="T86" t="str" cm="1">
        <f t="array" aca="1" ref="T86" ca="1">IF(
    ISNUMBER(VALUE(LEFT($A86, 1))),
    "",
    IFERROR(IF(_xlfn.XLOOKUP($A86, INDIRECT("'" &amp; T$2 &amp; "'!$A:$A"), INDIRECT("'" &amp; T$2 &amp; "'!$B:$B"), "")&lt;&gt;"", "✓", "✗"), "✗")
)</f>
        <v>✗</v>
      </c>
      <c r="U86" t="str" cm="1">
        <f t="array" aca="1" ref="U86" ca="1">IF(
    ISNUMBER(VALUE(LEFT($A86, 1))),
    "",
    IFERROR(IF(_xlfn.XLOOKUP($A86, INDIRECT("'" &amp; U$2 &amp; "'!$A:$A"), INDIRECT("'" &amp; U$2 &amp; "'!$B:$B"), "")&lt;&gt;"", "✓", "✗"), "✗")
)</f>
        <v>✗</v>
      </c>
      <c r="V86" t="str" cm="1">
        <f t="array" aca="1" ref="V86" ca="1">IF(
    ISNUMBER(VALUE(LEFT($A86, 1))),
    "",
    IFERROR(IF(_xlfn.XLOOKUP($A86, INDIRECT("'" &amp; V$2 &amp; "'!$A:$A"), INDIRECT("'" &amp; V$2 &amp; "'!$B:$B"), "")&lt;&gt;"", "✓", "✗"), "✗")
)</f>
        <v>✗</v>
      </c>
      <c r="W86" t="str" cm="1">
        <f t="array" aca="1" ref="W86" ca="1">IF(
    ISNUMBER(VALUE(LEFT($A86, 1))),
    "",
    IFERROR(IF(_xlfn.XLOOKUP($A86, INDIRECT("'" &amp; W$2 &amp; "'!$A:$A"), INDIRECT("'" &amp; W$2 &amp; "'!$B:$B"), "")&lt;&gt;"", "✓", "✗"), "✗")
)</f>
        <v>✗</v>
      </c>
      <c r="X86" t="str" cm="1">
        <f t="array" aca="1" ref="X86" ca="1">IF(
    ISNUMBER(VALUE(LEFT($A86, 1))),
    "",
    IFERROR(IF(_xlfn.XLOOKUP($A86, INDIRECT("'" &amp; X$2 &amp; "'!$A:$A"), INDIRECT("'" &amp; X$2 &amp; "'!$B:$B"), "")&lt;&gt;"", "✓", "✗"), "✗")
)</f>
        <v>✗</v>
      </c>
      <c r="Y86" t="str" cm="1">
        <f t="array" aca="1" ref="Y86" ca="1">IF(
    ISNUMBER(VALUE(LEFT($A86, 1))),
    "",
    IFERROR(IF(_xlfn.XLOOKUP($A86, INDIRECT("'" &amp; Y$2 &amp; "'!$A:$A"), INDIRECT("'" &amp; Y$2 &amp; "'!$B:$B"), "")&lt;&gt;"", "✓", "✗"), "✗")
)</f>
        <v>✗</v>
      </c>
      <c r="Z86" t="str" cm="1">
        <f t="array" aca="1" ref="Z86" ca="1">IF(
    ISNUMBER(VALUE(LEFT($A86, 1))),
    "",
    IFERROR(IF(_xlfn.XLOOKUP($A86, INDIRECT("'" &amp; Z$2 &amp; "'!$A:$A"), INDIRECT("'" &amp; Z$2 &amp; "'!$B:$B"), "")&lt;&gt;"", "✓", "✗"), "✗")
)</f>
        <v>✗</v>
      </c>
      <c r="AA86" t="str" cm="1">
        <f t="array" aca="1" ref="AA86" ca="1">IF(
    ISNUMBER(VALUE(LEFT($A86, 1))),
    "",
    IFERROR(IF(_xlfn.XLOOKUP($A86, INDIRECT("'" &amp; AA$2 &amp; "'!$A:$A"), INDIRECT("'" &amp; AA$2 &amp; "'!$B:$B"), "")&lt;&gt;"", "✓", "✗"), "✗")
)</f>
        <v>✗</v>
      </c>
      <c r="AB86" t="str" cm="1">
        <f t="array" aca="1" ref="AB86" ca="1">IF(
    ISNUMBER(VALUE(LEFT($A86, 1))),
    "",
    IFERROR(IF(_xlfn.XLOOKUP($A86, INDIRECT("'" &amp; AB$2 &amp; "'!$A:$A"), INDIRECT("'" &amp; AB$2 &amp; "'!$B:$B"), "")&lt;&gt;"", "✓", "✗"), "✗")
)</f>
        <v>✓</v>
      </c>
      <c r="AC86" t="str" cm="1">
        <f t="array" aca="1" ref="AC86" ca="1">IF(
    ISNUMBER(VALUE(LEFT($A86, 1))),
    "",
    IFERROR(IF(_xlfn.XLOOKUP($A86, INDIRECT("'" &amp; AC$2 &amp; "'!$A:$A"), INDIRECT("'" &amp; AC$2 &amp; "'!$B:$B"), "")&lt;&gt;"", "✓", "✗"), "✗")
)</f>
        <v>✗</v>
      </c>
      <c r="AD86" t="str" cm="1">
        <f t="array" aca="1" ref="AD86" ca="1">IF(
    ISNUMBER(VALUE(LEFT($A86, 1))),
    "",
    IFERROR(IF(_xlfn.XLOOKUP($A86, INDIRECT("'" &amp; AD$2 &amp; "'!$A:$A"), INDIRECT("'" &amp; AD$2 &amp; "'!$B:$B"), "")&lt;&gt;"", "✓", "✗"), "✗")
)</f>
        <v>✗</v>
      </c>
      <c r="AE86" t="str" cm="1">
        <f t="array" aca="1" ref="AE86" ca="1">IF(
    ISNUMBER(VALUE(LEFT($A86, 1))),
    "",
    IFERROR(IF(_xlfn.XLOOKUP($A86, INDIRECT("'" &amp; AE$2 &amp; "'!$A:$A"), INDIRECT("'" &amp; AE$2 &amp; "'!$B:$B"), "")&lt;&gt;"", "✓", "✗"), "✗")
)</f>
        <v>✓</v>
      </c>
      <c r="AF86" t="str" cm="1">
        <f t="array" aca="1" ref="AF86" ca="1">IF(
    ISNUMBER(VALUE(LEFT($A86, 1))),
    "",
    IFERROR(IF(_xlfn.XLOOKUP($A86, INDIRECT("'" &amp; AF$2 &amp; "'!$A:$A"), INDIRECT("'" &amp; AF$2 &amp; "'!$B:$B"), "")&lt;&gt;"", "✓", "✗"), "✗")
)</f>
        <v>✓</v>
      </c>
      <c r="AG86" t="str" cm="1">
        <f t="array" aca="1" ref="AG86" ca="1">IF(
    ISNUMBER(VALUE(LEFT($A86, 1))),
    "",
    IFERROR(IF(_xlfn.XLOOKUP($A86, INDIRECT("'" &amp; AG$2 &amp; "'!$A:$A"), INDIRECT("'" &amp; AG$2 &amp; "'!$B:$B"), "")&lt;&gt;"", "✓", "✗"), "✗")
)</f>
        <v>✓</v>
      </c>
    </row>
    <row r="87" spans="1:33" x14ac:dyDescent="0.45">
      <c r="A87" t="str">
        <v>Integrate Source ID</v>
      </c>
      <c r="B87" t="str" cm="1">
        <f t="array" aca="1" ref="B87" ca="1">IF(
    ISNUMBER(VALUE(LEFT($A87, 1))),
    "",
    IFERROR(IF(_xlfn.XLOOKUP($A87, INDIRECT("'" &amp; B$2 &amp; "'!$A:$A"), INDIRECT("'" &amp; B$2 &amp; "'!$B:$B"), "")&lt;&gt;"", "✓", "✗"), "✗")
)</f>
        <v>✓</v>
      </c>
      <c r="C87" t="str" cm="1">
        <f t="array" aca="1" ref="C87" ca="1">IF(
    ISNUMBER(VALUE(LEFT($A87, 1))),
    "",
    IFERROR(IF(_xlfn.XLOOKUP($A87, INDIRECT("'" &amp; C$2 &amp; "'!$A:$A"), INDIRECT("'" &amp; C$2 &amp; "'!$B:$B"), "")&lt;&gt;"", "✓", "✗"), "✗")
)</f>
        <v>✓</v>
      </c>
      <c r="D87" t="str" cm="1">
        <f t="array" aca="1" ref="D87" ca="1">IF(
    ISNUMBER(VALUE(LEFT($A87, 1))),
    "",
    IFERROR(IF(_xlfn.XLOOKUP($A87, INDIRECT("'" &amp; D$2 &amp; "'!$A:$A"), INDIRECT("'" &amp; D$2 &amp; "'!$B:$B"), "")&lt;&gt;"", "✓", "✗"), "✗")
)</f>
        <v>✓</v>
      </c>
      <c r="E87" t="str" cm="1">
        <f t="array" aca="1" ref="E87" ca="1">IF(
    ISNUMBER(VALUE(LEFT($A87, 1))),
    "",
    IFERROR(IF(_xlfn.XLOOKUP($A87, INDIRECT("'" &amp; E$2 &amp; "'!$A:$A"), INDIRECT("'" &amp; E$2 &amp; "'!$B:$B"), "")&lt;&gt;"", "✓", "✗"), "✗")
)</f>
        <v>✓</v>
      </c>
      <c r="F87" t="str" cm="1">
        <f t="array" aca="1" ref="F87" ca="1">IF(
    ISNUMBER(VALUE(LEFT($A87, 1))),
    "",
    IFERROR(IF(_xlfn.XLOOKUP($A87, INDIRECT("'" &amp; F$2 &amp; "'!$A:$A"), INDIRECT("'" &amp; F$2 &amp; "'!$B:$B"), "")&lt;&gt;"", "✓", "✗"), "✗")
)</f>
        <v>✓</v>
      </c>
      <c r="G87" t="str" cm="1">
        <f t="array" aca="1" ref="G87" ca="1">IF(
    ISNUMBER(VALUE(LEFT($A87, 1))),
    "",
    IFERROR(IF(_xlfn.XLOOKUP($A87, INDIRECT("'" &amp; G$2 &amp; "'!$A:$A"), INDIRECT("'" &amp; G$2 &amp; "'!$B:$B"), "")&lt;&gt;"", "✓", "✗"), "✗")
)</f>
        <v>✗</v>
      </c>
      <c r="H87" t="str" cm="1">
        <f t="array" aca="1" ref="H87" ca="1">IF(
    ISNUMBER(VALUE(LEFT($A87, 1))),
    "",
    IFERROR(IF(_xlfn.XLOOKUP($A87, INDIRECT("'" &amp; H$2 &amp; "'!$A:$A"), INDIRECT("'" &amp; H$2 &amp; "'!$B:$B"), "")&lt;&gt;"", "✓", "✗"), "✗")
)</f>
        <v>✗</v>
      </c>
      <c r="I87" t="str" cm="1">
        <f t="array" aca="1" ref="I87" ca="1">IF(
    ISNUMBER(VALUE(LEFT($A87, 1))),
    "",
    IFERROR(IF(_xlfn.XLOOKUP($A87, INDIRECT("'" &amp; I$2 &amp; "'!$A:$A"), INDIRECT("'" &amp; I$2 &amp; "'!$B:$B"), "")&lt;&gt;"", "✓", "✗"), "✗")
)</f>
        <v>✗</v>
      </c>
      <c r="J87" t="str" cm="1">
        <f t="array" aca="1" ref="J87" ca="1">IF(
    ISNUMBER(VALUE(LEFT($A87, 1))),
    "",
    IFERROR(IF(_xlfn.XLOOKUP($A87, INDIRECT("'" &amp; J$2 &amp; "'!$A:$A"), INDIRECT("'" &amp; J$2 &amp; "'!$B:$B"), "")&lt;&gt;"", "✓", "✗"), "✗")
)</f>
        <v>✗</v>
      </c>
      <c r="K87" t="str" cm="1">
        <f t="array" aca="1" ref="K87" ca="1">IF(
    ISNUMBER(VALUE(LEFT($A87, 1))),
    "",
    IFERROR(IF(_xlfn.XLOOKUP($A87, INDIRECT("'" &amp; K$2 &amp; "'!$A:$A"), INDIRECT("'" &amp; K$2 &amp; "'!$B:$B"), "")&lt;&gt;"", "✓", "✗"), "✗")
)</f>
        <v>✗</v>
      </c>
      <c r="L87" t="str" cm="1">
        <f t="array" aca="1" ref="L87" ca="1">IF(
    ISNUMBER(VALUE(LEFT($A87, 1))),
    "",
    IFERROR(IF(_xlfn.XLOOKUP($A87, INDIRECT("'" &amp; L$2 &amp; "'!$A:$A"), INDIRECT("'" &amp; L$2 &amp; "'!$B:$B"), "")&lt;&gt;"", "✓", "✗"), "✗")
)</f>
        <v>✗</v>
      </c>
      <c r="M87" t="str" cm="1">
        <f t="array" aca="1" ref="M87" ca="1">IF(
    ISNUMBER(VALUE(LEFT($A87, 1))),
    "",
    IFERROR(IF(_xlfn.XLOOKUP($A87, INDIRECT("'" &amp; M$2 &amp; "'!$A:$A"), INDIRECT("'" &amp; M$2 &amp; "'!$B:$B"), "")&lt;&gt;"", "✓", "✗"), "✗")
)</f>
        <v>✗</v>
      </c>
      <c r="N87" t="str" cm="1">
        <f t="array" aca="1" ref="N87" ca="1">IF(
    ISNUMBER(VALUE(LEFT($A87, 1))),
    "",
    IFERROR(IF(_xlfn.XLOOKUP($A87, INDIRECT("'" &amp; N$2 &amp; "'!$A:$A"), INDIRECT("'" &amp; N$2 &amp; "'!$B:$B"), "")&lt;&gt;"", "✓", "✗"), "✗")
)</f>
        <v>✗</v>
      </c>
      <c r="O87" t="str" cm="1">
        <f t="array" aca="1" ref="O87" ca="1">IF(
    ISNUMBER(VALUE(LEFT($A87, 1))),
    "",
    IFERROR(IF(_xlfn.XLOOKUP($A87, INDIRECT("'" &amp; O$2 &amp; "'!$A:$A"), INDIRECT("'" &amp; O$2 &amp; "'!$B:$B"), "")&lt;&gt;"", "✓", "✗"), "✗")
)</f>
        <v>✗</v>
      </c>
      <c r="P87" t="str" cm="1">
        <f t="array" aca="1" ref="P87" ca="1">IF(
    ISNUMBER(VALUE(LEFT($A87, 1))),
    "",
    IFERROR(IF(_xlfn.XLOOKUP($A87, INDIRECT("'" &amp; P$2 &amp; "'!$A:$A"), INDIRECT("'" &amp; P$2 &amp; "'!$B:$B"), "")&lt;&gt;"", "✓", "✗"), "✗")
)</f>
        <v>✗</v>
      </c>
      <c r="Q87" t="str" cm="1">
        <f t="array" aca="1" ref="Q87" ca="1">IF(
    ISNUMBER(VALUE(LEFT($A87, 1))),
    "",
    IFERROR(IF(_xlfn.XLOOKUP($A87, INDIRECT("'" &amp; Q$2 &amp; "'!$A:$A"), INDIRECT("'" &amp; Q$2 &amp; "'!$B:$B"), "")&lt;&gt;"", "✓", "✗"), "✗")
)</f>
        <v>✗</v>
      </c>
      <c r="R87" t="str" cm="1">
        <f t="array" aca="1" ref="R87" ca="1">IF(
    ISNUMBER(VALUE(LEFT($A87, 1))),
    "",
    IFERROR(IF(_xlfn.XLOOKUP($A87, INDIRECT("'" &amp; R$2 &amp; "'!$A:$A"), INDIRECT("'" &amp; R$2 &amp; "'!$B:$B"), "")&lt;&gt;"", "✓", "✗"), "✗")
)</f>
        <v>✗</v>
      </c>
      <c r="S87" t="str" cm="1">
        <f t="array" aca="1" ref="S87" ca="1">IF(
    ISNUMBER(VALUE(LEFT($A87, 1))),
    "",
    IFERROR(IF(_xlfn.XLOOKUP($A87, INDIRECT("'" &amp; S$2 &amp; "'!$A:$A"), INDIRECT("'" &amp; S$2 &amp; "'!$B:$B"), "")&lt;&gt;"", "✓", "✗"), "✗")
)</f>
        <v>✗</v>
      </c>
      <c r="T87" t="str" cm="1">
        <f t="array" aca="1" ref="T87" ca="1">IF(
    ISNUMBER(VALUE(LEFT($A87, 1))),
    "",
    IFERROR(IF(_xlfn.XLOOKUP($A87, INDIRECT("'" &amp; T$2 &amp; "'!$A:$A"), INDIRECT("'" &amp; T$2 &amp; "'!$B:$B"), "")&lt;&gt;"", "✓", "✗"), "✗")
)</f>
        <v>✗</v>
      </c>
      <c r="U87" t="str" cm="1">
        <f t="array" aca="1" ref="U87" ca="1">IF(
    ISNUMBER(VALUE(LEFT($A87, 1))),
    "",
    IFERROR(IF(_xlfn.XLOOKUP($A87, INDIRECT("'" &amp; U$2 &amp; "'!$A:$A"), INDIRECT("'" &amp; U$2 &amp; "'!$B:$B"), "")&lt;&gt;"", "✓", "✗"), "✗")
)</f>
        <v>✗</v>
      </c>
      <c r="V87" t="str" cm="1">
        <f t="array" aca="1" ref="V87" ca="1">IF(
    ISNUMBER(VALUE(LEFT($A87, 1))),
    "",
    IFERROR(IF(_xlfn.XLOOKUP($A87, INDIRECT("'" &amp; V$2 &amp; "'!$A:$A"), INDIRECT("'" &amp; V$2 &amp; "'!$B:$B"), "")&lt;&gt;"", "✓", "✗"), "✗")
)</f>
        <v>✗</v>
      </c>
      <c r="W87" t="str" cm="1">
        <f t="array" aca="1" ref="W87" ca="1">IF(
    ISNUMBER(VALUE(LEFT($A87, 1))),
    "",
    IFERROR(IF(_xlfn.XLOOKUP($A87, INDIRECT("'" &amp; W$2 &amp; "'!$A:$A"), INDIRECT("'" &amp; W$2 &amp; "'!$B:$B"), "")&lt;&gt;"", "✓", "✗"), "✗")
)</f>
        <v>✗</v>
      </c>
      <c r="X87" t="str" cm="1">
        <f t="array" aca="1" ref="X87" ca="1">IF(
    ISNUMBER(VALUE(LEFT($A87, 1))),
    "",
    IFERROR(IF(_xlfn.XLOOKUP($A87, INDIRECT("'" &amp; X$2 &amp; "'!$A:$A"), INDIRECT("'" &amp; X$2 &amp; "'!$B:$B"), "")&lt;&gt;"", "✓", "✗"), "✗")
)</f>
        <v>✗</v>
      </c>
      <c r="Y87" t="str" cm="1">
        <f t="array" aca="1" ref="Y87" ca="1">IF(
    ISNUMBER(VALUE(LEFT($A87, 1))),
    "",
    IFERROR(IF(_xlfn.XLOOKUP($A87, INDIRECT("'" &amp; Y$2 &amp; "'!$A:$A"), INDIRECT("'" &amp; Y$2 &amp; "'!$B:$B"), "")&lt;&gt;"", "✓", "✗"), "✗")
)</f>
        <v>✗</v>
      </c>
      <c r="Z87" t="str" cm="1">
        <f t="array" aca="1" ref="Z87" ca="1">IF(
    ISNUMBER(VALUE(LEFT($A87, 1))),
    "",
    IFERROR(IF(_xlfn.XLOOKUP($A87, INDIRECT("'" &amp; Z$2 &amp; "'!$A:$A"), INDIRECT("'" &amp; Z$2 &amp; "'!$B:$B"), "")&lt;&gt;"", "✓", "✗"), "✗")
)</f>
        <v>✗</v>
      </c>
      <c r="AA87" t="str" cm="1">
        <f t="array" aca="1" ref="AA87" ca="1">IF(
    ISNUMBER(VALUE(LEFT($A87, 1))),
    "",
    IFERROR(IF(_xlfn.XLOOKUP($A87, INDIRECT("'" &amp; AA$2 &amp; "'!$A:$A"), INDIRECT("'" &amp; AA$2 &amp; "'!$B:$B"), "")&lt;&gt;"", "✓", "✗"), "✗")
)</f>
        <v>✗</v>
      </c>
      <c r="AB87" t="str" cm="1">
        <f t="array" aca="1" ref="AB87" ca="1">IF(
    ISNUMBER(VALUE(LEFT($A87, 1))),
    "",
    IFERROR(IF(_xlfn.XLOOKUP($A87, INDIRECT("'" &amp; AB$2 &amp; "'!$A:$A"), INDIRECT("'" &amp; AB$2 &amp; "'!$B:$B"), "")&lt;&gt;"", "✓", "✗"), "✗")
)</f>
        <v>✗</v>
      </c>
      <c r="AC87" t="str" cm="1">
        <f t="array" aca="1" ref="AC87" ca="1">IF(
    ISNUMBER(VALUE(LEFT($A87, 1))),
    "",
    IFERROR(IF(_xlfn.XLOOKUP($A87, INDIRECT("'" &amp; AC$2 &amp; "'!$A:$A"), INDIRECT("'" &amp; AC$2 &amp; "'!$B:$B"), "")&lt;&gt;"", "✓", "✗"), "✗")
)</f>
        <v>✗</v>
      </c>
      <c r="AD87" t="str" cm="1">
        <f t="array" aca="1" ref="AD87" ca="1">IF(
    ISNUMBER(VALUE(LEFT($A87, 1))),
    "",
    IFERROR(IF(_xlfn.XLOOKUP($A87, INDIRECT("'" &amp; AD$2 &amp; "'!$A:$A"), INDIRECT("'" &amp; AD$2 &amp; "'!$B:$B"), "")&lt;&gt;"", "✓", "✗"), "✗")
)</f>
        <v>✗</v>
      </c>
      <c r="AE87" t="str" cm="1">
        <f t="array" aca="1" ref="AE87" ca="1">IF(
    ISNUMBER(VALUE(LEFT($A87, 1))),
    "",
    IFERROR(IF(_xlfn.XLOOKUP($A87, INDIRECT("'" &amp; AE$2 &amp; "'!$A:$A"), INDIRECT("'" &amp; AE$2 &amp; "'!$B:$B"), "")&lt;&gt;"", "✓", "✗"), "✗")
)</f>
        <v>✗</v>
      </c>
      <c r="AF87" t="str" cm="1">
        <f t="array" aca="1" ref="AF87" ca="1">IF(
    ISNUMBER(VALUE(LEFT($A87, 1))),
    "",
    IFERROR(IF(_xlfn.XLOOKUP($A87, INDIRECT("'" &amp; AF$2 &amp; "'!$A:$A"), INDIRECT("'" &amp; AF$2 &amp; "'!$B:$B"), "")&lt;&gt;"", "✓", "✗"), "✗")
)</f>
        <v>✗</v>
      </c>
      <c r="AG87" t="str" cm="1">
        <f t="array" aca="1" ref="AG87" ca="1">IF(
    ISNUMBER(VALUE(LEFT($A87, 1))),
    "",
    IFERROR(IF(_xlfn.XLOOKUP($A87, INDIRECT("'" &amp; AG$2 &amp; "'!$A:$A"), INDIRECT("'" &amp; AG$2 &amp; "'!$B:$B"), "")&lt;&gt;"", "✓", "✗"), "✗")
)</f>
        <v>✗</v>
      </c>
    </row>
    <row r="88" spans="1:33" x14ac:dyDescent="0.45">
      <c r="A88" t="str">
        <v>Contact Source Original</v>
      </c>
      <c r="B88" t="str" cm="1">
        <f t="array" aca="1" ref="B88" ca="1">IF(
    ISNUMBER(VALUE(LEFT($A88, 1))),
    "",
    IFERROR(IF(_xlfn.XLOOKUP($A88, INDIRECT("'" &amp; B$2 &amp; "'!$A:$A"), INDIRECT("'" &amp; B$2 &amp; "'!$B:$B"), "")&lt;&gt;"", "✓", "✗"), "✗")
)</f>
        <v>✓</v>
      </c>
      <c r="C88" t="str" cm="1">
        <f t="array" aca="1" ref="C88" ca="1">IF(
    ISNUMBER(VALUE(LEFT($A88, 1))),
    "",
    IFERROR(IF(_xlfn.XLOOKUP($A88, INDIRECT("'" &amp; C$2 &amp; "'!$A:$A"), INDIRECT("'" &amp; C$2 &amp; "'!$B:$B"), "")&lt;&gt;"", "✓", "✗"), "✗")
)</f>
        <v>✓</v>
      </c>
      <c r="D88" t="str" cm="1">
        <f t="array" aca="1" ref="D88" ca="1">IF(
    ISNUMBER(VALUE(LEFT($A88, 1))),
    "",
    IFERROR(IF(_xlfn.XLOOKUP($A88, INDIRECT("'" &amp; D$2 &amp; "'!$A:$A"), INDIRECT("'" &amp; D$2 &amp; "'!$B:$B"), "")&lt;&gt;"", "✓", "✗"), "✗")
)</f>
        <v>✓</v>
      </c>
      <c r="E88" t="str" cm="1">
        <f t="array" aca="1" ref="E88" ca="1">IF(
    ISNUMBER(VALUE(LEFT($A88, 1))),
    "",
    IFERROR(IF(_xlfn.XLOOKUP($A88, INDIRECT("'" &amp; E$2 &amp; "'!$A:$A"), INDIRECT("'" &amp; E$2 &amp; "'!$B:$B"), "")&lt;&gt;"", "✓", "✗"), "✗")
)</f>
        <v>✓</v>
      </c>
      <c r="F88" t="str" cm="1">
        <f t="array" aca="1" ref="F88" ca="1">IF(
    ISNUMBER(VALUE(LEFT($A88, 1))),
    "",
    IFERROR(IF(_xlfn.XLOOKUP($A88, INDIRECT("'" &amp; F$2 &amp; "'!$A:$A"), INDIRECT("'" &amp; F$2 &amp; "'!$B:$B"), "")&lt;&gt;"", "✓", "✗"), "✗")
)</f>
        <v>✓</v>
      </c>
      <c r="G88" t="str" cm="1">
        <f t="array" aca="1" ref="G88" ca="1">IF(
    ISNUMBER(VALUE(LEFT($A88, 1))),
    "",
    IFERROR(IF(_xlfn.XLOOKUP($A88, INDIRECT("'" &amp; G$2 &amp; "'!$A:$A"), INDIRECT("'" &amp; G$2 &amp; "'!$B:$B"), "")&lt;&gt;"", "✓", "✗"), "✗")
)</f>
        <v>✗</v>
      </c>
      <c r="H88" t="str" cm="1">
        <f t="array" aca="1" ref="H88" ca="1">IF(
    ISNUMBER(VALUE(LEFT($A88, 1))),
    "",
    IFERROR(IF(_xlfn.XLOOKUP($A88, INDIRECT("'" &amp; H$2 &amp; "'!$A:$A"), INDIRECT("'" &amp; H$2 &amp; "'!$B:$B"), "")&lt;&gt;"", "✓", "✗"), "✗")
)</f>
        <v>✗</v>
      </c>
      <c r="I88" t="str" cm="1">
        <f t="array" aca="1" ref="I88" ca="1">IF(
    ISNUMBER(VALUE(LEFT($A88, 1))),
    "",
    IFERROR(IF(_xlfn.XLOOKUP($A88, INDIRECT("'" &amp; I$2 &amp; "'!$A:$A"), INDIRECT("'" &amp; I$2 &amp; "'!$B:$B"), "")&lt;&gt;"", "✓", "✗"), "✗")
)</f>
        <v>✗</v>
      </c>
      <c r="J88" t="str" cm="1">
        <f t="array" aca="1" ref="J88" ca="1">IF(
    ISNUMBER(VALUE(LEFT($A88, 1))),
    "",
    IFERROR(IF(_xlfn.XLOOKUP($A88, INDIRECT("'" &amp; J$2 &amp; "'!$A:$A"), INDIRECT("'" &amp; J$2 &amp; "'!$B:$B"), "")&lt;&gt;"", "✓", "✗"), "✗")
)</f>
        <v>✗</v>
      </c>
      <c r="K88" t="str" cm="1">
        <f t="array" aca="1" ref="K88" ca="1">IF(
    ISNUMBER(VALUE(LEFT($A88, 1))),
    "",
    IFERROR(IF(_xlfn.XLOOKUP($A88, INDIRECT("'" &amp; K$2 &amp; "'!$A:$A"), INDIRECT("'" &amp; K$2 &amp; "'!$B:$B"), "")&lt;&gt;"", "✓", "✗"), "✗")
)</f>
        <v>✗</v>
      </c>
      <c r="L88" t="str" cm="1">
        <f t="array" aca="1" ref="L88" ca="1">IF(
    ISNUMBER(VALUE(LEFT($A88, 1))),
    "",
    IFERROR(IF(_xlfn.XLOOKUP($A88, INDIRECT("'" &amp; L$2 &amp; "'!$A:$A"), INDIRECT("'" &amp; L$2 &amp; "'!$B:$B"), "")&lt;&gt;"", "✓", "✗"), "✗")
)</f>
        <v>✗</v>
      </c>
      <c r="M88" t="str" cm="1">
        <f t="array" aca="1" ref="M88" ca="1">IF(
    ISNUMBER(VALUE(LEFT($A88, 1))),
    "",
    IFERROR(IF(_xlfn.XLOOKUP($A88, INDIRECT("'" &amp; M$2 &amp; "'!$A:$A"), INDIRECT("'" &amp; M$2 &amp; "'!$B:$B"), "")&lt;&gt;"", "✓", "✗"), "✗")
)</f>
        <v>✗</v>
      </c>
      <c r="N88" t="str" cm="1">
        <f t="array" aca="1" ref="N88" ca="1">IF(
    ISNUMBER(VALUE(LEFT($A88, 1))),
    "",
    IFERROR(IF(_xlfn.XLOOKUP($A88, INDIRECT("'" &amp; N$2 &amp; "'!$A:$A"), INDIRECT("'" &amp; N$2 &amp; "'!$B:$B"), "")&lt;&gt;"", "✓", "✗"), "✗")
)</f>
        <v>✗</v>
      </c>
      <c r="O88" t="str" cm="1">
        <f t="array" aca="1" ref="O88" ca="1">IF(
    ISNUMBER(VALUE(LEFT($A88, 1))),
    "",
    IFERROR(IF(_xlfn.XLOOKUP($A88, INDIRECT("'" &amp; O$2 &amp; "'!$A:$A"), INDIRECT("'" &amp; O$2 &amp; "'!$B:$B"), "")&lt;&gt;"", "✓", "✗"), "✗")
)</f>
        <v>✗</v>
      </c>
      <c r="P88" t="str" cm="1">
        <f t="array" aca="1" ref="P88" ca="1">IF(
    ISNUMBER(VALUE(LEFT($A88, 1))),
    "",
    IFERROR(IF(_xlfn.XLOOKUP($A88, INDIRECT("'" &amp; P$2 &amp; "'!$A:$A"), INDIRECT("'" &amp; P$2 &amp; "'!$B:$B"), "")&lt;&gt;"", "✓", "✗"), "✗")
)</f>
        <v>✗</v>
      </c>
      <c r="Q88" t="str" cm="1">
        <f t="array" aca="1" ref="Q88" ca="1">IF(
    ISNUMBER(VALUE(LEFT($A88, 1))),
    "",
    IFERROR(IF(_xlfn.XLOOKUP($A88, INDIRECT("'" &amp; Q$2 &amp; "'!$A:$A"), INDIRECT("'" &amp; Q$2 &amp; "'!$B:$B"), "")&lt;&gt;"", "✓", "✗"), "✗")
)</f>
        <v>✗</v>
      </c>
      <c r="R88" t="str" cm="1">
        <f t="array" aca="1" ref="R88" ca="1">IF(
    ISNUMBER(VALUE(LEFT($A88, 1))),
    "",
    IFERROR(IF(_xlfn.XLOOKUP($A88, INDIRECT("'" &amp; R$2 &amp; "'!$A:$A"), INDIRECT("'" &amp; R$2 &amp; "'!$B:$B"), "")&lt;&gt;"", "✓", "✗"), "✗")
)</f>
        <v>✗</v>
      </c>
      <c r="S88" t="str" cm="1">
        <f t="array" aca="1" ref="S88" ca="1">IF(
    ISNUMBER(VALUE(LEFT($A88, 1))),
    "",
    IFERROR(IF(_xlfn.XLOOKUP($A88, INDIRECT("'" &amp; S$2 &amp; "'!$A:$A"), INDIRECT("'" &amp; S$2 &amp; "'!$B:$B"), "")&lt;&gt;"", "✓", "✗"), "✗")
)</f>
        <v>✗</v>
      </c>
      <c r="T88" t="str" cm="1">
        <f t="array" aca="1" ref="T88" ca="1">IF(
    ISNUMBER(VALUE(LEFT($A88, 1))),
    "",
    IFERROR(IF(_xlfn.XLOOKUP($A88, INDIRECT("'" &amp; T$2 &amp; "'!$A:$A"), INDIRECT("'" &amp; T$2 &amp; "'!$B:$B"), "")&lt;&gt;"", "✓", "✗"), "✗")
)</f>
        <v>✗</v>
      </c>
      <c r="U88" t="str" cm="1">
        <f t="array" aca="1" ref="U88" ca="1">IF(
    ISNUMBER(VALUE(LEFT($A88, 1))),
    "",
    IFERROR(IF(_xlfn.XLOOKUP($A88, INDIRECT("'" &amp; U$2 &amp; "'!$A:$A"), INDIRECT("'" &amp; U$2 &amp; "'!$B:$B"), "")&lt;&gt;"", "✓", "✗"), "✗")
)</f>
        <v>✗</v>
      </c>
      <c r="V88" t="str" cm="1">
        <f t="array" aca="1" ref="V88" ca="1">IF(
    ISNUMBER(VALUE(LEFT($A88, 1))),
    "",
    IFERROR(IF(_xlfn.XLOOKUP($A88, INDIRECT("'" &amp; V$2 &amp; "'!$A:$A"), INDIRECT("'" &amp; V$2 &amp; "'!$B:$B"), "")&lt;&gt;"", "✓", "✗"), "✗")
)</f>
        <v>✗</v>
      </c>
      <c r="W88" t="str" cm="1">
        <f t="array" aca="1" ref="W88" ca="1">IF(
    ISNUMBER(VALUE(LEFT($A88, 1))),
    "",
    IFERROR(IF(_xlfn.XLOOKUP($A88, INDIRECT("'" &amp; W$2 &amp; "'!$A:$A"), INDIRECT("'" &amp; W$2 &amp; "'!$B:$B"), "")&lt;&gt;"", "✓", "✗"), "✗")
)</f>
        <v>✗</v>
      </c>
      <c r="X88" t="str" cm="1">
        <f t="array" aca="1" ref="X88" ca="1">IF(
    ISNUMBER(VALUE(LEFT($A88, 1))),
    "",
    IFERROR(IF(_xlfn.XLOOKUP($A88, INDIRECT("'" &amp; X$2 &amp; "'!$A:$A"), INDIRECT("'" &amp; X$2 &amp; "'!$B:$B"), "")&lt;&gt;"", "✓", "✗"), "✗")
)</f>
        <v>✗</v>
      </c>
      <c r="Y88" t="str" cm="1">
        <f t="array" aca="1" ref="Y88" ca="1">IF(
    ISNUMBER(VALUE(LEFT($A88, 1))),
    "",
    IFERROR(IF(_xlfn.XLOOKUP($A88, INDIRECT("'" &amp; Y$2 &amp; "'!$A:$A"), INDIRECT("'" &amp; Y$2 &amp; "'!$B:$B"), "")&lt;&gt;"", "✓", "✗"), "✗")
)</f>
        <v>✗</v>
      </c>
      <c r="Z88" t="str" cm="1">
        <f t="array" aca="1" ref="Z88" ca="1">IF(
    ISNUMBER(VALUE(LEFT($A88, 1))),
    "",
    IFERROR(IF(_xlfn.XLOOKUP($A88, INDIRECT("'" &amp; Z$2 &amp; "'!$A:$A"), INDIRECT("'" &amp; Z$2 &amp; "'!$B:$B"), "")&lt;&gt;"", "✓", "✗"), "✗")
)</f>
        <v>✗</v>
      </c>
      <c r="AA88" t="str" cm="1">
        <f t="array" aca="1" ref="AA88" ca="1">IF(
    ISNUMBER(VALUE(LEFT($A88, 1))),
    "",
    IFERROR(IF(_xlfn.XLOOKUP($A88, INDIRECT("'" &amp; AA$2 &amp; "'!$A:$A"), INDIRECT("'" &amp; AA$2 &amp; "'!$B:$B"), "")&lt;&gt;"", "✓", "✗"), "✗")
)</f>
        <v>✗</v>
      </c>
      <c r="AB88" t="str" cm="1">
        <f t="array" aca="1" ref="AB88" ca="1">IF(
    ISNUMBER(VALUE(LEFT($A88, 1))),
    "",
    IFERROR(IF(_xlfn.XLOOKUP($A88, INDIRECT("'" &amp; AB$2 &amp; "'!$A:$A"), INDIRECT("'" &amp; AB$2 &amp; "'!$B:$B"), "")&lt;&gt;"", "✓", "✗"), "✗")
)</f>
        <v>✓</v>
      </c>
      <c r="AC88" t="str" cm="1">
        <f t="array" aca="1" ref="AC88" ca="1">IF(
    ISNUMBER(VALUE(LEFT($A88, 1))),
    "",
    IFERROR(IF(_xlfn.XLOOKUP($A88, INDIRECT("'" &amp; AC$2 &amp; "'!$A:$A"), INDIRECT("'" &amp; AC$2 &amp; "'!$B:$B"), "")&lt;&gt;"", "✓", "✗"), "✗")
)</f>
        <v>✗</v>
      </c>
      <c r="AD88" t="str" cm="1">
        <f t="array" aca="1" ref="AD88" ca="1">IF(
    ISNUMBER(VALUE(LEFT($A88, 1))),
    "",
    IFERROR(IF(_xlfn.XLOOKUP($A88, INDIRECT("'" &amp; AD$2 &amp; "'!$A:$A"), INDIRECT("'" &amp; AD$2 &amp; "'!$B:$B"), "")&lt;&gt;"", "✓", "✗"), "✗")
)</f>
        <v>✗</v>
      </c>
      <c r="AE88" t="str" cm="1">
        <f t="array" aca="1" ref="AE88" ca="1">IF(
    ISNUMBER(VALUE(LEFT($A88, 1))),
    "",
    IFERROR(IF(_xlfn.XLOOKUP($A88, INDIRECT("'" &amp; AE$2 &amp; "'!$A:$A"), INDIRECT("'" &amp; AE$2 &amp; "'!$B:$B"), "")&lt;&gt;"", "✓", "✗"), "✗")
)</f>
        <v>✓</v>
      </c>
      <c r="AF88" t="str" cm="1">
        <f t="array" aca="1" ref="AF88" ca="1">IF(
    ISNUMBER(VALUE(LEFT($A88, 1))),
    "",
    IFERROR(IF(_xlfn.XLOOKUP($A88, INDIRECT("'" &amp; AF$2 &amp; "'!$A:$A"), INDIRECT("'" &amp; AF$2 &amp; "'!$B:$B"), "")&lt;&gt;"", "✓", "✗"), "✗")
)</f>
        <v>✓</v>
      </c>
      <c r="AG88" t="str" cm="1">
        <f t="array" aca="1" ref="AG88" ca="1">IF(
    ISNUMBER(VALUE(LEFT($A88, 1))),
    "",
    IFERROR(IF(_xlfn.XLOOKUP($A88, INDIRECT("'" &amp; AG$2 &amp; "'!$A:$A"), INDIRECT("'" &amp; AG$2 &amp; "'!$B:$B"), "")&lt;&gt;"", "✓", "✗"), "✗")
)</f>
        <v>✓</v>
      </c>
    </row>
    <row r="89" spans="1:33" x14ac:dyDescent="0.45">
      <c r="A89" t="str">
        <v>Additional Enquiry Details</v>
      </c>
      <c r="B89" t="str" cm="1">
        <f t="array" aca="1" ref="B89" ca="1">IF(
    ISNUMBER(VALUE(LEFT($A89, 1))),
    "",
    IFERROR(IF(_xlfn.XLOOKUP($A89, INDIRECT("'" &amp; B$2 &amp; "'!$A:$A"), INDIRECT("'" &amp; B$2 &amp; "'!$B:$B"), "")&lt;&gt;"", "✓", "✗"), "✗")
)</f>
        <v>✓</v>
      </c>
      <c r="C89" t="str" cm="1">
        <f t="array" aca="1" ref="C89" ca="1">IF(
    ISNUMBER(VALUE(LEFT($A89, 1))),
    "",
    IFERROR(IF(_xlfn.XLOOKUP($A89, INDIRECT("'" &amp; C$2 &amp; "'!$A:$A"), INDIRECT("'" &amp; C$2 &amp; "'!$B:$B"), "")&lt;&gt;"", "✓", "✗"), "✗")
)</f>
        <v>✓</v>
      </c>
      <c r="D89" t="str" cm="1">
        <f t="array" aca="1" ref="D89" ca="1">IF(
    ISNUMBER(VALUE(LEFT($A89, 1))),
    "",
    IFERROR(IF(_xlfn.XLOOKUP($A89, INDIRECT("'" &amp; D$2 &amp; "'!$A:$A"), INDIRECT("'" &amp; D$2 &amp; "'!$B:$B"), "")&lt;&gt;"", "✓", "✗"), "✗")
)</f>
        <v>✓</v>
      </c>
      <c r="E89" t="str" cm="1">
        <f t="array" aca="1" ref="E89" ca="1">IF(
    ISNUMBER(VALUE(LEFT($A89, 1))),
    "",
    IFERROR(IF(_xlfn.XLOOKUP($A89, INDIRECT("'" &amp; E$2 &amp; "'!$A:$A"), INDIRECT("'" &amp; E$2 &amp; "'!$B:$B"), "")&lt;&gt;"", "✓", "✗"), "✗")
)</f>
        <v>✓</v>
      </c>
      <c r="F89" t="str" cm="1">
        <f t="array" aca="1" ref="F89" ca="1">IF(
    ISNUMBER(VALUE(LEFT($A89, 1))),
    "",
    IFERROR(IF(_xlfn.XLOOKUP($A89, INDIRECT("'" &amp; F$2 &amp; "'!$A:$A"), INDIRECT("'" &amp; F$2 &amp; "'!$B:$B"), "")&lt;&gt;"", "✓", "✗"), "✗")
)</f>
        <v>✓</v>
      </c>
      <c r="G89" t="str" cm="1">
        <f t="array" aca="1" ref="G89" ca="1">IF(
    ISNUMBER(VALUE(LEFT($A89, 1))),
    "",
    IFERROR(IF(_xlfn.XLOOKUP($A89, INDIRECT("'" &amp; G$2 &amp; "'!$A:$A"), INDIRECT("'" &amp; G$2 &amp; "'!$B:$B"), "")&lt;&gt;"", "✓", "✗"), "✗")
)</f>
        <v>✗</v>
      </c>
      <c r="H89" t="str" cm="1">
        <f t="array" aca="1" ref="H89" ca="1">IF(
    ISNUMBER(VALUE(LEFT($A89, 1))),
    "",
    IFERROR(IF(_xlfn.XLOOKUP($A89, INDIRECT("'" &amp; H$2 &amp; "'!$A:$A"), INDIRECT("'" &amp; H$2 &amp; "'!$B:$B"), "")&lt;&gt;"", "✓", "✗"), "✗")
)</f>
        <v>✗</v>
      </c>
      <c r="I89" t="str" cm="1">
        <f t="array" aca="1" ref="I89" ca="1">IF(
    ISNUMBER(VALUE(LEFT($A89, 1))),
    "",
    IFERROR(IF(_xlfn.XLOOKUP($A89, INDIRECT("'" &amp; I$2 &amp; "'!$A:$A"), INDIRECT("'" &amp; I$2 &amp; "'!$B:$B"), "")&lt;&gt;"", "✓", "✗"), "✗")
)</f>
        <v>✗</v>
      </c>
      <c r="J89" t="str" cm="1">
        <f t="array" aca="1" ref="J89" ca="1">IF(
    ISNUMBER(VALUE(LEFT($A89, 1))),
    "",
    IFERROR(IF(_xlfn.XLOOKUP($A89, INDIRECT("'" &amp; J$2 &amp; "'!$A:$A"), INDIRECT("'" &amp; J$2 &amp; "'!$B:$B"), "")&lt;&gt;"", "✓", "✗"), "✗")
)</f>
        <v>✗</v>
      </c>
      <c r="K89" t="str" cm="1">
        <f t="array" aca="1" ref="K89" ca="1">IF(
    ISNUMBER(VALUE(LEFT($A89, 1))),
    "",
    IFERROR(IF(_xlfn.XLOOKUP($A89, INDIRECT("'" &amp; K$2 &amp; "'!$A:$A"), INDIRECT("'" &amp; K$2 &amp; "'!$B:$B"), "")&lt;&gt;"", "✓", "✗"), "✗")
)</f>
        <v>✗</v>
      </c>
      <c r="L89" t="str" cm="1">
        <f t="array" aca="1" ref="L89" ca="1">IF(
    ISNUMBER(VALUE(LEFT($A89, 1))),
    "",
    IFERROR(IF(_xlfn.XLOOKUP($A89, INDIRECT("'" &amp; L$2 &amp; "'!$A:$A"), INDIRECT("'" &amp; L$2 &amp; "'!$B:$B"), "")&lt;&gt;"", "✓", "✗"), "✗")
)</f>
        <v>✗</v>
      </c>
      <c r="M89" t="str" cm="1">
        <f t="array" aca="1" ref="M89" ca="1">IF(
    ISNUMBER(VALUE(LEFT($A89, 1))),
    "",
    IFERROR(IF(_xlfn.XLOOKUP($A89, INDIRECT("'" &amp; M$2 &amp; "'!$A:$A"), INDIRECT("'" &amp; M$2 &amp; "'!$B:$B"), "")&lt;&gt;"", "✓", "✗"), "✗")
)</f>
        <v>✗</v>
      </c>
      <c r="N89" t="str" cm="1">
        <f t="array" aca="1" ref="N89" ca="1">IF(
    ISNUMBER(VALUE(LEFT($A89, 1))),
    "",
    IFERROR(IF(_xlfn.XLOOKUP($A89, INDIRECT("'" &amp; N$2 &amp; "'!$A:$A"), INDIRECT("'" &amp; N$2 &amp; "'!$B:$B"), "")&lt;&gt;"", "✓", "✗"), "✗")
)</f>
        <v>✗</v>
      </c>
      <c r="O89" t="str" cm="1">
        <f t="array" aca="1" ref="O89" ca="1">IF(
    ISNUMBER(VALUE(LEFT($A89, 1))),
    "",
    IFERROR(IF(_xlfn.XLOOKUP($A89, INDIRECT("'" &amp; O$2 &amp; "'!$A:$A"), INDIRECT("'" &amp; O$2 &amp; "'!$B:$B"), "")&lt;&gt;"", "✓", "✗"), "✗")
)</f>
        <v>✗</v>
      </c>
      <c r="P89" t="str" cm="1">
        <f t="array" aca="1" ref="P89" ca="1">IF(
    ISNUMBER(VALUE(LEFT($A89, 1))),
    "",
    IFERROR(IF(_xlfn.XLOOKUP($A89, INDIRECT("'" &amp; P$2 &amp; "'!$A:$A"), INDIRECT("'" &amp; P$2 &amp; "'!$B:$B"), "")&lt;&gt;"", "✓", "✗"), "✗")
)</f>
        <v>✗</v>
      </c>
      <c r="Q89" t="str" cm="1">
        <f t="array" aca="1" ref="Q89" ca="1">IF(
    ISNUMBER(VALUE(LEFT($A89, 1))),
    "",
    IFERROR(IF(_xlfn.XLOOKUP($A89, INDIRECT("'" &amp; Q$2 &amp; "'!$A:$A"), INDIRECT("'" &amp; Q$2 &amp; "'!$B:$B"), "")&lt;&gt;"", "✓", "✗"), "✗")
)</f>
        <v>✗</v>
      </c>
      <c r="R89" t="str" cm="1">
        <f t="array" aca="1" ref="R89" ca="1">IF(
    ISNUMBER(VALUE(LEFT($A89, 1))),
    "",
    IFERROR(IF(_xlfn.XLOOKUP($A89, INDIRECT("'" &amp; R$2 &amp; "'!$A:$A"), INDIRECT("'" &amp; R$2 &amp; "'!$B:$B"), "")&lt;&gt;"", "✓", "✗"), "✗")
)</f>
        <v>✗</v>
      </c>
      <c r="S89" t="str" cm="1">
        <f t="array" aca="1" ref="S89" ca="1">IF(
    ISNUMBER(VALUE(LEFT($A89, 1))),
    "",
    IFERROR(IF(_xlfn.XLOOKUP($A89, INDIRECT("'" &amp; S$2 &amp; "'!$A:$A"), INDIRECT("'" &amp; S$2 &amp; "'!$B:$B"), "")&lt;&gt;"", "✓", "✗"), "✗")
)</f>
        <v>✗</v>
      </c>
      <c r="T89" t="str" cm="1">
        <f t="array" aca="1" ref="T89" ca="1">IF(
    ISNUMBER(VALUE(LEFT($A89, 1))),
    "",
    IFERROR(IF(_xlfn.XLOOKUP($A89, INDIRECT("'" &amp; T$2 &amp; "'!$A:$A"), INDIRECT("'" &amp; T$2 &amp; "'!$B:$B"), "")&lt;&gt;"", "✓", "✗"), "✗")
)</f>
        <v>✗</v>
      </c>
      <c r="U89" t="str" cm="1">
        <f t="array" aca="1" ref="U89" ca="1">IF(
    ISNUMBER(VALUE(LEFT($A89, 1))),
    "",
    IFERROR(IF(_xlfn.XLOOKUP($A89, INDIRECT("'" &amp; U$2 &amp; "'!$A:$A"), INDIRECT("'" &amp; U$2 &amp; "'!$B:$B"), "")&lt;&gt;"", "✓", "✗"), "✗")
)</f>
        <v>✗</v>
      </c>
      <c r="V89" t="str" cm="1">
        <f t="array" aca="1" ref="V89" ca="1">IF(
    ISNUMBER(VALUE(LEFT($A89, 1))),
    "",
    IFERROR(IF(_xlfn.XLOOKUP($A89, INDIRECT("'" &amp; V$2 &amp; "'!$A:$A"), INDIRECT("'" &amp; V$2 &amp; "'!$B:$B"), "")&lt;&gt;"", "✓", "✗"), "✗")
)</f>
        <v>✗</v>
      </c>
      <c r="W89" t="str" cm="1">
        <f t="array" aca="1" ref="W89" ca="1">IF(
    ISNUMBER(VALUE(LEFT($A89, 1))),
    "",
    IFERROR(IF(_xlfn.XLOOKUP($A89, INDIRECT("'" &amp; W$2 &amp; "'!$A:$A"), INDIRECT("'" &amp; W$2 &amp; "'!$B:$B"), "")&lt;&gt;"", "✓", "✗"), "✗")
)</f>
        <v>✗</v>
      </c>
      <c r="X89" t="str" cm="1">
        <f t="array" aca="1" ref="X89" ca="1">IF(
    ISNUMBER(VALUE(LEFT($A89, 1))),
    "",
    IFERROR(IF(_xlfn.XLOOKUP($A89, INDIRECT("'" &amp; X$2 &amp; "'!$A:$A"), INDIRECT("'" &amp; X$2 &amp; "'!$B:$B"), "")&lt;&gt;"", "✓", "✗"), "✗")
)</f>
        <v>✗</v>
      </c>
      <c r="Y89" t="str" cm="1">
        <f t="array" aca="1" ref="Y89" ca="1">IF(
    ISNUMBER(VALUE(LEFT($A89, 1))),
    "",
    IFERROR(IF(_xlfn.XLOOKUP($A89, INDIRECT("'" &amp; Y$2 &amp; "'!$A:$A"), INDIRECT("'" &amp; Y$2 &amp; "'!$B:$B"), "")&lt;&gt;"", "✓", "✗"), "✗")
)</f>
        <v>✗</v>
      </c>
      <c r="Z89" t="str" cm="1">
        <f t="array" aca="1" ref="Z89" ca="1">IF(
    ISNUMBER(VALUE(LEFT($A89, 1))),
    "",
    IFERROR(IF(_xlfn.XLOOKUP($A89, INDIRECT("'" &amp; Z$2 &amp; "'!$A:$A"), INDIRECT("'" &amp; Z$2 &amp; "'!$B:$B"), "")&lt;&gt;"", "✓", "✗"), "✗")
)</f>
        <v>✗</v>
      </c>
      <c r="AA89" t="str" cm="1">
        <f t="array" aca="1" ref="AA89" ca="1">IF(
    ISNUMBER(VALUE(LEFT($A89, 1))),
    "",
    IFERROR(IF(_xlfn.XLOOKUP($A89, INDIRECT("'" &amp; AA$2 &amp; "'!$A:$A"), INDIRECT("'" &amp; AA$2 &amp; "'!$B:$B"), "")&lt;&gt;"", "✓", "✗"), "✗")
)</f>
        <v>✗</v>
      </c>
      <c r="AB89" t="str" cm="1">
        <f t="array" aca="1" ref="AB89" ca="1">IF(
    ISNUMBER(VALUE(LEFT($A89, 1))),
    "",
    IFERROR(IF(_xlfn.XLOOKUP($A89, INDIRECT("'" &amp; AB$2 &amp; "'!$A:$A"), INDIRECT("'" &amp; AB$2 &amp; "'!$B:$B"), "")&lt;&gt;"", "✓", "✗"), "✗")
)</f>
        <v>✓</v>
      </c>
      <c r="AC89" t="str" cm="1">
        <f t="array" aca="1" ref="AC89" ca="1">IF(
    ISNUMBER(VALUE(LEFT($A89, 1))),
    "",
    IFERROR(IF(_xlfn.XLOOKUP($A89, INDIRECT("'" &amp; AC$2 &amp; "'!$A:$A"), INDIRECT("'" &amp; AC$2 &amp; "'!$B:$B"), "")&lt;&gt;"", "✓", "✗"), "✗")
)</f>
        <v>✗</v>
      </c>
      <c r="AD89" t="str" cm="1">
        <f t="array" aca="1" ref="AD89" ca="1">IF(
    ISNUMBER(VALUE(LEFT($A89, 1))),
    "",
    IFERROR(IF(_xlfn.XLOOKUP($A89, INDIRECT("'" &amp; AD$2 &amp; "'!$A:$A"), INDIRECT("'" &amp; AD$2 &amp; "'!$B:$B"), "")&lt;&gt;"", "✓", "✗"), "✗")
)</f>
        <v>✗</v>
      </c>
      <c r="AE89" t="str" cm="1">
        <f t="array" aca="1" ref="AE89" ca="1">IF(
    ISNUMBER(VALUE(LEFT($A89, 1))),
    "",
    IFERROR(IF(_xlfn.XLOOKUP($A89, INDIRECT("'" &amp; AE$2 &amp; "'!$A:$A"), INDIRECT("'" &amp; AE$2 &amp; "'!$B:$B"), "")&lt;&gt;"", "✓", "✗"), "✗")
)</f>
        <v>✓</v>
      </c>
      <c r="AF89" t="str" cm="1">
        <f t="array" aca="1" ref="AF89" ca="1">IF(
    ISNUMBER(VALUE(LEFT($A89, 1))),
    "",
    IFERROR(IF(_xlfn.XLOOKUP($A89, INDIRECT("'" &amp; AF$2 &amp; "'!$A:$A"), INDIRECT("'" &amp; AF$2 &amp; "'!$B:$B"), "")&lt;&gt;"", "✓", "✗"), "✗")
)</f>
        <v>✓</v>
      </c>
      <c r="AG89" t="str" cm="1">
        <f t="array" aca="1" ref="AG89" ca="1">IF(
    ISNUMBER(VALUE(LEFT($A89, 1))),
    "",
    IFERROR(IF(_xlfn.XLOOKUP($A89, INDIRECT("'" &amp; AG$2 &amp; "'!$A:$A"), INDIRECT("'" &amp; AG$2 &amp; "'!$B:$B"), "")&lt;&gt;"", "✓", "✗"), "✗")
)</f>
        <v>✓</v>
      </c>
    </row>
    <row r="90" spans="1:33" x14ac:dyDescent="0.45">
      <c r="A90" t="str">
        <v>Privacy ID</v>
      </c>
      <c r="B90" t="str" cm="1">
        <f t="array" aca="1" ref="B90" ca="1">IF(
    ISNUMBER(VALUE(LEFT($A90, 1))),
    "",
    IFERROR(IF(_xlfn.XLOOKUP($A90, INDIRECT("'" &amp; B$2 &amp; "'!$A:$A"), INDIRECT("'" &amp; B$2 &amp; "'!$B:$B"), "")&lt;&gt;"", "✓", "✗"), "✗")
)</f>
        <v>✗</v>
      </c>
      <c r="C90" t="str" cm="1">
        <f t="array" aca="1" ref="C90" ca="1">IF(
    ISNUMBER(VALUE(LEFT($A90, 1))),
    "",
    IFERROR(IF(_xlfn.XLOOKUP($A90, INDIRECT("'" &amp; C$2 &amp; "'!$A:$A"), INDIRECT("'" &amp; C$2 &amp; "'!$B:$B"), "")&lt;&gt;"", "✓", "✗"), "✗")
)</f>
        <v>✗</v>
      </c>
      <c r="D90" t="str" cm="1">
        <f t="array" aca="1" ref="D90" ca="1">IF(
    ISNUMBER(VALUE(LEFT($A90, 1))),
    "",
    IFERROR(IF(_xlfn.XLOOKUP($A90, INDIRECT("'" &amp; D$2 &amp; "'!$A:$A"), INDIRECT("'" &amp; D$2 &amp; "'!$B:$B"), "")&lt;&gt;"", "✓", "✗"), "✗")
)</f>
        <v>✗</v>
      </c>
      <c r="E90" t="str" cm="1">
        <f t="array" aca="1" ref="E90" ca="1">IF(
    ISNUMBER(VALUE(LEFT($A90, 1))),
    "",
    IFERROR(IF(_xlfn.XLOOKUP($A90, INDIRECT("'" &amp; E$2 &amp; "'!$A:$A"), INDIRECT("'" &amp; E$2 &amp; "'!$B:$B"), "")&lt;&gt;"", "✓", "✗"), "✗")
)</f>
        <v>✗</v>
      </c>
      <c r="F90" t="str" cm="1">
        <f t="array" aca="1" ref="F90" ca="1">IF(
    ISNUMBER(VALUE(LEFT($A90, 1))),
    "",
    IFERROR(IF(_xlfn.XLOOKUP($A90, INDIRECT("'" &amp; F$2 &amp; "'!$A:$A"), INDIRECT("'" &amp; F$2 &amp; "'!$B:$B"), "")&lt;&gt;"", "✓", "✗"), "✗")
)</f>
        <v>✗</v>
      </c>
      <c r="G90" t="str" cm="1">
        <f t="array" aca="1" ref="G90" ca="1">IF(
    ISNUMBER(VALUE(LEFT($A90, 1))),
    "",
    IFERROR(IF(_xlfn.XLOOKUP($A90, INDIRECT("'" &amp; G$2 &amp; "'!$A:$A"), INDIRECT("'" &amp; G$2 &amp; "'!$B:$B"), "")&lt;&gt;"", "✓", "✗"), "✗")
)</f>
        <v>✗</v>
      </c>
      <c r="H90" t="str" cm="1">
        <f t="array" aca="1" ref="H90" ca="1">IF(
    ISNUMBER(VALUE(LEFT($A90, 1))),
    "",
    IFERROR(IF(_xlfn.XLOOKUP($A90, INDIRECT("'" &amp; H$2 &amp; "'!$A:$A"), INDIRECT("'" &amp; H$2 &amp; "'!$B:$B"), "")&lt;&gt;"", "✓", "✗"), "✗")
)</f>
        <v>✓</v>
      </c>
      <c r="I90" t="str" cm="1">
        <f t="array" aca="1" ref="I90" ca="1">IF(
    ISNUMBER(VALUE(LEFT($A90, 1))),
    "",
    IFERROR(IF(_xlfn.XLOOKUP($A90, INDIRECT("'" &amp; I$2 &amp; "'!$A:$A"), INDIRECT("'" &amp; I$2 &amp; "'!$B:$B"), "")&lt;&gt;"", "✓", "✗"), "✗")
)</f>
        <v>✓</v>
      </c>
      <c r="J90" t="str" cm="1">
        <f t="array" aca="1" ref="J90" ca="1">IF(
    ISNUMBER(VALUE(LEFT($A90, 1))),
    "",
    IFERROR(IF(_xlfn.XLOOKUP($A90, INDIRECT("'" &amp; J$2 &amp; "'!$A:$A"), INDIRECT("'" &amp; J$2 &amp; "'!$B:$B"), "")&lt;&gt;"", "✓", "✗"), "✗")
)</f>
        <v>✓</v>
      </c>
      <c r="K90" t="str" cm="1">
        <f t="array" aca="1" ref="K90" ca="1">IF(
    ISNUMBER(VALUE(LEFT($A90, 1))),
    "",
    IFERROR(IF(_xlfn.XLOOKUP($A90, INDIRECT("'" &amp; K$2 &amp; "'!$A:$A"), INDIRECT("'" &amp; K$2 &amp; "'!$B:$B"), "")&lt;&gt;"", "✓", "✗"), "✗")
)</f>
        <v>✗</v>
      </c>
      <c r="L90" t="str" cm="1">
        <f t="array" aca="1" ref="L90" ca="1">IF(
    ISNUMBER(VALUE(LEFT($A90, 1))),
    "",
    IFERROR(IF(_xlfn.XLOOKUP($A90, INDIRECT("'" &amp; L$2 &amp; "'!$A:$A"), INDIRECT("'" &amp; L$2 &amp; "'!$B:$B"), "")&lt;&gt;"", "✓", "✗"), "✗")
)</f>
        <v>✗</v>
      </c>
      <c r="M90" t="str" cm="1">
        <f t="array" aca="1" ref="M90" ca="1">IF(
    ISNUMBER(VALUE(LEFT($A90, 1))),
    "",
    IFERROR(IF(_xlfn.XLOOKUP($A90, INDIRECT("'" &amp; M$2 &amp; "'!$A:$A"), INDIRECT("'" &amp; M$2 &amp; "'!$B:$B"), "")&lt;&gt;"", "✓", "✗"), "✗")
)</f>
        <v>✗</v>
      </c>
      <c r="N90" t="str" cm="1">
        <f t="array" aca="1" ref="N90" ca="1">IF(
    ISNUMBER(VALUE(LEFT($A90, 1))),
    "",
    IFERROR(IF(_xlfn.XLOOKUP($A90, INDIRECT("'" &amp; N$2 &amp; "'!$A:$A"), INDIRECT("'" &amp; N$2 &amp; "'!$B:$B"), "")&lt;&gt;"", "✓", "✗"), "✗")
)</f>
        <v>✗</v>
      </c>
      <c r="O90" t="str" cm="1">
        <f t="array" aca="1" ref="O90" ca="1">IF(
    ISNUMBER(VALUE(LEFT($A90, 1))),
    "",
    IFERROR(IF(_xlfn.XLOOKUP($A90, INDIRECT("'" &amp; O$2 &amp; "'!$A:$A"), INDIRECT("'" &amp; O$2 &amp; "'!$B:$B"), "")&lt;&gt;"", "✓", "✗"), "✗")
)</f>
        <v>✗</v>
      </c>
      <c r="P90" t="str" cm="1">
        <f t="array" aca="1" ref="P90" ca="1">IF(
    ISNUMBER(VALUE(LEFT($A90, 1))),
    "",
    IFERROR(IF(_xlfn.XLOOKUP($A90, INDIRECT("'" &amp; P$2 &amp; "'!$A:$A"), INDIRECT("'" &amp; P$2 &amp; "'!$B:$B"), "")&lt;&gt;"", "✓", "✗"), "✗")
)</f>
        <v>✓</v>
      </c>
      <c r="Q90" t="str" cm="1">
        <f t="array" aca="1" ref="Q90" ca="1">IF(
    ISNUMBER(VALUE(LEFT($A90, 1))),
    "",
    IFERROR(IF(_xlfn.XLOOKUP($A90, INDIRECT("'" &amp; Q$2 &amp; "'!$A:$A"), INDIRECT("'" &amp; Q$2 &amp; "'!$B:$B"), "")&lt;&gt;"", "✓", "✗"), "✗")
)</f>
        <v>✓</v>
      </c>
      <c r="R90" t="str" cm="1">
        <f t="array" aca="1" ref="R90" ca="1">IF(
    ISNUMBER(VALUE(LEFT($A90, 1))),
    "",
    IFERROR(IF(_xlfn.XLOOKUP($A90, INDIRECT("'" &amp; R$2 &amp; "'!$A:$A"), INDIRECT("'" &amp; R$2 &amp; "'!$B:$B"), "")&lt;&gt;"", "✓", "✗"), "✗")
)</f>
        <v>✓</v>
      </c>
      <c r="S90" t="str" cm="1">
        <f t="array" aca="1" ref="S90" ca="1">IF(
    ISNUMBER(VALUE(LEFT($A90, 1))),
    "",
    IFERROR(IF(_xlfn.XLOOKUP($A90, INDIRECT("'" &amp; S$2 &amp; "'!$A:$A"), INDIRECT("'" &amp; S$2 &amp; "'!$B:$B"), "")&lt;&gt;"", "✓", "✗"), "✗")
)</f>
        <v>✓</v>
      </c>
      <c r="T90" t="str" cm="1">
        <f t="array" aca="1" ref="T90" ca="1">IF(
    ISNUMBER(VALUE(LEFT($A90, 1))),
    "",
    IFERROR(IF(_xlfn.XLOOKUP($A90, INDIRECT("'" &amp; T$2 &amp; "'!$A:$A"), INDIRECT("'" &amp; T$2 &amp; "'!$B:$B"), "")&lt;&gt;"", "✓", "✗"), "✗")
)</f>
        <v>✓</v>
      </c>
      <c r="U90" t="str" cm="1">
        <f t="array" aca="1" ref="U90" ca="1">IF(
    ISNUMBER(VALUE(LEFT($A90, 1))),
    "",
    IFERROR(IF(_xlfn.XLOOKUP($A90, INDIRECT("'" &amp; U$2 &amp; "'!$A:$A"), INDIRECT("'" &amp; U$2 &amp; "'!$B:$B"), "")&lt;&gt;"", "✓", "✗"), "✗")
)</f>
        <v>✓</v>
      </c>
      <c r="V90" t="str" cm="1">
        <f t="array" aca="1" ref="V90" ca="1">IF(
    ISNUMBER(VALUE(LEFT($A90, 1))),
    "",
    IFERROR(IF(_xlfn.XLOOKUP($A90, INDIRECT("'" &amp; V$2 &amp; "'!$A:$A"), INDIRECT("'" &amp; V$2 &amp; "'!$B:$B"), "")&lt;&gt;"", "✓", "✗"), "✗")
)</f>
        <v>✓</v>
      </c>
      <c r="W90" t="str" cm="1">
        <f t="array" aca="1" ref="W90" ca="1">IF(
    ISNUMBER(VALUE(LEFT($A90, 1))),
    "",
    IFERROR(IF(_xlfn.XLOOKUP($A90, INDIRECT("'" &amp; W$2 &amp; "'!$A:$A"), INDIRECT("'" &amp; W$2 &amp; "'!$B:$B"), "")&lt;&gt;"", "✓", "✗"), "✗")
)</f>
        <v>✓</v>
      </c>
      <c r="X90" t="str" cm="1">
        <f t="array" aca="1" ref="X90" ca="1">IF(
    ISNUMBER(VALUE(LEFT($A90, 1))),
    "",
    IFERROR(IF(_xlfn.XLOOKUP($A90, INDIRECT("'" &amp; X$2 &amp; "'!$A:$A"), INDIRECT("'" &amp; X$2 &amp; "'!$B:$B"), "")&lt;&gt;"", "✓", "✗"), "✗")
)</f>
        <v>✓</v>
      </c>
      <c r="Y90" t="str" cm="1">
        <f t="array" aca="1" ref="Y90" ca="1">IF(
    ISNUMBER(VALUE(LEFT($A90, 1))),
    "",
    IFERROR(IF(_xlfn.XLOOKUP($A90, INDIRECT("'" &amp; Y$2 &amp; "'!$A:$A"), INDIRECT("'" &amp; Y$2 &amp; "'!$B:$B"), "")&lt;&gt;"", "✓", "✗"), "✗")
)</f>
        <v>✓</v>
      </c>
      <c r="Z90" t="str" cm="1">
        <f t="array" aca="1" ref="Z90" ca="1">IF(
    ISNUMBER(VALUE(LEFT($A90, 1))),
    "",
    IFERROR(IF(_xlfn.XLOOKUP($A90, INDIRECT("'" &amp; Z$2 &amp; "'!$A:$A"), INDIRECT("'" &amp; Z$2 &amp; "'!$B:$B"), "")&lt;&gt;"", "✓", "✗"), "✗")
)</f>
        <v>✓</v>
      </c>
      <c r="AA90" t="str" cm="1">
        <f t="array" aca="1" ref="AA90" ca="1">IF(
    ISNUMBER(VALUE(LEFT($A90, 1))),
    "",
    IFERROR(IF(_xlfn.XLOOKUP($A90, INDIRECT("'" &amp; AA$2 &amp; "'!$A:$A"), INDIRECT("'" &amp; AA$2 &amp; "'!$B:$B"), "")&lt;&gt;"", "✓", "✗"), "✗")
)</f>
        <v>✗</v>
      </c>
      <c r="AB90" t="str" cm="1">
        <f t="array" aca="1" ref="AB90" ca="1">IF(
    ISNUMBER(VALUE(LEFT($A90, 1))),
    "",
    IFERROR(IF(_xlfn.XLOOKUP($A90, INDIRECT("'" &amp; AB$2 &amp; "'!$A:$A"), INDIRECT("'" &amp; AB$2 &amp; "'!$B:$B"), "")&lt;&gt;"", "✓", "✗"), "✗")
)</f>
        <v>✗</v>
      </c>
      <c r="AC90" t="str" cm="1">
        <f t="array" aca="1" ref="AC90" ca="1">IF(
    ISNUMBER(VALUE(LEFT($A90, 1))),
    "",
    IFERROR(IF(_xlfn.XLOOKUP($A90, INDIRECT("'" &amp; AC$2 &amp; "'!$A:$A"), INDIRECT("'" &amp; AC$2 &amp; "'!$B:$B"), "")&lt;&gt;"", "✓", "✗"), "✗")
)</f>
        <v>✗</v>
      </c>
      <c r="AD90" t="str" cm="1">
        <f t="array" aca="1" ref="AD90" ca="1">IF(
    ISNUMBER(VALUE(LEFT($A90, 1))),
    "",
    IFERROR(IF(_xlfn.XLOOKUP($A90, INDIRECT("'" &amp; AD$2 &amp; "'!$A:$A"), INDIRECT("'" &amp; AD$2 &amp; "'!$B:$B"), "")&lt;&gt;"", "✓", "✗"), "✗")
)</f>
        <v>✗</v>
      </c>
      <c r="AE90" t="str" cm="1">
        <f t="array" aca="1" ref="AE90" ca="1">IF(
    ISNUMBER(VALUE(LEFT($A90, 1))),
    "",
    IFERROR(IF(_xlfn.XLOOKUP($A90, INDIRECT("'" &amp; AE$2 &amp; "'!$A:$A"), INDIRECT("'" &amp; AE$2 &amp; "'!$B:$B"), "")&lt;&gt;"", "✓", "✗"), "✗")
)</f>
        <v>✗</v>
      </c>
      <c r="AF90" t="str" cm="1">
        <f t="array" aca="1" ref="AF90" ca="1">IF(
    ISNUMBER(VALUE(LEFT($A90, 1))),
    "",
    IFERROR(IF(_xlfn.XLOOKUP($A90, INDIRECT("'" &amp; AF$2 &amp; "'!$A:$A"), INDIRECT("'" &amp; AF$2 &amp; "'!$B:$B"), "")&lt;&gt;"", "✓", "✗"), "✗")
)</f>
        <v>✗</v>
      </c>
      <c r="AG90" t="str" cm="1">
        <f t="array" aca="1" ref="AG90" ca="1">IF(
    ISNUMBER(VALUE(LEFT($A90, 1))),
    "",
    IFERROR(IF(_xlfn.XLOOKUP($A90, INDIRECT("'" &amp; AG$2 &amp; "'!$A:$A"), INDIRECT("'" &amp; AG$2 &amp; "'!$B:$B"), "")&lt;&gt;"", "✓", "✗"), "✗")
)</f>
        <v>✗</v>
      </c>
    </row>
    <row r="91" spans="1:33" x14ac:dyDescent="0.45">
      <c r="A91" t="str">
        <v>Category</v>
      </c>
      <c r="B91" t="str" cm="1">
        <f t="array" aca="1" ref="B91" ca="1">IF(
    ISNUMBER(VALUE(LEFT($A91, 1))),
    "",
    IFERROR(IF(_xlfn.XLOOKUP($A91, INDIRECT("'" &amp; B$2 &amp; "'!$A:$A"), INDIRECT("'" &amp; B$2 &amp; "'!$B:$B"), "")&lt;&gt;"", "✓", "✗"), "✗")
)</f>
        <v>✗</v>
      </c>
      <c r="C91" t="str" cm="1">
        <f t="array" aca="1" ref="C91" ca="1">IF(
    ISNUMBER(VALUE(LEFT($A91, 1))),
    "",
    IFERROR(IF(_xlfn.XLOOKUP($A91, INDIRECT("'" &amp; C$2 &amp; "'!$A:$A"), INDIRECT("'" &amp; C$2 &amp; "'!$B:$B"), "")&lt;&gt;"", "✓", "✗"), "✗")
)</f>
        <v>✗</v>
      </c>
      <c r="D91" t="str" cm="1">
        <f t="array" aca="1" ref="D91" ca="1">IF(
    ISNUMBER(VALUE(LEFT($A91, 1))),
    "",
    IFERROR(IF(_xlfn.XLOOKUP($A91, INDIRECT("'" &amp; D$2 &amp; "'!$A:$A"), INDIRECT("'" &amp; D$2 &amp; "'!$B:$B"), "")&lt;&gt;"", "✓", "✗"), "✗")
)</f>
        <v>✗</v>
      </c>
      <c r="E91" t="str" cm="1">
        <f t="array" aca="1" ref="E91" ca="1">IF(
    ISNUMBER(VALUE(LEFT($A91, 1))),
    "",
    IFERROR(IF(_xlfn.XLOOKUP($A91, INDIRECT("'" &amp; E$2 &amp; "'!$A:$A"), INDIRECT("'" &amp; E$2 &amp; "'!$B:$B"), "")&lt;&gt;"", "✓", "✗"), "✗")
)</f>
        <v>✗</v>
      </c>
      <c r="F91" t="str" cm="1">
        <f t="array" aca="1" ref="F91" ca="1">IF(
    ISNUMBER(VALUE(LEFT($A91, 1))),
    "",
    IFERROR(IF(_xlfn.XLOOKUP($A91, INDIRECT("'" &amp; F$2 &amp; "'!$A:$A"), INDIRECT("'" &amp; F$2 &amp; "'!$B:$B"), "")&lt;&gt;"", "✓", "✗"), "✗")
)</f>
        <v>✗</v>
      </c>
      <c r="G91" t="str" cm="1">
        <f t="array" aca="1" ref="G91" ca="1">IF(
    ISNUMBER(VALUE(LEFT($A91, 1))),
    "",
    IFERROR(IF(_xlfn.XLOOKUP($A91, INDIRECT("'" &amp; G$2 &amp; "'!$A:$A"), INDIRECT("'" &amp; G$2 &amp; "'!$B:$B"), "")&lt;&gt;"", "✓", "✗"), "✗")
)</f>
        <v>✗</v>
      </c>
      <c r="H91" t="str" cm="1">
        <f t="array" aca="1" ref="H91" ca="1">IF(
    ISNUMBER(VALUE(LEFT($A91, 1))),
    "",
    IFERROR(IF(_xlfn.XLOOKUP($A91, INDIRECT("'" &amp; H$2 &amp; "'!$A:$A"), INDIRECT("'" &amp; H$2 &amp; "'!$B:$B"), "")&lt;&gt;"", "✓", "✗"), "✗")
)</f>
        <v>✗</v>
      </c>
      <c r="I91" t="str" cm="1">
        <f t="array" aca="1" ref="I91" ca="1">IF(
    ISNUMBER(VALUE(LEFT($A91, 1))),
    "",
    IFERROR(IF(_xlfn.XLOOKUP($A91, INDIRECT("'" &amp; I$2 &amp; "'!$A:$A"), INDIRECT("'" &amp; I$2 &amp; "'!$B:$B"), "")&lt;&gt;"", "✓", "✗"), "✗")
)</f>
        <v>✗</v>
      </c>
      <c r="J91" t="str" cm="1">
        <f t="array" aca="1" ref="J91" ca="1">IF(
    ISNUMBER(VALUE(LEFT($A91, 1))),
    "",
    IFERROR(IF(_xlfn.XLOOKUP($A91, INDIRECT("'" &amp; J$2 &amp; "'!$A:$A"), INDIRECT("'" &amp; J$2 &amp; "'!$B:$B"), "")&lt;&gt;"", "✓", "✗"), "✗")
)</f>
        <v>✗</v>
      </c>
      <c r="K91" t="str" cm="1">
        <f t="array" aca="1" ref="K91" ca="1">IF(
    ISNUMBER(VALUE(LEFT($A91, 1))),
    "",
    IFERROR(IF(_xlfn.XLOOKUP($A91, INDIRECT("'" &amp; K$2 &amp; "'!$A:$A"), INDIRECT("'" &amp; K$2 &amp; "'!$B:$B"), "")&lt;&gt;"", "✓", "✗"), "✗")
)</f>
        <v>✗</v>
      </c>
      <c r="L91" t="str" cm="1">
        <f t="array" aca="1" ref="L91" ca="1">IF(
    ISNUMBER(VALUE(LEFT($A91, 1))),
    "",
    IFERROR(IF(_xlfn.XLOOKUP($A91, INDIRECT("'" &amp; L$2 &amp; "'!$A:$A"), INDIRECT("'" &amp; L$2 &amp; "'!$B:$B"), "")&lt;&gt;"", "✓", "✗"), "✗")
)</f>
        <v>✗</v>
      </c>
      <c r="M91" t="str" cm="1">
        <f t="array" aca="1" ref="M91" ca="1">IF(
    ISNUMBER(VALUE(LEFT($A91, 1))),
    "",
    IFERROR(IF(_xlfn.XLOOKUP($A91, INDIRECT("'" &amp; M$2 &amp; "'!$A:$A"), INDIRECT("'" &amp; M$2 &amp; "'!$B:$B"), "")&lt;&gt;"", "✓", "✗"), "✗")
)</f>
        <v>✗</v>
      </c>
      <c r="N91" t="str" cm="1">
        <f t="array" aca="1" ref="N91" ca="1">IF(
    ISNUMBER(VALUE(LEFT($A91, 1))),
    "",
    IFERROR(IF(_xlfn.XLOOKUP($A91, INDIRECT("'" &amp; N$2 &amp; "'!$A:$A"), INDIRECT("'" &amp; N$2 &amp; "'!$B:$B"), "")&lt;&gt;"", "✓", "✗"), "✗")
)</f>
        <v>✗</v>
      </c>
      <c r="O91" t="str" cm="1">
        <f t="array" aca="1" ref="O91" ca="1">IF(
    ISNUMBER(VALUE(LEFT($A91, 1))),
    "",
    IFERROR(IF(_xlfn.XLOOKUP($A91, INDIRECT("'" &amp; O$2 &amp; "'!$A:$A"), INDIRECT("'" &amp; O$2 &amp; "'!$B:$B"), "")&lt;&gt;"", "✓", "✗"), "✗")
)</f>
        <v>✗</v>
      </c>
      <c r="P91" t="str" cm="1">
        <f t="array" aca="1" ref="P91" ca="1">IF(
    ISNUMBER(VALUE(LEFT($A91, 1))),
    "",
    IFERROR(IF(_xlfn.XLOOKUP($A91, INDIRECT("'" &amp; P$2 &amp; "'!$A:$A"), INDIRECT("'" &amp; P$2 &amp; "'!$B:$B"), "")&lt;&gt;"", "✓", "✗"), "✗")
)</f>
        <v>✗</v>
      </c>
      <c r="Q91" t="str" cm="1">
        <f t="array" aca="1" ref="Q91" ca="1">IF(
    ISNUMBER(VALUE(LEFT($A91, 1))),
    "",
    IFERROR(IF(_xlfn.XLOOKUP($A91, INDIRECT("'" &amp; Q$2 &amp; "'!$A:$A"), INDIRECT("'" &amp; Q$2 &amp; "'!$B:$B"), "")&lt;&gt;"", "✓", "✗"), "✗")
)</f>
        <v>✗</v>
      </c>
      <c r="R91" t="str" cm="1">
        <f t="array" aca="1" ref="R91" ca="1">IF(
    ISNUMBER(VALUE(LEFT($A91, 1))),
    "",
    IFERROR(IF(_xlfn.XLOOKUP($A91, INDIRECT("'" &amp; R$2 &amp; "'!$A:$A"), INDIRECT("'" &amp; R$2 &amp; "'!$B:$B"), "")&lt;&gt;"", "✓", "✗"), "✗")
)</f>
        <v>✗</v>
      </c>
      <c r="S91" t="str" cm="1">
        <f t="array" aca="1" ref="S91" ca="1">IF(
    ISNUMBER(VALUE(LEFT($A91, 1))),
    "",
    IFERROR(IF(_xlfn.XLOOKUP($A91, INDIRECT("'" &amp; S$2 &amp; "'!$A:$A"), INDIRECT("'" &amp; S$2 &amp; "'!$B:$B"), "")&lt;&gt;"", "✓", "✗"), "✗")
)</f>
        <v>✗</v>
      </c>
      <c r="T91" t="str" cm="1">
        <f t="array" aca="1" ref="T91" ca="1">IF(
    ISNUMBER(VALUE(LEFT($A91, 1))),
    "",
    IFERROR(IF(_xlfn.XLOOKUP($A91, INDIRECT("'" &amp; T$2 &amp; "'!$A:$A"), INDIRECT("'" &amp; T$2 &amp; "'!$B:$B"), "")&lt;&gt;"", "✓", "✗"), "✗")
)</f>
        <v>✗</v>
      </c>
      <c r="U91" t="str" cm="1">
        <f t="array" aca="1" ref="U91" ca="1">IF(
    ISNUMBER(VALUE(LEFT($A91, 1))),
    "",
    IFERROR(IF(_xlfn.XLOOKUP($A91, INDIRECT("'" &amp; U$2 &amp; "'!$A:$A"), INDIRECT("'" &amp; U$2 &amp; "'!$B:$B"), "")&lt;&gt;"", "✓", "✗"), "✗")
)</f>
        <v>✗</v>
      </c>
      <c r="V91" t="str" cm="1">
        <f t="array" aca="1" ref="V91" ca="1">IF(
    ISNUMBER(VALUE(LEFT($A91, 1))),
    "",
    IFERROR(IF(_xlfn.XLOOKUP($A91, INDIRECT("'" &amp; V$2 &amp; "'!$A:$A"), INDIRECT("'" &amp; V$2 &amp; "'!$B:$B"), "")&lt;&gt;"", "✓", "✗"), "✗")
)</f>
        <v>✗</v>
      </c>
      <c r="W91" t="str" cm="1">
        <f t="array" aca="1" ref="W91" ca="1">IF(
    ISNUMBER(VALUE(LEFT($A91, 1))),
    "",
    IFERROR(IF(_xlfn.XLOOKUP($A91, INDIRECT("'" &amp; W$2 &amp; "'!$A:$A"), INDIRECT("'" &amp; W$2 &amp; "'!$B:$B"), "")&lt;&gt;"", "✓", "✗"), "✗")
)</f>
        <v>✗</v>
      </c>
      <c r="X91" t="str" cm="1">
        <f t="array" aca="1" ref="X91" ca="1">IF(
    ISNUMBER(VALUE(LEFT($A91, 1))),
    "",
    IFERROR(IF(_xlfn.XLOOKUP($A91, INDIRECT("'" &amp; X$2 &amp; "'!$A:$A"), INDIRECT("'" &amp; X$2 &amp; "'!$B:$B"), "")&lt;&gt;"", "✓", "✗"), "✗")
)</f>
        <v>✗</v>
      </c>
      <c r="Y91" t="str" cm="1">
        <f t="array" aca="1" ref="Y91" ca="1">IF(
    ISNUMBER(VALUE(LEFT($A91, 1))),
    "",
    IFERROR(IF(_xlfn.XLOOKUP($A91, INDIRECT("'" &amp; Y$2 &amp; "'!$A:$A"), INDIRECT("'" &amp; Y$2 &amp; "'!$B:$B"), "")&lt;&gt;"", "✓", "✗"), "✗")
)</f>
        <v>✗</v>
      </c>
      <c r="Z91" t="str" cm="1">
        <f t="array" aca="1" ref="Z91" ca="1">IF(
    ISNUMBER(VALUE(LEFT($A91, 1))),
    "",
    IFERROR(IF(_xlfn.XLOOKUP($A91, INDIRECT("'" &amp; Z$2 &amp; "'!$A:$A"), INDIRECT("'" &amp; Z$2 &amp; "'!$B:$B"), "")&lt;&gt;"", "✓", "✗"), "✗")
)</f>
        <v>✗</v>
      </c>
      <c r="AA91" t="str" cm="1">
        <f t="array" aca="1" ref="AA91" ca="1">IF(
    ISNUMBER(VALUE(LEFT($A91, 1))),
    "",
    IFERROR(IF(_xlfn.XLOOKUP($A91, INDIRECT("'" &amp; AA$2 &amp; "'!$A:$A"), INDIRECT("'" &amp; AA$2 &amp; "'!$B:$B"), "")&lt;&gt;"", "✓", "✗"), "✗")
)</f>
        <v>✗</v>
      </c>
      <c r="AB91" t="str" cm="1">
        <f t="array" aca="1" ref="AB91" ca="1">IF(
    ISNUMBER(VALUE(LEFT($A91, 1))),
    "",
    IFERROR(IF(_xlfn.XLOOKUP($A91, INDIRECT("'" &amp; AB$2 &amp; "'!$A:$A"), INDIRECT("'" &amp; AB$2 &amp; "'!$B:$B"), "")&lt;&gt;"", "✓", "✗"), "✗")
)</f>
        <v>✗</v>
      </c>
      <c r="AC91" t="str" cm="1">
        <f t="array" aca="1" ref="AC91" ca="1">IF(
    ISNUMBER(VALUE(LEFT($A91, 1))),
    "",
    IFERROR(IF(_xlfn.XLOOKUP($A91, INDIRECT("'" &amp; AC$2 &amp; "'!$A:$A"), INDIRECT("'" &amp; AC$2 &amp; "'!$B:$B"), "")&lt;&gt;"", "✓", "✗"), "✗")
)</f>
        <v>✗</v>
      </c>
      <c r="AD91" t="str" cm="1">
        <f t="array" aca="1" ref="AD91" ca="1">IF(
    ISNUMBER(VALUE(LEFT($A91, 1))),
    "",
    IFERROR(IF(_xlfn.XLOOKUP($A91, INDIRECT("'" &amp; AD$2 &amp; "'!$A:$A"), INDIRECT("'" &amp; AD$2 &amp; "'!$B:$B"), "")&lt;&gt;"", "✓", "✗"), "✗")
)</f>
        <v>✗</v>
      </c>
      <c r="AE91" t="str" cm="1">
        <f t="array" aca="1" ref="AE91" ca="1">IF(
    ISNUMBER(VALUE(LEFT($A91, 1))),
    "",
    IFERROR(IF(_xlfn.XLOOKUP($A91, INDIRECT("'" &amp; AE$2 &amp; "'!$A:$A"), INDIRECT("'" &amp; AE$2 &amp; "'!$B:$B"), "")&lt;&gt;"", "✓", "✗"), "✗")
)</f>
        <v>✗</v>
      </c>
      <c r="AF91" t="str" cm="1">
        <f t="array" aca="1" ref="AF91" ca="1">IF(
    ISNUMBER(VALUE(LEFT($A91, 1))),
    "",
    IFERROR(IF(_xlfn.XLOOKUP($A91, INDIRECT("'" &amp; AF$2 &amp; "'!$A:$A"), INDIRECT("'" &amp; AF$2 &amp; "'!$B:$B"), "")&lt;&gt;"", "✓", "✗"), "✗")
)</f>
        <v>✗</v>
      </c>
      <c r="AG91" t="str" cm="1">
        <f t="array" aca="1" ref="AG91" ca="1">IF(
    ISNUMBER(VALUE(LEFT($A91, 1))),
    "",
    IFERROR(IF(_xlfn.XLOOKUP($A91, INDIRECT("'" &amp; AG$2 &amp; "'!$A:$A"), INDIRECT("'" &amp; AG$2 &amp; "'!$B:$B"), "")&lt;&gt;"", "✓", "✗"), "✗")
)</f>
        <v>✗</v>
      </c>
    </row>
    <row r="158" spans="2:30" x14ac:dyDescent="0.45">
      <c r="B158">
        <f ca="1">COUNTIF(B$3:B$157, "✓")</f>
        <v>70</v>
      </c>
      <c r="C158">
        <f t="shared" ref="C158:AD158" ca="1" si="0">COUNTIF(C$3:C$157, "✓")</f>
        <v>70</v>
      </c>
      <c r="D158">
        <f t="shared" ca="1" si="0"/>
        <v>70</v>
      </c>
      <c r="E158">
        <f t="shared" ca="1" si="0"/>
        <v>70</v>
      </c>
      <c r="F158">
        <f t="shared" ca="1" si="0"/>
        <v>70</v>
      </c>
      <c r="G158">
        <f t="shared" ca="1" si="0"/>
        <v>71</v>
      </c>
      <c r="H158">
        <f t="shared" ca="1" si="0"/>
        <v>72</v>
      </c>
      <c r="I158">
        <f t="shared" ca="1" si="0"/>
        <v>71</v>
      </c>
      <c r="J158">
        <f t="shared" ca="1" si="0"/>
        <v>71</v>
      </c>
      <c r="K158">
        <f t="shared" ca="1" si="0"/>
        <v>69</v>
      </c>
      <c r="L158">
        <f t="shared" ca="1" si="0"/>
        <v>69</v>
      </c>
      <c r="M158">
        <f t="shared" ca="1" si="0"/>
        <v>69</v>
      </c>
      <c r="N158">
        <f t="shared" ca="1" si="0"/>
        <v>69</v>
      </c>
      <c r="O158">
        <f t="shared" ca="1" si="0"/>
        <v>69</v>
      </c>
      <c r="P158">
        <f t="shared" ca="1" si="0"/>
        <v>70</v>
      </c>
      <c r="Q158">
        <f t="shared" ca="1" si="0"/>
        <v>70</v>
      </c>
      <c r="R158">
        <f t="shared" ca="1" si="0"/>
        <v>70</v>
      </c>
      <c r="S158">
        <f t="shared" ca="1" si="0"/>
        <v>70</v>
      </c>
      <c r="T158">
        <f t="shared" ca="1" si="0"/>
        <v>70</v>
      </c>
      <c r="U158">
        <f t="shared" ca="1" si="0"/>
        <v>70</v>
      </c>
      <c r="V158">
        <f t="shared" ca="1" si="0"/>
        <v>70</v>
      </c>
      <c r="W158">
        <f t="shared" ca="1" si="0"/>
        <v>70</v>
      </c>
      <c r="X158">
        <f t="shared" ca="1" si="0"/>
        <v>72</v>
      </c>
      <c r="Y158">
        <f t="shared" ca="1" si="0"/>
        <v>72</v>
      </c>
      <c r="Z158">
        <f t="shared" ca="1" si="0"/>
        <v>72</v>
      </c>
      <c r="AA158">
        <f t="shared" ca="1" si="0"/>
        <v>71</v>
      </c>
      <c r="AB158">
        <f t="shared" ca="1" si="0"/>
        <v>69</v>
      </c>
      <c r="AC158">
        <f t="shared" ca="1" si="0"/>
        <v>3</v>
      </c>
      <c r="AD158">
        <f t="shared" ca="1" si="0"/>
        <v>10</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4" id="{896AD2D4-787F-4ED7-951E-D6D6C6F77B07}">
            <xm:f>$A3='Ref - Master Schema'!$F$9</xm:f>
            <x14:dxf>
              <font>
                <color theme="0"/>
              </font>
              <fill>
                <patternFill>
                  <bgColor theme="5"/>
                </patternFill>
              </fill>
            </x14:dxf>
          </x14:cfRule>
          <x14:cfRule type="expression" priority="30" id="{9DF21200-B0EB-4903-A666-D1BCCFE82F24}">
            <xm:f>$A3='Ref - Master Schema'!$F$8</xm:f>
            <x14:dxf>
              <font>
                <color theme="0"/>
              </font>
              <fill>
                <patternFill>
                  <bgColor theme="7"/>
                </patternFill>
              </fill>
            </x14:dxf>
          </x14:cfRule>
          <x14:cfRule type="expression" priority="31" id="{7C3282BF-2C89-4A40-B26C-C55CCC0394B5}">
            <xm:f>$A3='Ref - Master Schema'!$F$7</xm:f>
            <x14:dxf>
              <font>
                <color theme="0"/>
              </font>
              <fill>
                <patternFill>
                  <bgColor theme="6"/>
                </patternFill>
              </fill>
            </x14:dxf>
          </x14:cfRule>
          <x14:cfRule type="expression" priority="32" id="{9A63B66D-A8CE-429C-93C3-BBAFA2EA0B0E}">
            <xm:f>$A3='Ref - Master Schema'!$F$6</xm:f>
            <x14:dxf>
              <font>
                <color theme="0"/>
              </font>
              <fill>
                <patternFill>
                  <bgColor theme="4"/>
                </patternFill>
              </fill>
            </x14:dxf>
          </x14:cfRule>
          <x14:cfRule type="expression" priority="33" id="{0F249A36-0B81-4173-84E0-0AA6F4342540}">
            <xm:f>$A3='Ref - Master Schema'!$F$5</xm:f>
            <x14:dxf>
              <font>
                <color theme="0"/>
              </font>
              <fill>
                <patternFill>
                  <bgColor theme="5"/>
                </patternFill>
              </fill>
            </x14:dxf>
          </x14:cfRule>
          <x14:cfRule type="expression" priority="34" id="{6B997AE8-CFA9-410F-B5C9-1C948AE5FEB6}">
            <xm:f>$A3='Ref - Master Schema'!$F$4</xm:f>
            <x14:dxf>
              <font>
                <color theme="0"/>
              </font>
              <fill>
                <patternFill>
                  <bgColor theme="7"/>
                </patternFill>
              </fill>
            </x14:dxf>
          </x14:cfRule>
          <x14:cfRule type="expression" priority="35" id="{5B04F434-944E-4776-A0BD-4406AD354249}">
            <xm:f>$A3='Ref - Master Schema'!$F$3</xm:f>
            <x14:dxf>
              <font>
                <color theme="0"/>
              </font>
              <fill>
                <patternFill>
                  <bgColor theme="6"/>
                </patternFill>
              </fill>
            </x14:dxf>
          </x14:cfRule>
          <x14:cfRule type="expression" priority="36" id="{1E1BD806-5515-4D46-8FB6-CDE8712C988C}">
            <xm:f>$A3='Ref - Master Schema'!$F$2</xm:f>
            <x14:dxf>
              <font>
                <color theme="0"/>
              </font>
              <fill>
                <patternFill>
                  <bgColor theme="4"/>
                </patternFill>
              </fill>
            </x14:dxf>
          </x14:cfRule>
          <xm:sqref>A3:A422</xm:sqref>
        </x14:conditionalFormatting>
        <x14:conditionalFormatting xmlns:xm="http://schemas.microsoft.com/office/excel/2006/main">
          <x14:cfRule type="expression" priority="3" id="{1387F66D-2173-4472-87D7-F0111B58FB89}">
            <xm:f>$A3='Ref - Master Schema'!$F$9</xm:f>
            <x14:dxf>
              <fill>
                <patternFill>
                  <bgColor theme="5"/>
                </patternFill>
              </fill>
            </x14:dxf>
          </x14:cfRule>
          <x14:cfRule type="expression" priority="4" id="{30E112A5-BC5D-4C56-A50F-7A644C37DF7E}">
            <xm:f>$A3='Ref - Master Schema'!$F$8</xm:f>
            <x14:dxf>
              <fill>
                <patternFill>
                  <bgColor theme="7"/>
                </patternFill>
              </fill>
            </x14:dxf>
          </x14:cfRule>
          <x14:cfRule type="expression" priority="5" id="{58E42526-58DE-43F7-94E9-65E57336E913}">
            <xm:f>$A3='Ref - Master Schema'!$F$7</xm:f>
            <x14:dxf>
              <fill>
                <patternFill>
                  <bgColor theme="6"/>
                </patternFill>
              </fill>
            </x14:dxf>
          </x14:cfRule>
          <x14:cfRule type="expression" priority="6" id="{D6AC5725-4849-4951-9C7E-044ACD45B1DB}">
            <xm:f>$A3='Ref - Master Schema'!$F$6</xm:f>
            <x14:dxf>
              <fill>
                <patternFill>
                  <bgColor theme="4"/>
                </patternFill>
              </fill>
            </x14:dxf>
          </x14:cfRule>
          <x14:cfRule type="expression" priority="7" id="{C3FB51C8-CCDB-4B23-98A9-67FD81B849F8}">
            <xm:f>$A3='Ref - Master Schema'!$F$5</xm:f>
            <x14:dxf>
              <fill>
                <patternFill>
                  <bgColor theme="5"/>
                </patternFill>
              </fill>
            </x14:dxf>
          </x14:cfRule>
          <x14:cfRule type="expression" priority="8" id="{6530EE5A-A9D0-4B1A-BC93-F34B4D2FC818}">
            <xm:f>$A3='Ref - Master Schema'!$F$4</xm:f>
            <x14:dxf>
              <fill>
                <patternFill>
                  <bgColor theme="7"/>
                </patternFill>
              </fill>
            </x14:dxf>
          </x14:cfRule>
          <x14:cfRule type="expression" priority="9" id="{8A2267EE-748D-4C45-9B78-E801B053680E}">
            <xm:f>$A3='Ref - Master Schema'!$F$3</xm:f>
            <x14:dxf>
              <fill>
                <patternFill>
                  <bgColor theme="6"/>
                </patternFill>
              </fill>
            </x14:dxf>
          </x14:cfRule>
          <x14:cfRule type="expression" priority="10" id="{8C1297BE-A114-44D5-A290-5D3F08AF8741}">
            <xm:f>$A3='Ref - Master Schema'!$F$2</xm:f>
            <x14:dxf>
              <fill>
                <patternFill>
                  <bgColor theme="4"/>
                </patternFill>
              </fill>
            </x14:dxf>
          </x14:cfRule>
          <xm:sqref>B3:AG100</xm:sqref>
        </x14:conditionalFormatting>
        <x14:conditionalFormatting xmlns:xm="http://schemas.microsoft.com/office/excel/2006/main">
          <x14:cfRule type="expression" priority="12" id="{1C289989-FDD6-48EC-8F55-4E413ADDAF3A}">
            <xm:f>$A8='Ref - Master Schema'!$F$3</xm:f>
            <x14:dxf>
              <fill>
                <patternFill>
                  <bgColor theme="6"/>
                </patternFill>
              </fill>
            </x14:dxf>
          </x14:cfRule>
          <xm:sqref>B8:AG8</xm:sqref>
        </x14:conditionalFormatting>
        <x14:conditionalFormatting xmlns:xm="http://schemas.microsoft.com/office/excel/2006/main">
          <x14:cfRule type="cellIs" priority="1" operator="equal" id="{F6A17281-9646-4AB5-B5C7-5A19B85CF737}">
            <xm:f>'Ref - Master Schema'!$I$2</xm:f>
            <x14:dxf>
              <font>
                <color theme="0" tint="-0.14996795556505021"/>
              </font>
              <fill>
                <patternFill>
                  <bgColor theme="0" tint="-4.9989318521683403E-2"/>
                </patternFill>
              </fill>
            </x14:dxf>
          </x14:cfRule>
          <x14:cfRule type="cellIs" priority="2" operator="equal" id="{E39F6CAB-8117-4E18-A537-FD063F199785}">
            <xm:f>'Ref - Master Schema'!$I$1</xm:f>
            <x14:dxf>
              <font>
                <b/>
                <i val="0"/>
                <strike val="0"/>
                <color rgb="FF00B050"/>
              </font>
            </x14:dxf>
          </x14:cfRule>
          <xm:sqref>B3:AH176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F743E8-B1E2-4635-A111-75E7D1F989F0}">
  <dimension ref="A1:I123"/>
  <sheetViews>
    <sheetView workbookViewId="0">
      <selection activeCell="A15" sqref="A15"/>
    </sheetView>
  </sheetViews>
  <sheetFormatPr defaultRowHeight="14.25" x14ac:dyDescent="0.45"/>
  <cols>
    <col min="1" max="1" width="70" bestFit="1" customWidth="1"/>
    <col min="2" max="2" width="25.33203125" bestFit="1" customWidth="1"/>
  </cols>
  <sheetData>
    <row r="1" spans="1:9" x14ac:dyDescent="0.45">
      <c r="A1" t="s">
        <v>118</v>
      </c>
      <c r="B1" t="s">
        <v>676</v>
      </c>
      <c r="F1" t="s">
        <v>676</v>
      </c>
      <c r="I1" t="s">
        <v>677</v>
      </c>
    </row>
    <row r="2" spans="1:9" x14ac:dyDescent="0.45">
      <c r="A2" t="str" cm="1">
        <f t="array" ref="A2:B123">_xlfn.LET(
    _xlpm.RawData, _xlfn.VSTACK(
'UC01 Content Syndication Attend'!$A$7:$A$100,
'UC02 Content Syndication Form S'!$A$7:$A$100,
'UC03 Content Syndication Attend'!$A$7:$A$100,
'UC04 Content Syndication Form S'!$A$7:$A$100,
'UC05 1st Party Events Follow-Up'!$A$7:$A$100,
'UC06 3rd Party Events Follow-Up'!$A$7:$A$100,
'UC07 Paid Leads Follow-Up Reque'!$A$7:$A$100,
'UC08 Webinars Follow-Up Request'!$A$7:$A$100,
'UC09 1st Party Events Attended '!$A$7:$A$100,
'UC10 1st Party Events Attended '!$A$7:$A$100,
'UC11 1st Party Events Attended '!$A$7:$A$100,
'UC12 1st Party Events Booth Sca'!$A$7:$A$100,
'UC13 1st Party Events Registere'!$A$7:$A$100,
'UC14 3rd Party Events Attended '!$A$7:$A$100,
'UC15 3rd Party Events Attended '!$A$7:$A$100,
'UC16 3rd Party Events Attended '!$A$7:$A$100,
'UC17 3rd Party Events Booth Sca'!$A$7:$A$100,
'UC18 3rd Party Events Contact R'!$A$7:$A$100,
'UC19 Event Sponsorships Attende'!$A$7:$A$100,
'UC20 Event Sponsorships Attende'!$A$7:$A$100,
'UC21 Event Sponsorships Registe'!$A$7:$A$100,
'UC22 Webinars Attended Live Vir'!$A$7:$A$100,
'UC23 Webinars Attended On-Deman'!$A$7:$A$100,
'UC24 Webinars Registered'!$A$7:$A$100,
'UC25 Offers - Contact Us Form S'!$A$7:$A$100,
'UC26 Offers - Demo Form Submit'!$A$7:$A$100,
'UC27 Offers - Offer Form Submit'!$A$7:$A$100,
'UC28 Offers - Other Form Submit'!$A$7:$A$100,
'UC29 Offers - Others Form Submi'!$A$7:$A$100,
'UC30 Offers - Promotion Form Su'!$A$7:$A$100,
'UC31 Offers - Trial Form Submit'!$A$7:$A$100,
'UC32 Offers - Trials Form Submi'!$A$7:$A$100
    ),
    _xlpm.CleanData, _xlfn._xlws.FILTER(_xlpm.RawData, (_xlpm.RawData&lt;&gt;"") * (_xlpm.RawData&lt;&gt;0) * (_xlpm.RawData&lt;&gt;"Data Element")),
    _xlpm.MappedSections, _xlfn.SCAN("", _xlpm.CleanData, _xlfn.LAMBDA(_xlpm.prev,_xlpm.curr,
        IF(ISNUMBER(VALUE(LEFT(_xlpm.curr, 1))), _xlpm.curr, _xlpm.prev)
    )),
    _xlpm.CombinedGrid, _xlfn.HSTACK(_xlpm.CleanData, _xlpm.MappedSections),
    _xlpm.FinalOutput, _xlfn._xlws.FILTER(_xlpm.CombinedGrid, ISERROR(VALUE(LEFT(INDEX(_xlpm.CombinedGrid, , 1), 1)))),
    _xlfn.UNIQUE(_xlpm.FinalOutput)
)</f>
        <v>Activity Type</v>
      </c>
      <c r="B2" t="str">
        <v>1 - System Classification</v>
      </c>
      <c r="F2" t="s">
        <v>132</v>
      </c>
      <c r="I2" t="s">
        <v>678</v>
      </c>
    </row>
    <row r="3" spans="1:9" x14ac:dyDescent="0.45">
      <c r="A3" t="str">
        <v>Use Case</v>
      </c>
      <c r="B3" t="str">
        <v>1 - System Classification</v>
      </c>
      <c r="F3" t="s">
        <v>154</v>
      </c>
    </row>
    <row r="4" spans="1:9" x14ac:dyDescent="0.45">
      <c r="A4" t="str">
        <v>Lead Category</v>
      </c>
      <c r="B4" t="str">
        <v>1 - System Classification</v>
      </c>
      <c r="F4" t="s">
        <v>216</v>
      </c>
    </row>
    <row r="5" spans="1:9" x14ac:dyDescent="0.45">
      <c r="A5" t="str">
        <v>Sales Routing Trigger</v>
      </c>
      <c r="B5" t="str">
        <v>1 - System Classification</v>
      </c>
      <c r="F5" t="s">
        <v>271</v>
      </c>
    </row>
    <row r="6" spans="1:9" x14ac:dyDescent="0.45">
      <c r="A6" t="str">
        <v>Person Party ID</v>
      </c>
      <c r="B6" t="str">
        <v>2 - Contact Identity</v>
      </c>
      <c r="F6" t="s">
        <v>289</v>
      </c>
    </row>
    <row r="7" spans="1:9" x14ac:dyDescent="0.45">
      <c r="A7" t="str">
        <v>UUID</v>
      </c>
      <c r="B7" t="str">
        <v>2 - Contact Identity</v>
      </c>
      <c r="F7" t="s">
        <v>329</v>
      </c>
    </row>
    <row r="8" spans="1:9" x14ac:dyDescent="0.45">
      <c r="A8" t="str">
        <v>Marketing Automation Tool Contact ID</v>
      </c>
      <c r="B8" t="str">
        <v>2 - Contact Identity</v>
      </c>
      <c r="F8" t="s">
        <v>427</v>
      </c>
    </row>
    <row r="9" spans="1:9" x14ac:dyDescent="0.45">
      <c r="A9" t="str">
        <v>First Name</v>
      </c>
      <c r="B9" t="str">
        <v>2 - Contact Identity</v>
      </c>
      <c r="F9" t="s">
        <v>358</v>
      </c>
    </row>
    <row r="10" spans="1:9" x14ac:dyDescent="0.45">
      <c r="A10" t="str">
        <v>Last Name</v>
      </c>
      <c r="B10" t="str">
        <v>2 - Contact Identity</v>
      </c>
    </row>
    <row r="11" spans="1:9" x14ac:dyDescent="0.45">
      <c r="A11" t="str">
        <v>Job Title</v>
      </c>
      <c r="B11" t="str">
        <v>2 - Contact Identity</v>
      </c>
    </row>
    <row r="12" spans="1:9" x14ac:dyDescent="0.45">
      <c r="A12" t="str">
        <v>Job Level</v>
      </c>
      <c r="B12" t="str">
        <v>2 - Contact Identity</v>
      </c>
    </row>
    <row r="13" spans="1:9" x14ac:dyDescent="0.45">
      <c r="A13" t="str">
        <v>Job Department</v>
      </c>
      <c r="B13" t="str">
        <v>2 - Contact Identity</v>
      </c>
    </row>
    <row r="14" spans="1:9" x14ac:dyDescent="0.45">
      <c r="A14" t="str">
        <v>Email</v>
      </c>
      <c r="B14" t="str">
        <v>2 - Contact Identity</v>
      </c>
    </row>
    <row r="15" spans="1:9" x14ac:dyDescent="0.45">
      <c r="A15" t="str">
        <v>Email Status</v>
      </c>
      <c r="B15" t="str">
        <v>2 - Contact Identity</v>
      </c>
    </row>
    <row r="16" spans="1:9" x14ac:dyDescent="0.45">
      <c r="A16" t="str">
        <v>OK to Email</v>
      </c>
      <c r="B16" t="str">
        <v>2 - Contact Identity</v>
      </c>
    </row>
    <row r="17" spans="1:2" x14ac:dyDescent="0.45">
      <c r="A17" t="str">
        <v>Phone Status</v>
      </c>
      <c r="B17" t="str">
        <v>2 - Contact Identity</v>
      </c>
    </row>
    <row r="18" spans="1:2" x14ac:dyDescent="0.45">
      <c r="A18" t="str">
        <v>OK to Call</v>
      </c>
      <c r="B18" t="str">
        <v>2 - Contact Identity</v>
      </c>
    </row>
    <row r="19" spans="1:2" x14ac:dyDescent="0.45">
      <c r="A19" t="str">
        <v>Partner Flag</v>
      </c>
      <c r="B19" t="str">
        <v>2 - Contact Identity</v>
      </c>
    </row>
    <row r="20" spans="1:2" x14ac:dyDescent="0.45">
      <c r="A20" t="str">
        <v>Student Flag</v>
      </c>
      <c r="B20" t="str">
        <v>2 - Contact Identity</v>
      </c>
    </row>
    <row r="21" spans="1:2" x14ac:dyDescent="0.45">
      <c r="A21" t="str">
        <v>Decision Maker Type</v>
      </c>
      <c r="B21" t="str">
        <v>2 - Contact Identity</v>
      </c>
    </row>
    <row r="22" spans="1:2" x14ac:dyDescent="0.45">
      <c r="A22" t="str">
        <v>Company Name</v>
      </c>
      <c r="B22" t="str">
        <v>2 - Contact Identity</v>
      </c>
    </row>
    <row r="23" spans="1:2" x14ac:dyDescent="0.45">
      <c r="A23" t="str">
        <v xml:space="preserve">Region </v>
      </c>
      <c r="B23" t="str">
        <v>2 - Contact Identity</v>
      </c>
    </row>
    <row r="24" spans="1:2" x14ac:dyDescent="0.45">
      <c r="A24" t="str">
        <v>CR Party ID</v>
      </c>
      <c r="B24" t="str">
        <v>3 - Account Identity</v>
      </c>
    </row>
    <row r="25" spans="1:2" x14ac:dyDescent="0.45">
      <c r="A25" t="str">
        <v>ORG Party ID</v>
      </c>
      <c r="B25" t="str">
        <v>3 - Account Identity</v>
      </c>
    </row>
    <row r="26" spans="1:2" x14ac:dyDescent="0.45">
      <c r="A26" t="str">
        <v>Address Line 1</v>
      </c>
      <c r="B26" t="str">
        <v>3 - Account Identity</v>
      </c>
    </row>
    <row r="27" spans="1:2" x14ac:dyDescent="0.45">
      <c r="A27" t="str">
        <v>City</v>
      </c>
      <c r="B27" t="str">
        <v>3 - Account Identity</v>
      </c>
    </row>
    <row r="28" spans="1:2" x14ac:dyDescent="0.45">
      <c r="A28" t="str">
        <v>State/County</v>
      </c>
      <c r="B28" t="str">
        <v>3 - Account Identity</v>
      </c>
    </row>
    <row r="29" spans="1:2" x14ac:dyDescent="0.45">
      <c r="A29" t="str">
        <v>Postal/Zip Code</v>
      </c>
      <c r="B29" t="str">
        <v>3 - Account Identity</v>
      </c>
    </row>
    <row r="30" spans="1:2" x14ac:dyDescent="0.45">
      <c r="A30" t="str">
        <v>Country</v>
      </c>
      <c r="B30" t="str">
        <v>3 - Account Identity</v>
      </c>
    </row>
    <row r="31" spans="1:2" x14ac:dyDescent="0.45">
      <c r="A31" t="str">
        <v>Named Account Flag</v>
      </c>
      <c r="B31" t="str">
        <v>3 - Account Identity</v>
      </c>
    </row>
    <row r="32" spans="1:2" x14ac:dyDescent="0.45">
      <c r="A32" t="str">
        <v>Number of Employees</v>
      </c>
      <c r="B32" t="str">
        <v>3 - Account Identity</v>
      </c>
    </row>
    <row r="33" spans="1:2" x14ac:dyDescent="0.45">
      <c r="A33" t="str">
        <v>SAVM Account Manager Email</v>
      </c>
      <c r="B33" t="str">
        <v>3 - Account Identity</v>
      </c>
    </row>
    <row r="34" spans="1:2" x14ac:dyDescent="0.45">
      <c r="A34" t="str">
        <v>SAVM Sales Coverage Code</v>
      </c>
      <c r="B34" t="str">
        <v>3 - Account Identity</v>
      </c>
    </row>
    <row r="35" spans="1:2" x14ac:dyDescent="0.45">
      <c r="A35" t="str">
        <v>SAVM Sales Level 1</v>
      </c>
      <c r="B35" t="str">
        <v>3 - Account Identity</v>
      </c>
    </row>
    <row r="36" spans="1:2" x14ac:dyDescent="0.45">
      <c r="A36" t="str">
        <v>SAVM Sales Level 2</v>
      </c>
      <c r="B36" t="str">
        <v>3 - Account Identity</v>
      </c>
    </row>
    <row r="37" spans="1:2" x14ac:dyDescent="0.45">
      <c r="A37" t="str">
        <v>SFDC Account ID</v>
      </c>
      <c r="B37" t="str">
        <v>3 - Account Identity</v>
      </c>
    </row>
    <row r="38" spans="1:2" x14ac:dyDescent="0.45">
      <c r="A38" t="str">
        <v>Vertical Market</v>
      </c>
      <c r="B38" t="str">
        <v>3 - Account Identity</v>
      </c>
    </row>
    <row r="39" spans="1:2" x14ac:dyDescent="0.45">
      <c r="A39" t="str">
        <v>Website URL</v>
      </c>
      <c r="B39" t="str">
        <v>3 - Account Identity</v>
      </c>
    </row>
    <row r="40" spans="1:2" x14ac:dyDescent="0.45">
      <c r="A40" t="str">
        <v>Phone Extension</v>
      </c>
      <c r="B40" t="str">
        <v>3 - Account Identity</v>
      </c>
    </row>
    <row r="41" spans="1:2" x14ac:dyDescent="0.45">
      <c r="A41" t="str">
        <v>Primary Phone Number</v>
      </c>
      <c r="B41" t="str">
        <v>3 - Account Identity</v>
      </c>
    </row>
    <row r="42" spans="1:2" x14ac:dyDescent="0.45">
      <c r="A42" t="str">
        <v>Email Opt-In Permission</v>
      </c>
      <c r="B42" t="str">
        <v>4 - Compliance / Permissions</v>
      </c>
    </row>
    <row r="43" spans="1:2" x14ac:dyDescent="0.45">
      <c r="A43" t="str">
        <v>Primary Phone Opt-In Permission</v>
      </c>
      <c r="B43" t="str">
        <v>4 - Compliance / Permissions</v>
      </c>
    </row>
    <row r="44" spans="1:2" x14ac:dyDescent="0.45">
      <c r="A44" t="str">
        <v>Cross Border Storage (China Hand Raisers and Responses Only)</v>
      </c>
      <c r="B44" t="str">
        <v>4 - Compliance / Permissions</v>
      </c>
    </row>
    <row r="45" spans="1:2" x14ac:dyDescent="0.45">
      <c r="A45" t="str">
        <v>Korea and Vietnam Combined Consent</v>
      </c>
      <c r="B45" t="str">
        <v>4 - Compliance / Permissions</v>
      </c>
    </row>
    <row r="46" spans="1:2" x14ac:dyDescent="0.45">
      <c r="A46" t="str">
        <v>Share Data with Cisco Affiliates and Suppliers (China Hand Raisers and Responses Only)</v>
      </c>
      <c r="B46" t="str">
        <v>4 - Compliance / Permissions</v>
      </c>
    </row>
    <row r="47" spans="1:2" x14ac:dyDescent="0.45">
      <c r="A47" t="str">
        <v>Campaign Name</v>
      </c>
      <c r="B47" t="str">
        <v>5 - Legacy Tracking Parameters</v>
      </c>
    </row>
    <row r="48" spans="1:2" x14ac:dyDescent="0.45">
      <c r="A48" t="str">
        <v>Program Name</v>
      </c>
      <c r="B48" t="str">
        <v>5 - Legacy Tracking Parameters</v>
      </c>
    </row>
    <row r="49" spans="1:2" x14ac:dyDescent="0.45">
      <c r="A49" t="str">
        <v>Activity ID</v>
      </c>
      <c r="B49" t="str">
        <v>5 - Legacy Tracking Parameters</v>
      </c>
    </row>
    <row r="50" spans="1:2" x14ac:dyDescent="0.45">
      <c r="A50" t="str">
        <v>Activity Name</v>
      </c>
      <c r="B50" t="str">
        <v>5 - Legacy Tracking Parameters</v>
      </c>
    </row>
    <row r="51" spans="1:2" x14ac:dyDescent="0.45">
      <c r="A51" t="str">
        <v>Activity Description</v>
      </c>
      <c r="B51" t="str">
        <v>5 - Legacy Tracking Parameters</v>
      </c>
    </row>
    <row r="52" spans="1:2" x14ac:dyDescent="0.45">
      <c r="A52" t="str">
        <v>Drive To ID</v>
      </c>
      <c r="B52" t="str">
        <v>5 - Legacy Tracking Parameters</v>
      </c>
    </row>
    <row r="53" spans="1:2" x14ac:dyDescent="0.45">
      <c r="A53" t="str">
        <v>DTID Reporting Channel</v>
      </c>
      <c r="B53" t="str">
        <v>5 - Legacy Tracking Parameters</v>
      </c>
    </row>
    <row r="54" spans="1:2" x14ac:dyDescent="0.45">
      <c r="A54" t="str">
        <v>Vehicle</v>
      </c>
      <c r="B54" t="str">
        <v>5 - Legacy Tracking Parameters</v>
      </c>
    </row>
    <row r="55" spans="1:2" x14ac:dyDescent="0.45">
      <c r="A55" t="str">
        <v>Offer ID</v>
      </c>
      <c r="B55" t="str">
        <v>5 - Legacy Tracking Parameters</v>
      </c>
    </row>
    <row r="56" spans="1:2" x14ac:dyDescent="0.45">
      <c r="A56" t="str">
        <v>Offer Name</v>
      </c>
      <c r="B56" t="str">
        <v>5 - Legacy Tracking Parameters</v>
      </c>
    </row>
    <row r="57" spans="1:2" x14ac:dyDescent="0.45">
      <c r="A57" t="str">
        <v>Offer Description</v>
      </c>
      <c r="B57" t="str">
        <v>5 - Legacy Tracking Parameters</v>
      </c>
    </row>
    <row r="58" spans="1:2" x14ac:dyDescent="0.45">
      <c r="A58" t="str">
        <v>Offer Type</v>
      </c>
      <c r="B58" t="str">
        <v>5 - Legacy Tracking Parameters</v>
      </c>
    </row>
    <row r="59" spans="1:2" x14ac:dyDescent="0.45">
      <c r="A59" t="str">
        <v>Workfront Channel ID</v>
      </c>
      <c r="B59" t="str">
        <v>6 - Future Tracking Parameters</v>
      </c>
    </row>
    <row r="60" spans="1:2" x14ac:dyDescent="0.45">
      <c r="A60" t="str">
        <v>Primary Technology</v>
      </c>
      <c r="B60" t="str">
        <v>6 - Future Tracking Parameters</v>
      </c>
    </row>
    <row r="61" spans="1:2" x14ac:dyDescent="0.45">
      <c r="A61" t="str">
        <v>Campaign</v>
      </c>
      <c r="B61" t="str">
        <v>6 - Future Tracking Parameters</v>
      </c>
    </row>
    <row r="62" spans="1:2" x14ac:dyDescent="0.45">
      <c r="A62" t="str">
        <v>Program</v>
      </c>
      <c r="B62" t="str">
        <v>6 - Future Tracking Parameters</v>
      </c>
    </row>
    <row r="63" spans="1:2" x14ac:dyDescent="0.45">
      <c r="A63" t="str">
        <v>Channel Type</v>
      </c>
      <c r="B63" t="str">
        <v>6 - Future Tracking Parameters</v>
      </c>
    </row>
    <row r="64" spans="1:2" x14ac:dyDescent="0.45">
      <c r="A64" t="str">
        <v>Channel Source</v>
      </c>
      <c r="B64" t="str">
        <v>6 - Future Tracking Parameters</v>
      </c>
    </row>
    <row r="65" spans="1:2" x14ac:dyDescent="0.45">
      <c r="A65" t="str">
        <v>Funnel Stage</v>
      </c>
      <c r="B65" t="str">
        <v>6 - Future Tracking Parameters</v>
      </c>
    </row>
    <row r="66" spans="1:2" x14ac:dyDescent="0.45">
      <c r="A66" t="str">
        <v>Workfront Content ID</v>
      </c>
      <c r="B66" t="str">
        <v>6 - Future Tracking Parameters</v>
      </c>
    </row>
    <row r="67" spans="1:2" x14ac:dyDescent="0.45">
      <c r="A67" t="str">
        <v>Content Type</v>
      </c>
      <c r="B67" t="str">
        <v>6 - Future Tracking Parameters</v>
      </c>
    </row>
    <row r="68" spans="1:2" x14ac:dyDescent="0.45">
      <c r="A68" t="str">
        <v>Form Submit Date</v>
      </c>
      <c r="B68" t="str">
        <v>8 - Activity Detail</v>
      </c>
    </row>
    <row r="69" spans="1:2" x14ac:dyDescent="0.45">
      <c r="A69" t="str">
        <v>Integrate Source ID</v>
      </c>
      <c r="B69" t="str">
        <v>8 - Activity Detail</v>
      </c>
    </row>
    <row r="70" spans="1:2" x14ac:dyDescent="0.45">
      <c r="A70" t="str">
        <v>Contact Source Original</v>
      </c>
      <c r="B70" t="str">
        <v>8 - Activity Detail</v>
      </c>
    </row>
    <row r="71" spans="1:2" x14ac:dyDescent="0.45">
      <c r="A71" t="str">
        <v>Additional Enquiry Details</v>
      </c>
      <c r="B71" t="str">
        <v>8 - Activity Detail</v>
      </c>
    </row>
    <row r="72" spans="1:2" x14ac:dyDescent="0.45">
      <c r="A72" t="str">
        <v>Contact Provided Permission</v>
      </c>
      <c r="B72" t="str">
        <v>4 - Compliance / Permissions</v>
      </c>
    </row>
    <row r="73" spans="1:2" x14ac:dyDescent="0.45">
      <c r="A73" t="str">
        <v>Consent / Permission Status</v>
      </c>
      <c r="B73" t="str">
        <v>4 - Compliance / Permissions</v>
      </c>
    </row>
    <row r="74" spans="1:2" x14ac:dyDescent="0.45">
      <c r="A74" t="str">
        <v>Vendor</v>
      </c>
      <c r="B74" t="str">
        <v>6 - Future Tracking Parameters</v>
      </c>
    </row>
    <row r="75" spans="1:2" x14ac:dyDescent="0.45">
      <c r="A75" t="str">
        <v>Event ID / EID</v>
      </c>
      <c r="B75" t="str">
        <v>7 - Event Tracking Parameters</v>
      </c>
    </row>
    <row r="76" spans="1:2" x14ac:dyDescent="0.45">
      <c r="A76" t="str">
        <v>Event Name</v>
      </c>
      <c r="B76" t="str">
        <v>7 - Event Tracking Parameters</v>
      </c>
    </row>
    <row r="77" spans="1:2" x14ac:dyDescent="0.45">
      <c r="A77" t="str">
        <v>Event Start Date</v>
      </c>
      <c r="B77" t="str">
        <v>7 - Event Tracking Parameters</v>
      </c>
    </row>
    <row r="78" spans="1:2" x14ac:dyDescent="0.45">
      <c r="A78" t="str">
        <v>Event End Date</v>
      </c>
      <c r="B78" t="str">
        <v>7 - Event Tracking Parameters</v>
      </c>
    </row>
    <row r="79" spans="1:2" x14ac:dyDescent="0.45">
      <c r="A79" t="str">
        <v>Customer Comments</v>
      </c>
      <c r="B79" t="str">
        <v>7 - Event Tracking Parameters</v>
      </c>
    </row>
    <row r="80" spans="1:2" x14ac:dyDescent="0.45">
      <c r="A80" t="str">
        <v>Transaction Date</v>
      </c>
      <c r="B80" t="str">
        <v>7 - Event Tracking Parameters</v>
      </c>
    </row>
    <row r="81" spans="1:2" x14ac:dyDescent="0.45">
      <c r="A81" t="str">
        <v>Privacy ID</v>
      </c>
      <c r="B81" t="str">
        <v>8 - Activity Detail</v>
      </c>
    </row>
    <row r="82" spans="1:2" x14ac:dyDescent="0.45">
      <c r="A82" t="str">
        <v>Customer Comments</v>
      </c>
      <c r="B82" t="str">
        <v>8 - Activity Detail</v>
      </c>
    </row>
    <row r="83" spans="1:2" x14ac:dyDescent="0.45">
      <c r="A83" t="str">
        <v>Event Attended</v>
      </c>
      <c r="B83" t="str">
        <v>7 - Event Tracking Parameters</v>
      </c>
    </row>
    <row r="84" spans="1:2" x14ac:dyDescent="0.45">
      <c r="A84" t="str">
        <v>Attendance Date</v>
      </c>
      <c r="B84" t="str">
        <v>7 - Event Tracking Parameters</v>
      </c>
    </row>
    <row r="85" spans="1:2" x14ac:dyDescent="0.45">
      <c r="A85" t="str">
        <v>Session Name</v>
      </c>
      <c r="B85" t="str">
        <v>7 - Event Tracking Parameters</v>
      </c>
    </row>
    <row r="86" spans="1:2" x14ac:dyDescent="0.45">
      <c r="A86" t="str">
        <v>Session Topic / Track</v>
      </c>
      <c r="B86" t="str">
        <v>7 - Event Tracking Parameters</v>
      </c>
    </row>
    <row r="87" spans="1:2" x14ac:dyDescent="0.45">
      <c r="A87" t="str">
        <v>Session Attendance Date</v>
      </c>
      <c r="B87" t="str">
        <v>7 - Event Tracking Parameters</v>
      </c>
    </row>
    <row r="88" spans="1:2" x14ac:dyDescent="0.45">
      <c r="A88" t="str">
        <v>Booth Name / Location</v>
      </c>
      <c r="B88" t="str">
        <v>7 - Event Tracking Parameters</v>
      </c>
    </row>
    <row r="89" spans="1:2" x14ac:dyDescent="0.45">
      <c r="A89" t="str">
        <v>Booth Scan Date</v>
      </c>
      <c r="B89" t="str">
        <v>7 - Event Tracking Parameters</v>
      </c>
    </row>
    <row r="90" spans="1:2" x14ac:dyDescent="0.45">
      <c r="A90" t="str">
        <v>Registration Date</v>
      </c>
      <c r="B90" t="str">
        <v>7 - Event Tracking Parameters</v>
      </c>
    </row>
    <row r="91" spans="1:2" x14ac:dyDescent="0.45">
      <c r="A91" t="str">
        <v>CXO / Executive Indicator</v>
      </c>
      <c r="B91" t="str">
        <v>7 - Event Tracking Parameters</v>
      </c>
    </row>
    <row r="92" spans="1:2" x14ac:dyDescent="0.45">
      <c r="A92" t="str">
        <v>CXO Event Attendance Date</v>
      </c>
      <c r="B92" t="str">
        <v>7 - Event Tracking Parameters</v>
      </c>
    </row>
    <row r="93" spans="1:2" x14ac:dyDescent="0.45">
      <c r="A93" t="str">
        <v>Meeting Type</v>
      </c>
      <c r="B93" t="str">
        <v>7 - Event Tracking Parameters</v>
      </c>
    </row>
    <row r="94" spans="1:2" x14ac:dyDescent="0.45">
      <c r="A94" t="str">
        <v>Meeting Owner</v>
      </c>
      <c r="B94" t="str">
        <v>7 - Event Tracking Parameters</v>
      </c>
    </row>
    <row r="95" spans="1:2" x14ac:dyDescent="0.45">
      <c r="A95" t="str">
        <v>Meeting Date</v>
      </c>
      <c r="B95" t="str">
        <v>7 - Event Tracking Parameters</v>
      </c>
    </row>
    <row r="96" spans="1:2" x14ac:dyDescent="0.45">
      <c r="A96" t="str">
        <v>Sponsored Session Name</v>
      </c>
      <c r="B96" t="str">
        <v>7 - Event Tracking Parameters</v>
      </c>
    </row>
    <row r="97" spans="1:2" x14ac:dyDescent="0.45">
      <c r="A97" t="str">
        <v>Live Attendance Date</v>
      </c>
      <c r="B97" t="str">
        <v>7 - Event Tracking Parameters</v>
      </c>
    </row>
    <row r="98" spans="1:2" x14ac:dyDescent="0.45">
      <c r="A98" t="str">
        <v>Webinar Date</v>
      </c>
      <c r="B98" t="str">
        <v>8 - Activity Detail</v>
      </c>
    </row>
    <row r="99" spans="1:2" x14ac:dyDescent="0.45">
      <c r="A99" t="str">
        <v>Transaction Date</v>
      </c>
      <c r="B99" t="str">
        <v>8 - Activity Detail</v>
      </c>
    </row>
    <row r="100" spans="1:2" x14ac:dyDescent="0.45">
      <c r="A100" t="str">
        <v>On-Demand View Date</v>
      </c>
      <c r="B100" t="str">
        <v>8 - Activity Detail</v>
      </c>
    </row>
    <row r="101" spans="1:2" x14ac:dyDescent="0.45">
      <c r="A101" t="str">
        <v>Registration Date</v>
      </c>
      <c r="B101" t="str">
        <v>8 - Activity Detail</v>
      </c>
    </row>
    <row r="102" spans="1:2" x14ac:dyDescent="0.45">
      <c r="A102" t="str">
        <v>C_ECID</v>
      </c>
      <c r="B102" t="str">
        <v>6 - Future Tracking Parameters</v>
      </c>
    </row>
    <row r="103" spans="1:2" x14ac:dyDescent="0.45">
      <c r="A103" t="str">
        <v>C_FPID</v>
      </c>
      <c r="B103" t="str">
        <v>6 - Future Tracking Parameters</v>
      </c>
    </row>
    <row r="104" spans="1:2" x14ac:dyDescent="0.45">
      <c r="A104" t="str">
        <v>Call to Action URL</v>
      </c>
      <c r="B104" t="str">
        <v>6 - Future Tracking Parameters</v>
      </c>
    </row>
    <row r="105" spans="1:2" x14ac:dyDescent="0.45">
      <c r="A105" t="str">
        <v>CP_GUTC</v>
      </c>
      <c r="B105" t="str">
        <v>6 - Future Tracking Parameters</v>
      </c>
    </row>
    <row r="106" spans="1:2" x14ac:dyDescent="0.45">
      <c r="A106" t="str">
        <v>Entry URL</v>
      </c>
      <c r="B106" t="str">
        <v>6 - Future Tracking Parameters</v>
      </c>
    </row>
    <row r="107" spans="1:2" x14ac:dyDescent="0.45">
      <c r="A107" t="str">
        <v>Gated Page URL</v>
      </c>
      <c r="B107" t="str">
        <v>6 - Future Tracking Parameters</v>
      </c>
    </row>
    <row r="108" spans="1:2" x14ac:dyDescent="0.45">
      <c r="A108" t="str">
        <v>Google Click ID</v>
      </c>
      <c r="B108" t="str">
        <v>6 - Future Tracking Parameters</v>
      </c>
    </row>
    <row r="109" spans="1:2" x14ac:dyDescent="0.45">
      <c r="A109" t="str">
        <v>Link Click ID</v>
      </c>
      <c r="B109" t="str">
        <v>6 - Future Tracking Parameters</v>
      </c>
    </row>
    <row r="110" spans="1:2" x14ac:dyDescent="0.45">
      <c r="A110" t="str">
        <v>Source Domain</v>
      </c>
      <c r="B110" t="str">
        <v>6 - Future Tracking Parameters</v>
      </c>
    </row>
    <row r="111" spans="1:2" x14ac:dyDescent="0.45">
      <c r="A111" t="str">
        <v>utm_campaign</v>
      </c>
      <c r="B111" t="str">
        <v>6 - Future Tracking Parameters</v>
      </c>
    </row>
    <row r="112" spans="1:2" x14ac:dyDescent="0.45">
      <c r="A112" t="str">
        <v>utm_content</v>
      </c>
      <c r="B112" t="str">
        <v>6 - Future Tracking Parameters</v>
      </c>
    </row>
    <row r="113" spans="1:2" x14ac:dyDescent="0.45">
      <c r="A113" t="str">
        <v>utm_creative</v>
      </c>
      <c r="B113" t="str">
        <v>6 - Future Tracking Parameters</v>
      </c>
    </row>
    <row r="114" spans="1:2" x14ac:dyDescent="0.45">
      <c r="A114" t="str">
        <v>utm_medium</v>
      </c>
      <c r="B114" t="str">
        <v>6 - Future Tracking Parameters</v>
      </c>
    </row>
    <row r="115" spans="1:2" x14ac:dyDescent="0.45">
      <c r="A115" t="str">
        <v>utm_source</v>
      </c>
      <c r="B115" t="str">
        <v>6 - Future Tracking Parameters</v>
      </c>
    </row>
    <row r="116" spans="1:2" x14ac:dyDescent="0.45">
      <c r="A116" t="str">
        <v>utm_term</v>
      </c>
      <c r="B116" t="str">
        <v>6 - Future Tracking Parameters</v>
      </c>
    </row>
    <row r="117" spans="1:2" x14ac:dyDescent="0.45">
      <c r="A117" t="str">
        <v>Enquiry Type</v>
      </c>
      <c r="B117" t="str">
        <v>8 - Activity Detail</v>
      </c>
    </row>
    <row r="118" spans="1:2" x14ac:dyDescent="0.45">
      <c r="A118" t="str">
        <v>Language</v>
      </c>
      <c r="B118" t="str">
        <v>8 - Activity Detail</v>
      </c>
    </row>
    <row r="119" spans="1:2" x14ac:dyDescent="0.45">
      <c r="A119" t="str">
        <v>Sales Conversation Interest</v>
      </c>
      <c r="B119" t="str">
        <v>8 - Activity Detail</v>
      </c>
    </row>
    <row r="120" spans="1:2" x14ac:dyDescent="0.45">
      <c r="A120" t="str">
        <v>Funnel Stage</v>
      </c>
      <c r="B120" t="str">
        <v>8 - Activity Detail</v>
      </c>
    </row>
    <row r="121" spans="1:2" x14ac:dyDescent="0.45">
      <c r="A121" t="str">
        <v>Marketing Automation Tool Form ID</v>
      </c>
      <c r="B121" t="str">
        <v>8 - Activity Detail</v>
      </c>
    </row>
    <row r="122" spans="1:2" x14ac:dyDescent="0.45">
      <c r="A122" t="str">
        <v>Marketing Automation Tool Email ID</v>
      </c>
      <c r="B122" t="str">
        <v>8 - Activity Detail</v>
      </c>
    </row>
    <row r="123" spans="1:2" x14ac:dyDescent="0.45">
      <c r="A123" t="str">
        <v>Marketing Automation Tool Landing Page ID</v>
      </c>
      <c r="B123" t="str">
        <v>8 - Activity Detail</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3"/>
  <sheetViews>
    <sheetView workbookViewId="0">
      <pane ySplit="1" topLeftCell="A2" activePane="bottomLeft" state="frozen"/>
      <selection pane="bottomLeft" activeCell="G4" sqref="G4"/>
    </sheetView>
  </sheetViews>
  <sheetFormatPr defaultRowHeight="14.25" x14ac:dyDescent="0.45"/>
  <cols>
    <col min="1" max="1" width="13" customWidth="1"/>
    <col min="2" max="2" width="33" customWidth="1"/>
    <col min="3" max="3" width="21" customWidth="1"/>
    <col min="4" max="4" width="17" customWidth="1"/>
    <col min="5" max="5" width="21" customWidth="1"/>
    <col min="6" max="6" width="25" customWidth="1"/>
    <col min="7" max="7" width="20" customWidth="1"/>
    <col min="8" max="8" width="22" customWidth="1"/>
  </cols>
  <sheetData>
    <row r="1" spans="1:8" x14ac:dyDescent="0.45">
      <c r="A1" s="3" t="s">
        <v>16</v>
      </c>
      <c r="B1" s="11" t="s">
        <v>17</v>
      </c>
      <c r="C1" s="3" t="s">
        <v>18</v>
      </c>
      <c r="D1" s="3" t="s">
        <v>19</v>
      </c>
      <c r="E1" s="3" t="s">
        <v>20</v>
      </c>
      <c r="F1" s="3" t="s">
        <v>21</v>
      </c>
      <c r="G1" s="3" t="s">
        <v>22</v>
      </c>
      <c r="H1" s="3" t="s">
        <v>23</v>
      </c>
    </row>
    <row r="2" spans="1:8" x14ac:dyDescent="0.45">
      <c r="A2" t="s">
        <v>24</v>
      </c>
      <c r="B2" t="str" cm="1">
        <f t="array" aca="1" ref="B2" ca="1">_xlfn.TEXTAFTER(CELL("filename", 'UC01 Content Syndication Attend'!$A$1), "]")</f>
        <v>UC01 Content Syndication Attend</v>
      </c>
      <c r="C2" t="s">
        <v>26</v>
      </c>
      <c r="D2" t="s">
        <v>27</v>
      </c>
      <c r="E2" t="s">
        <v>26</v>
      </c>
      <c r="F2" t="s">
        <v>28</v>
      </c>
      <c r="G2">
        <f ca="1">COUNTIF(OFFSET('Data Element Matrix'!$B$4:$B$520, 0, ROW() - 2), "✓")</f>
        <v>70</v>
      </c>
      <c r="H2">
        <v>6</v>
      </c>
    </row>
    <row r="3" spans="1:8" x14ac:dyDescent="0.45">
      <c r="A3" t="s">
        <v>29</v>
      </c>
      <c r="B3" t="str" cm="1">
        <f t="array" aca="1" ref="B3" ca="1">_xlfn.TEXTAFTER(CELL("filename", 'UC02 Content Syndication Form S'!$A$1), "]")</f>
        <v>UC02 Content Syndication Form S</v>
      </c>
      <c r="C3" t="s">
        <v>26</v>
      </c>
      <c r="D3" t="s">
        <v>27</v>
      </c>
      <c r="E3" t="s">
        <v>26</v>
      </c>
      <c r="F3" t="s">
        <v>31</v>
      </c>
      <c r="G3">
        <f ca="1">COUNTIF(OFFSET('Data Element Matrix'!$B$4:$B$520, 0, ROW() - 2), "✓")</f>
        <v>70</v>
      </c>
      <c r="H3">
        <v>6</v>
      </c>
    </row>
    <row r="4" spans="1:8" x14ac:dyDescent="0.45">
      <c r="A4" t="s">
        <v>32</v>
      </c>
      <c r="B4" t="str" cm="1">
        <f t="array" aca="1" ref="B4" ca="1">_xlfn.TEXTAFTER(CELL("filename", 'UC03 Content Syndication Attend'!$A$1), "]")</f>
        <v>UC03 Content Syndication Attend</v>
      </c>
      <c r="C4" t="s">
        <v>26</v>
      </c>
      <c r="D4" t="s">
        <v>34</v>
      </c>
      <c r="E4" t="s">
        <v>26</v>
      </c>
      <c r="F4" t="s">
        <v>28</v>
      </c>
      <c r="G4">
        <f ca="1">COUNTIF(OFFSET('Data Element Matrix'!$B$4:$B$520, 0, ROW() - 2), "✓")</f>
        <v>70</v>
      </c>
      <c r="H4">
        <v>6</v>
      </c>
    </row>
    <row r="5" spans="1:8" x14ac:dyDescent="0.45">
      <c r="A5" t="s">
        <v>35</v>
      </c>
      <c r="B5" t="str" cm="1">
        <f t="array" aca="1" ref="B5" ca="1">_xlfn.TEXTAFTER(CELL("filename", 'UC04 Content Syndication Form S'!$A$1), "]")</f>
        <v>UC04 Content Syndication Form S</v>
      </c>
      <c r="C5" t="s">
        <v>26</v>
      </c>
      <c r="D5" t="s">
        <v>34</v>
      </c>
      <c r="E5" t="s">
        <v>26</v>
      </c>
      <c r="F5" t="s">
        <v>31</v>
      </c>
      <c r="G5">
        <f ca="1">COUNTIF(OFFSET('Data Element Matrix'!$B$4:$B$520, 0, ROW() - 2), "✓")</f>
        <v>70</v>
      </c>
      <c r="H5">
        <v>6</v>
      </c>
    </row>
    <row r="6" spans="1:8" x14ac:dyDescent="0.45">
      <c r="A6" t="s">
        <v>37</v>
      </c>
      <c r="B6" t="str" cm="1">
        <f t="array" aca="1" ref="B6" ca="1">_xlfn.TEXTAFTER(CELL("filename", 'UC05 1st Party Events Follow-Up'!$A$1), "]")</f>
        <v>UC05 1st Party Events Follow-Up</v>
      </c>
      <c r="C6" t="s">
        <v>39</v>
      </c>
      <c r="D6" t="s">
        <v>27</v>
      </c>
      <c r="E6" t="s">
        <v>40</v>
      </c>
      <c r="F6" t="s">
        <v>41</v>
      </c>
      <c r="G6">
        <f ca="1">COUNTIF(OFFSET('Data Element Matrix'!$B$4:$B$520, 0, ROW() - 2), "✓")</f>
        <v>70</v>
      </c>
      <c r="H6">
        <v>15</v>
      </c>
    </row>
    <row r="7" spans="1:8" x14ac:dyDescent="0.45">
      <c r="A7" t="s">
        <v>42</v>
      </c>
      <c r="B7" t="str" cm="1">
        <f t="array" aca="1" ref="B7" ca="1">_xlfn.TEXTAFTER(CELL("filename", 'UC06 3rd Party Events Follow-Up'!$A$1), "]")</f>
        <v>UC06 3rd Party Events Follow-Up</v>
      </c>
      <c r="C7" t="s">
        <v>39</v>
      </c>
      <c r="D7" t="s">
        <v>27</v>
      </c>
      <c r="E7" t="s">
        <v>44</v>
      </c>
      <c r="F7" t="s">
        <v>41</v>
      </c>
      <c r="G7">
        <f ca="1">COUNTIF(OFFSET('Data Element Matrix'!$B$4:$B$520, 0, ROW() - 2), "✓")</f>
        <v>71</v>
      </c>
      <c r="H7">
        <v>15</v>
      </c>
    </row>
    <row r="8" spans="1:8" x14ac:dyDescent="0.45">
      <c r="A8" t="s">
        <v>45</v>
      </c>
      <c r="B8" t="str" cm="1">
        <f t="array" aca="1" ref="B8" ca="1">_xlfn.TEXTAFTER(CELL("filename", 'UC07 Paid Leads Follow-Up Reque'!$A$1), "]")</f>
        <v>UC07 Paid Leads Follow-Up Reque</v>
      </c>
      <c r="C8" t="s">
        <v>39</v>
      </c>
      <c r="D8" t="s">
        <v>27</v>
      </c>
      <c r="E8" t="s">
        <v>47</v>
      </c>
      <c r="F8" t="s">
        <v>41</v>
      </c>
      <c r="G8">
        <f ca="1">COUNTIF(OFFSET('Data Element Matrix'!$B$4:$B$520, 0, ROW() - 2), "✓")</f>
        <v>72</v>
      </c>
      <c r="H8">
        <v>14</v>
      </c>
    </row>
    <row r="9" spans="1:8" x14ac:dyDescent="0.45">
      <c r="A9" t="s">
        <v>48</v>
      </c>
      <c r="B9" t="str" cm="1">
        <f t="array" aca="1" ref="B9" ca="1">_xlfn.TEXTAFTER(CELL("filename", 'UC08 Webinars Follow-Up Request'!$A$1), "]")</f>
        <v>UC08 Webinars Follow-Up Request</v>
      </c>
      <c r="C9" t="s">
        <v>39</v>
      </c>
      <c r="D9" t="s">
        <v>27</v>
      </c>
      <c r="E9" t="s">
        <v>50</v>
      </c>
      <c r="F9" t="s">
        <v>41</v>
      </c>
      <c r="G9">
        <f ca="1">COUNTIF(OFFSET('Data Element Matrix'!$B$4:$B$520, 0, ROW() - 2), "✓")</f>
        <v>71</v>
      </c>
      <c r="H9">
        <v>14</v>
      </c>
    </row>
    <row r="10" spans="1:8" x14ac:dyDescent="0.45">
      <c r="A10" t="s">
        <v>51</v>
      </c>
      <c r="B10" t="str" cm="1">
        <f t="array" aca="1" ref="B10" ca="1">_xlfn.TEXTAFTER(CELL("filename", 'UC09 1st Party Events Attended '!$A$1), "]")</f>
        <v xml:space="preserve">UC09 1st Party Events Attended </v>
      </c>
      <c r="C10" t="s">
        <v>39</v>
      </c>
      <c r="D10" t="s">
        <v>34</v>
      </c>
      <c r="E10" t="s">
        <v>40</v>
      </c>
      <c r="F10" t="s">
        <v>53</v>
      </c>
      <c r="G10">
        <f ca="1">COUNTIF(OFFSET('Data Element Matrix'!$B$4:$B$520, 0, ROW() - 2), "✓")</f>
        <v>71</v>
      </c>
      <c r="H10">
        <v>17</v>
      </c>
    </row>
    <row r="11" spans="1:8" x14ac:dyDescent="0.45">
      <c r="A11" t="s">
        <v>54</v>
      </c>
      <c r="B11" t="str" cm="1">
        <f t="array" aca="1" ref="B11" ca="1">_xlfn.TEXTAFTER(CELL("filename", 'UC10 1st Party Events Attended '!$A$1), "]")</f>
        <v xml:space="preserve">UC10 1st Party Events Attended </v>
      </c>
      <c r="C11" t="s">
        <v>39</v>
      </c>
      <c r="D11" t="s">
        <v>34</v>
      </c>
      <c r="E11" t="s">
        <v>40</v>
      </c>
      <c r="F11" t="s">
        <v>56</v>
      </c>
      <c r="G11">
        <f ca="1">COUNTIF(OFFSET('Data Element Matrix'!$B$4:$B$520, 0, ROW() - 2), "✓")</f>
        <v>69</v>
      </c>
      <c r="H11">
        <v>17</v>
      </c>
    </row>
    <row r="12" spans="1:8" x14ac:dyDescent="0.45">
      <c r="A12" t="s">
        <v>57</v>
      </c>
      <c r="B12" t="str" cm="1">
        <f t="array" aca="1" ref="B12" ca="1">_xlfn.TEXTAFTER(CELL("filename", 'UC11 1st Party Events Attended '!$A$1), "]")</f>
        <v xml:space="preserve">UC11 1st Party Events Attended </v>
      </c>
      <c r="C12" t="s">
        <v>39</v>
      </c>
      <c r="D12" t="s">
        <v>34</v>
      </c>
      <c r="E12" t="s">
        <v>40</v>
      </c>
      <c r="F12" t="s">
        <v>59</v>
      </c>
      <c r="G12">
        <f ca="1">COUNTIF(OFFSET('Data Element Matrix'!$B$4:$B$520, 0, ROW() - 2), "✓")</f>
        <v>69</v>
      </c>
      <c r="H12">
        <v>18</v>
      </c>
    </row>
    <row r="13" spans="1:8" x14ac:dyDescent="0.45">
      <c r="A13" t="s">
        <v>60</v>
      </c>
      <c r="B13" t="str" cm="1">
        <f t="array" aca="1" ref="B13" ca="1">_xlfn.TEXTAFTER(CELL("filename", 'UC12 1st Party Events Booth Sca'!$A$1), "]")</f>
        <v>UC12 1st Party Events Booth Sca</v>
      </c>
      <c r="C13" t="s">
        <v>39</v>
      </c>
      <c r="D13" t="s">
        <v>34</v>
      </c>
      <c r="E13" t="s">
        <v>40</v>
      </c>
      <c r="F13" t="s">
        <v>62</v>
      </c>
      <c r="G13">
        <f ca="1">COUNTIF(OFFSET('Data Element Matrix'!$B$4:$B$520, 0, ROW() - 2), "✓")</f>
        <v>69</v>
      </c>
      <c r="H13">
        <v>18</v>
      </c>
    </row>
    <row r="14" spans="1:8" x14ac:dyDescent="0.45">
      <c r="A14" t="s">
        <v>63</v>
      </c>
      <c r="B14" t="str" cm="1">
        <f t="array" aca="1" ref="B14" ca="1">_xlfn.TEXTAFTER(CELL("filename", 'UC13 1st Party Events Registere'!$A$1), "]")</f>
        <v>UC13 1st Party Events Registere</v>
      </c>
      <c r="C14" t="s">
        <v>39</v>
      </c>
      <c r="D14" t="s">
        <v>34</v>
      </c>
      <c r="E14" t="s">
        <v>40</v>
      </c>
      <c r="F14" t="s">
        <v>65</v>
      </c>
      <c r="G14">
        <f ca="1">COUNTIF(OFFSET('Data Element Matrix'!$B$4:$B$520, 0, ROW() - 2), "✓")</f>
        <v>69</v>
      </c>
      <c r="H14">
        <v>16</v>
      </c>
    </row>
    <row r="15" spans="1:8" x14ac:dyDescent="0.45">
      <c r="A15" t="s">
        <v>66</v>
      </c>
      <c r="B15" t="str" cm="1">
        <f t="array" aca="1" ref="B15" ca="1">_xlfn.TEXTAFTER(CELL("filename", 'UC14 3rd Party Events Attended '!$A$1), "]")</f>
        <v xml:space="preserve">UC14 3rd Party Events Attended </v>
      </c>
      <c r="C15" t="s">
        <v>39</v>
      </c>
      <c r="D15" t="s">
        <v>34</v>
      </c>
      <c r="E15" t="s">
        <v>44</v>
      </c>
      <c r="F15" t="s">
        <v>68</v>
      </c>
      <c r="G15">
        <f ca="1">COUNTIF(OFFSET('Data Element Matrix'!$B$4:$B$520, 0, ROW() - 2), "✓")</f>
        <v>69</v>
      </c>
      <c r="H15">
        <v>17</v>
      </c>
    </row>
    <row r="16" spans="1:8" x14ac:dyDescent="0.45">
      <c r="A16" t="s">
        <v>69</v>
      </c>
      <c r="B16" t="str" cm="1">
        <f t="array" aca="1" ref="B16" ca="1">_xlfn.TEXTAFTER(CELL("filename", 'UC15 3rd Party Events Attended '!$A$1), "]")</f>
        <v xml:space="preserve">UC15 3rd Party Events Attended </v>
      </c>
      <c r="C16" t="s">
        <v>39</v>
      </c>
      <c r="D16" t="s">
        <v>34</v>
      </c>
      <c r="E16" t="s">
        <v>44</v>
      </c>
      <c r="F16" t="s">
        <v>71</v>
      </c>
      <c r="G16">
        <f ca="1">COUNTIF(OFFSET('Data Element Matrix'!$B$4:$B$520, 0, ROW() - 2), "✓")</f>
        <v>70</v>
      </c>
      <c r="H16">
        <v>19</v>
      </c>
    </row>
    <row r="17" spans="1:8" x14ac:dyDescent="0.45">
      <c r="A17" t="s">
        <v>72</v>
      </c>
      <c r="B17" t="str" cm="1">
        <f t="array" aca="1" ref="B17" ca="1">_xlfn.TEXTAFTER(CELL("filename", 'UC16 3rd Party Events Attended '!$A$1), "]")</f>
        <v xml:space="preserve">UC16 3rd Party Events Attended </v>
      </c>
      <c r="C17" t="s">
        <v>39</v>
      </c>
      <c r="D17" t="s">
        <v>34</v>
      </c>
      <c r="E17" t="s">
        <v>44</v>
      </c>
      <c r="F17" t="s">
        <v>59</v>
      </c>
      <c r="G17">
        <f ca="1">COUNTIF(OFFSET('Data Element Matrix'!$B$4:$B$520, 0, ROW() - 2), "✓")</f>
        <v>70</v>
      </c>
      <c r="H17">
        <v>17</v>
      </c>
    </row>
    <row r="18" spans="1:8" x14ac:dyDescent="0.45">
      <c r="A18" t="s">
        <v>74</v>
      </c>
      <c r="B18" t="str" cm="1">
        <f t="array" aca="1" ref="B18" ca="1">_xlfn.TEXTAFTER(CELL("filename", 'UC17 3rd Party Events Booth Sca'!$A$1), "]")</f>
        <v>UC17 3rd Party Events Booth Sca</v>
      </c>
      <c r="C18" t="s">
        <v>39</v>
      </c>
      <c r="D18" t="s">
        <v>34</v>
      </c>
      <c r="E18" t="s">
        <v>44</v>
      </c>
      <c r="F18" t="s">
        <v>62</v>
      </c>
      <c r="G18">
        <f ca="1">COUNTIF(OFFSET('Data Element Matrix'!$B$4:$B$520, 0, ROW() - 2), "✓")</f>
        <v>70</v>
      </c>
      <c r="H18">
        <v>18</v>
      </c>
    </row>
    <row r="19" spans="1:8" x14ac:dyDescent="0.45">
      <c r="A19" t="s">
        <v>76</v>
      </c>
      <c r="B19" t="str" cm="1">
        <f t="array" aca="1" ref="B19" ca="1">_xlfn.TEXTAFTER(CELL("filename", 'UC18 3rd Party Events Contact R'!$A$1), "]")</f>
        <v>UC18 3rd Party Events Contact R</v>
      </c>
      <c r="C19" t="s">
        <v>39</v>
      </c>
      <c r="D19" t="s">
        <v>34</v>
      </c>
      <c r="E19" t="s">
        <v>44</v>
      </c>
      <c r="F19" t="s">
        <v>78</v>
      </c>
      <c r="G19">
        <f ca="1">COUNTIF(OFFSET('Data Element Matrix'!$B$4:$B$520, 0, ROW() - 2), "✓")</f>
        <v>70</v>
      </c>
      <c r="H19">
        <v>16</v>
      </c>
    </row>
    <row r="20" spans="1:8" x14ac:dyDescent="0.45">
      <c r="A20" t="s">
        <v>79</v>
      </c>
      <c r="B20" t="str" cm="1">
        <f t="array" aca="1" ref="B20" ca="1">_xlfn.TEXTAFTER(CELL("filename", 'UC19 Event Sponsorships Attende'!$A$1), "]")</f>
        <v>UC19 Event Sponsorships Attende</v>
      </c>
      <c r="C20" t="s">
        <v>39</v>
      </c>
      <c r="D20" t="s">
        <v>34</v>
      </c>
      <c r="E20" t="s">
        <v>81</v>
      </c>
      <c r="F20" t="s">
        <v>53</v>
      </c>
      <c r="G20">
        <f ca="1">COUNTIF(OFFSET('Data Element Matrix'!$B$4:$B$520, 0, ROW() - 2), "✓")</f>
        <v>70</v>
      </c>
      <c r="H20">
        <v>17</v>
      </c>
    </row>
    <row r="21" spans="1:8" x14ac:dyDescent="0.45">
      <c r="A21" t="s">
        <v>82</v>
      </c>
      <c r="B21" t="str" cm="1">
        <f t="array" aca="1" ref="B21" ca="1">_xlfn.TEXTAFTER(CELL("filename", 'UC20 Event Sponsorships Attende'!$A$1), "]")</f>
        <v>UC20 Event Sponsorships Attende</v>
      </c>
      <c r="C21" t="s">
        <v>39</v>
      </c>
      <c r="D21" t="s">
        <v>34</v>
      </c>
      <c r="E21" t="s">
        <v>81</v>
      </c>
      <c r="F21" t="s">
        <v>59</v>
      </c>
      <c r="G21">
        <f ca="1">COUNTIF(OFFSET('Data Element Matrix'!$B$4:$B$520, 0, ROW() - 2), "✓")</f>
        <v>70</v>
      </c>
      <c r="H21">
        <v>19</v>
      </c>
    </row>
    <row r="22" spans="1:8" x14ac:dyDescent="0.45">
      <c r="A22" t="s">
        <v>84</v>
      </c>
      <c r="B22" t="str" cm="1">
        <f t="array" aca="1" ref="B22" ca="1">_xlfn.TEXTAFTER(CELL("filename", 'UC21 Event Sponsorships Registe'!$A$1), "]")</f>
        <v>UC21 Event Sponsorships Registe</v>
      </c>
      <c r="C22" t="s">
        <v>39</v>
      </c>
      <c r="D22" t="s">
        <v>34</v>
      </c>
      <c r="E22" t="s">
        <v>81</v>
      </c>
      <c r="F22" t="s">
        <v>65</v>
      </c>
      <c r="G22">
        <f ca="1">COUNTIF(OFFSET('Data Element Matrix'!$B$4:$B$520, 0, ROW() - 2), "✓")</f>
        <v>70</v>
      </c>
      <c r="H22">
        <v>16</v>
      </c>
    </row>
    <row r="23" spans="1:8" x14ac:dyDescent="0.45">
      <c r="A23" t="s">
        <v>86</v>
      </c>
      <c r="B23" t="str" cm="1">
        <f t="array" aca="1" ref="B23" ca="1">_xlfn.TEXTAFTER(CELL("filename", 'UC22 Webinars Attended Live Vir'!$A$1), "]")</f>
        <v>UC22 Webinars Attended Live Vir</v>
      </c>
      <c r="C23" t="s">
        <v>39</v>
      </c>
      <c r="D23" t="s">
        <v>34</v>
      </c>
      <c r="E23" t="s">
        <v>50</v>
      </c>
      <c r="F23" t="s">
        <v>56</v>
      </c>
      <c r="G23">
        <f ca="1">COUNTIF(OFFSET('Data Element Matrix'!$B$4:$B$520, 0, ROW() - 2), "✓")</f>
        <v>70</v>
      </c>
      <c r="H23">
        <v>19</v>
      </c>
    </row>
    <row r="24" spans="1:8" x14ac:dyDescent="0.45">
      <c r="A24" t="s">
        <v>88</v>
      </c>
      <c r="B24" t="str" cm="1">
        <f t="array" aca="1" ref="B24" ca="1">_xlfn.TEXTAFTER(CELL("filename", 'UC23 Webinars Attended On-Deman'!$A$1), "]")</f>
        <v>UC23 Webinars Attended On-Deman</v>
      </c>
      <c r="C24" t="s">
        <v>39</v>
      </c>
      <c r="D24" t="s">
        <v>34</v>
      </c>
      <c r="E24" t="s">
        <v>50</v>
      </c>
      <c r="F24" t="s">
        <v>90</v>
      </c>
      <c r="G24">
        <f ca="1">COUNTIF(OFFSET('Data Element Matrix'!$B$4:$B$520, 0, ROW() - 2), "✓")</f>
        <v>72</v>
      </c>
      <c r="H24">
        <v>18</v>
      </c>
    </row>
    <row r="25" spans="1:8" x14ac:dyDescent="0.45">
      <c r="A25" t="s">
        <v>91</v>
      </c>
      <c r="B25" t="str" cm="1">
        <f t="array" aca="1" ref="B25" ca="1">_xlfn.TEXTAFTER(CELL("filename", 'UC24 Webinars Registered'!$A$1), "]")</f>
        <v>UC24 Webinars Registered</v>
      </c>
      <c r="C25" t="s">
        <v>39</v>
      </c>
      <c r="D25" t="s">
        <v>34</v>
      </c>
      <c r="E25" t="s">
        <v>50</v>
      </c>
      <c r="F25" t="s">
        <v>65</v>
      </c>
      <c r="G25">
        <f ca="1">COUNTIF(OFFSET('Data Element Matrix'!$B$4:$B$520, 0, ROW() - 2), "✓")</f>
        <v>72</v>
      </c>
      <c r="H25">
        <v>15</v>
      </c>
    </row>
    <row r="26" spans="1:8" x14ac:dyDescent="0.45">
      <c r="A26" t="s">
        <v>93</v>
      </c>
      <c r="B26" t="str" cm="1">
        <f t="array" aca="1" ref="B26" ca="1">_xlfn.TEXTAFTER(CELL("filename", 'UC25 Offers - Contact Us Form S'!$A$1), "]")</f>
        <v>UC25 Offers - Contact Us Form S</v>
      </c>
      <c r="C26" t="s">
        <v>95</v>
      </c>
      <c r="D26" t="s">
        <v>27</v>
      </c>
      <c r="E26" t="s">
        <v>96</v>
      </c>
      <c r="F26" t="s">
        <v>31</v>
      </c>
      <c r="G26">
        <f ca="1">COUNTIF(OFFSET('Data Element Matrix'!$B$4:$B$520, 0, ROW() - 2), "✓")</f>
        <v>72</v>
      </c>
      <c r="H26">
        <v>6</v>
      </c>
    </row>
    <row r="27" spans="1:8" x14ac:dyDescent="0.45">
      <c r="A27" t="s">
        <v>97</v>
      </c>
      <c r="B27" t="str" cm="1">
        <f t="array" aca="1" ref="B27" ca="1">_xlfn.TEXTAFTER(CELL("filename", 'UC26 Offers - Demo Form Submit'!$A$1), "]")</f>
        <v>UC26 Offers - Demo Form Submit</v>
      </c>
      <c r="C27" t="s">
        <v>95</v>
      </c>
      <c r="D27" t="s">
        <v>27</v>
      </c>
      <c r="E27" t="s">
        <v>99</v>
      </c>
      <c r="F27" t="s">
        <v>31</v>
      </c>
      <c r="G27">
        <f ca="1">COUNTIF(OFFSET('Data Element Matrix'!$B$4:$B$520, 0, ROW() - 2), "✓")</f>
        <v>71</v>
      </c>
      <c r="H27">
        <v>5</v>
      </c>
    </row>
    <row r="28" spans="1:8" x14ac:dyDescent="0.45">
      <c r="A28" t="s">
        <v>100</v>
      </c>
      <c r="B28" t="str" cm="1">
        <f t="array" aca="1" ref="B28" ca="1">_xlfn.TEXTAFTER(CELL("filename", 'UC27 Offers - Offer Form Submit'!$A$1), "]")</f>
        <v>UC27 Offers - Offer Form Submit</v>
      </c>
      <c r="C28" t="s">
        <v>95</v>
      </c>
      <c r="D28" t="s">
        <v>27</v>
      </c>
      <c r="E28" t="s">
        <v>101</v>
      </c>
      <c r="F28" t="s">
        <v>31</v>
      </c>
      <c r="G28">
        <f ca="1">COUNTIF(OFFSET('Data Element Matrix'!$B$4:$B$520, 0, ROW() - 2), "✓")</f>
        <v>69</v>
      </c>
      <c r="H28">
        <v>0</v>
      </c>
    </row>
    <row r="29" spans="1:8" x14ac:dyDescent="0.45">
      <c r="A29" t="s">
        <v>102</v>
      </c>
      <c r="B29" t="str" cm="1">
        <f t="array" aca="1" ref="B29" ca="1">_xlfn.TEXTAFTER(CELL("filename", 'UC28 Offers - Other Form Submit'!$A$1), "]")</f>
        <v>UC28 Offers - Other Form Submit</v>
      </c>
      <c r="C29" t="s">
        <v>95</v>
      </c>
      <c r="D29" t="s">
        <v>27</v>
      </c>
      <c r="E29" t="s">
        <v>104</v>
      </c>
      <c r="F29" t="s">
        <v>31</v>
      </c>
      <c r="G29">
        <f ca="1">COUNTIF(OFFSET('Data Element Matrix'!$B$4:$B$520, 0, ROW() - 2), "✓")</f>
        <v>3</v>
      </c>
      <c r="H29">
        <v>1</v>
      </c>
    </row>
    <row r="30" spans="1:8" x14ac:dyDescent="0.45">
      <c r="A30" t="s">
        <v>105</v>
      </c>
      <c r="B30" t="str" cm="1">
        <f t="array" aca="1" ref="B30" ca="1">_xlfn.TEXTAFTER(CELL("filename", 'UC29 Offers - Others Form Submi'!$A$1), "]")</f>
        <v>UC29 Offers - Others Form Submi</v>
      </c>
      <c r="C30" t="s">
        <v>95</v>
      </c>
      <c r="D30" t="s">
        <v>27</v>
      </c>
      <c r="E30" t="s">
        <v>107</v>
      </c>
      <c r="F30" t="s">
        <v>31</v>
      </c>
      <c r="G30">
        <f ca="1">COUNTIF(OFFSET('Data Element Matrix'!$B$4:$B$520, 0, ROW() - 2), "✓")</f>
        <v>10</v>
      </c>
      <c r="H30">
        <v>4</v>
      </c>
    </row>
    <row r="31" spans="1:8" x14ac:dyDescent="0.45">
      <c r="A31" t="s">
        <v>108</v>
      </c>
      <c r="B31" t="str" cm="1">
        <f t="array" aca="1" ref="B31" ca="1">_xlfn.TEXTAFTER(CELL("filename", 'UC30 Offers - Promotion Form Su'!$A$1), "]")</f>
        <v>UC30 Offers - Promotion Form Su</v>
      </c>
      <c r="C31" t="s">
        <v>95</v>
      </c>
      <c r="D31" t="s">
        <v>27</v>
      </c>
      <c r="E31" t="s">
        <v>110</v>
      </c>
      <c r="F31" t="s">
        <v>31</v>
      </c>
      <c r="G31">
        <f ca="1">COUNTIF(OFFSET('Data Element Matrix'!$B$4:$B$520, 0, ROW() - 2), "✓")</f>
        <v>63</v>
      </c>
      <c r="H31">
        <v>5</v>
      </c>
    </row>
    <row r="32" spans="1:8" x14ac:dyDescent="0.45">
      <c r="A32" t="s">
        <v>111</v>
      </c>
      <c r="B32" t="str" cm="1">
        <f t="array" aca="1" ref="B32" ca="1">_xlfn.TEXTAFTER(CELL("filename", 'UC31 Offers - Trial Form Submit'!$A$1), "]")</f>
        <v>UC31 Offers - Trial Form Submit</v>
      </c>
      <c r="C32" t="s">
        <v>95</v>
      </c>
      <c r="D32" t="s">
        <v>27</v>
      </c>
      <c r="E32" t="s">
        <v>113</v>
      </c>
      <c r="F32" t="s">
        <v>31</v>
      </c>
      <c r="G32">
        <f ca="1">COUNTIF(OFFSET('Data Element Matrix'!$B$4:$B$520, 0, ROW() - 2), "✓")</f>
        <v>69</v>
      </c>
      <c r="H32">
        <v>4</v>
      </c>
    </row>
    <row r="33" spans="1:8" x14ac:dyDescent="0.45">
      <c r="A33" t="s">
        <v>114</v>
      </c>
      <c r="B33" t="str" cm="1">
        <f t="array" aca="1" ref="B33" ca="1">_xlfn.TEXTAFTER(CELL("filename", 'UC32 Offers - Trials Form Submi'!$A$1), "]")</f>
        <v>UC32 Offers - Trials Form Submi</v>
      </c>
      <c r="C33" t="s">
        <v>95</v>
      </c>
      <c r="D33" t="s">
        <v>27</v>
      </c>
      <c r="E33" t="s">
        <v>116</v>
      </c>
      <c r="F33" t="s">
        <v>31</v>
      </c>
      <c r="G33">
        <f ca="1">COUNTIF(OFFSET('Data Element Matrix'!$B$4:$B$520, 0, ROW() - 2), "✓")</f>
        <v>63</v>
      </c>
      <c r="H33">
        <v>1</v>
      </c>
    </row>
  </sheetData>
  <autoFilter ref="A1:H33" xr:uid="{00000000-0009-0000-0000-000001000000}"/>
  <pageMargins left="0.75" right="0.75" top="1" bottom="1" header="0.5" footer="0.5"/>
  <headerFooter>
    <oddFooter>&amp;R_x000D_&amp;1#&amp;"Aptos"&amp;8&amp;K000000 Cisco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3"/>
  <sheetViews>
    <sheetView workbookViewId="0">
      <pane ySplit="6" topLeftCell="A7" activePane="bottomLeft" state="frozen"/>
      <selection pane="bottomLeft" activeCell="C19" sqref="C19"/>
    </sheetView>
  </sheetViews>
  <sheetFormatPr defaultRowHeight="14.25" x14ac:dyDescent="0.45"/>
  <cols>
    <col min="1" max="1" width="50" customWidth="1"/>
    <col min="2" max="2" width="21" customWidth="1"/>
    <col min="3" max="6" width="50" customWidth="1"/>
    <col min="7" max="7" width="15"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117</v>
      </c>
      <c r="B1" s="7"/>
      <c r="C1" s="7"/>
      <c r="D1" s="7"/>
      <c r="E1" s="7"/>
      <c r="F1" s="7"/>
      <c r="G1" s="7"/>
      <c r="H1" s="7"/>
      <c r="I1" s="7"/>
      <c r="J1" s="7"/>
      <c r="K1" s="7"/>
      <c r="L1" s="7"/>
      <c r="M1" s="7"/>
      <c r="N1" s="7"/>
    </row>
    <row r="2" spans="1:14" x14ac:dyDescent="0.45">
      <c r="A2" s="4" t="s">
        <v>18</v>
      </c>
      <c r="B2" s="7" t="s">
        <v>26</v>
      </c>
      <c r="C2" s="7"/>
      <c r="D2" s="7"/>
      <c r="E2" s="7"/>
      <c r="F2" s="7"/>
      <c r="G2" s="7"/>
      <c r="H2" s="7"/>
      <c r="I2" s="7"/>
      <c r="J2" s="7"/>
      <c r="K2" s="7"/>
      <c r="L2" s="7"/>
      <c r="M2" s="7"/>
      <c r="N2" s="7"/>
    </row>
    <row r="3" spans="1:14" x14ac:dyDescent="0.45">
      <c r="A3" s="4" t="s">
        <v>19</v>
      </c>
      <c r="B3" s="7" t="s">
        <v>27</v>
      </c>
      <c r="C3" s="7"/>
      <c r="D3" s="7"/>
      <c r="E3" s="7"/>
      <c r="F3" s="7"/>
      <c r="G3" s="7"/>
      <c r="H3" s="7"/>
      <c r="I3" s="7"/>
      <c r="J3" s="7"/>
      <c r="K3" s="7"/>
      <c r="L3" s="7"/>
      <c r="M3" s="7"/>
      <c r="N3" s="7"/>
    </row>
    <row r="4" spans="1:14" x14ac:dyDescent="0.45">
      <c r="A4" s="4" t="s">
        <v>20</v>
      </c>
      <c r="B4" s="7" t="s">
        <v>26</v>
      </c>
      <c r="C4" s="7"/>
      <c r="D4" s="7"/>
      <c r="E4" s="7"/>
      <c r="F4" s="7"/>
      <c r="G4" s="7"/>
      <c r="H4" s="7"/>
      <c r="I4" s="7"/>
      <c r="J4" s="7"/>
      <c r="K4" s="7"/>
      <c r="L4" s="7"/>
      <c r="M4" s="7"/>
      <c r="N4" s="7"/>
    </row>
    <row r="5" spans="1:14" x14ac:dyDescent="0.45">
      <c r="A5" s="4" t="s">
        <v>21</v>
      </c>
      <c r="B5" s="7" t="s">
        <v>28</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10" t="s">
        <v>132</v>
      </c>
      <c r="B7" s="7"/>
      <c r="C7" s="7"/>
      <c r="D7" s="7"/>
      <c r="E7" s="7"/>
      <c r="F7" s="7"/>
      <c r="G7" s="7"/>
      <c r="H7" s="7"/>
      <c r="I7" s="7"/>
      <c r="J7" s="7"/>
      <c r="K7" s="7"/>
      <c r="L7" s="7"/>
      <c r="M7" s="7"/>
      <c r="N7" s="7"/>
    </row>
    <row r="8" spans="1:14" x14ac:dyDescent="0.45">
      <c r="A8" t="s">
        <v>21</v>
      </c>
      <c r="B8" t="s">
        <v>133</v>
      </c>
      <c r="C8" t="s">
        <v>134</v>
      </c>
      <c r="D8" t="s">
        <v>135</v>
      </c>
      <c r="E8" t="s">
        <v>136</v>
      </c>
      <c r="F8" t="s">
        <v>137</v>
      </c>
      <c r="G8" t="s">
        <v>138</v>
      </c>
      <c r="I8" t="s">
        <v>139</v>
      </c>
      <c r="J8" t="s">
        <v>139</v>
      </c>
      <c r="K8" t="s">
        <v>139</v>
      </c>
      <c r="M8" t="s">
        <v>139</v>
      </c>
    </row>
    <row r="9" spans="1:14" x14ac:dyDescent="0.45">
      <c r="A9" s="5" t="s">
        <v>20</v>
      </c>
      <c r="B9" s="5" t="s">
        <v>140</v>
      </c>
      <c r="C9" s="5" t="s">
        <v>141</v>
      </c>
      <c r="D9" s="5" t="s">
        <v>142</v>
      </c>
      <c r="E9" s="5" t="s">
        <v>143</v>
      </c>
      <c r="F9" s="5" t="s">
        <v>144</v>
      </c>
      <c r="G9" s="5" t="s">
        <v>145</v>
      </c>
      <c r="H9" s="5"/>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L10" t="s">
        <v>139</v>
      </c>
      <c r="M10" t="s">
        <v>139</v>
      </c>
    </row>
    <row r="11" spans="1:14" x14ac:dyDescent="0.45">
      <c r="A11" s="5" t="s">
        <v>149</v>
      </c>
      <c r="B11" s="5" t="s">
        <v>133</v>
      </c>
      <c r="C11" s="5" t="s">
        <v>150</v>
      </c>
      <c r="D11" s="5" t="s">
        <v>151</v>
      </c>
      <c r="E11" s="5" t="s">
        <v>152</v>
      </c>
      <c r="F11" s="5" t="s">
        <v>153</v>
      </c>
      <c r="G11" s="5" t="s">
        <v>138</v>
      </c>
      <c r="H11" s="5"/>
      <c r="I11" s="5" t="s">
        <v>139</v>
      </c>
      <c r="J11" s="5" t="s">
        <v>139</v>
      </c>
      <c r="K11" s="5"/>
      <c r="L11" s="5"/>
      <c r="M11" s="5" t="s">
        <v>139</v>
      </c>
      <c r="N11" s="5"/>
    </row>
    <row r="12" spans="1:14" x14ac:dyDescent="0.45">
      <c r="A12" s="10" t="s">
        <v>154</v>
      </c>
      <c r="B12" s="7"/>
      <c r="C12" s="7"/>
      <c r="D12" s="7"/>
      <c r="E12" s="7"/>
      <c r="F12" s="7"/>
      <c r="G12" s="7"/>
      <c r="H12" s="7"/>
      <c r="I12" s="7"/>
      <c r="J12" s="7"/>
      <c r="K12" s="7"/>
      <c r="L12" s="7"/>
      <c r="M12" s="7"/>
      <c r="N12" s="7"/>
    </row>
    <row r="13" spans="1:14" x14ac:dyDescent="0.45">
      <c r="A13" t="s">
        <v>155</v>
      </c>
      <c r="B13" t="s">
        <v>140</v>
      </c>
      <c r="C13" t="s">
        <v>156</v>
      </c>
      <c r="D13" t="s">
        <v>157</v>
      </c>
      <c r="E13" t="s">
        <v>158</v>
      </c>
      <c r="F13" t="s">
        <v>159</v>
      </c>
      <c r="G13" t="s">
        <v>160</v>
      </c>
      <c r="J13" t="s">
        <v>139</v>
      </c>
      <c r="L13" t="s">
        <v>139</v>
      </c>
      <c r="M13" t="s">
        <v>139</v>
      </c>
    </row>
    <row r="14" spans="1:14" x14ac:dyDescent="0.45">
      <c r="A14" s="5" t="s">
        <v>161</v>
      </c>
      <c r="B14" s="5" t="s">
        <v>140</v>
      </c>
      <c r="C14" s="5" t="s">
        <v>156</v>
      </c>
      <c r="D14" s="5" t="s">
        <v>157</v>
      </c>
      <c r="E14" s="5" t="s">
        <v>162</v>
      </c>
      <c r="F14" s="5" t="s">
        <v>159</v>
      </c>
      <c r="G14" s="5" t="s">
        <v>160</v>
      </c>
      <c r="H14" s="5"/>
      <c r="I14" s="5"/>
      <c r="J14" s="5" t="s">
        <v>139</v>
      </c>
      <c r="K14" s="5"/>
      <c r="L14" s="5" t="s">
        <v>139</v>
      </c>
      <c r="M14" s="5" t="s">
        <v>139</v>
      </c>
      <c r="N14" s="5"/>
    </row>
    <row r="15" spans="1:14" x14ac:dyDescent="0.45">
      <c r="A15" t="s">
        <v>163</v>
      </c>
      <c r="B15" t="s">
        <v>140</v>
      </c>
      <c r="C15" t="s">
        <v>164</v>
      </c>
      <c r="D15" t="s">
        <v>157</v>
      </c>
      <c r="E15" t="s">
        <v>165</v>
      </c>
      <c r="F15" t="s">
        <v>159</v>
      </c>
      <c r="G15" t="s">
        <v>160</v>
      </c>
      <c r="M15" t="s">
        <v>139</v>
      </c>
    </row>
    <row r="16" spans="1:14" x14ac:dyDescent="0.45">
      <c r="A16" s="5" t="s">
        <v>166</v>
      </c>
      <c r="B16" s="5" t="s">
        <v>167</v>
      </c>
      <c r="C16" s="5" t="s">
        <v>168</v>
      </c>
      <c r="D16" s="5" t="s">
        <v>169</v>
      </c>
      <c r="E16" s="5" t="s">
        <v>170</v>
      </c>
      <c r="F16" s="5" t="s">
        <v>171</v>
      </c>
      <c r="G16" s="5" t="s">
        <v>138</v>
      </c>
      <c r="H16" s="5"/>
      <c r="I16" s="5"/>
      <c r="J16" s="5"/>
      <c r="K16" s="5"/>
      <c r="L16" s="5" t="s">
        <v>139</v>
      </c>
      <c r="M16" s="5" t="s">
        <v>139</v>
      </c>
      <c r="N16" s="5"/>
    </row>
    <row r="17" spans="1:14" x14ac:dyDescent="0.45">
      <c r="A17" t="s">
        <v>172</v>
      </c>
      <c r="B17" t="s">
        <v>133</v>
      </c>
      <c r="C17" t="s">
        <v>168</v>
      </c>
      <c r="D17" t="s">
        <v>169</v>
      </c>
      <c r="E17" t="s">
        <v>170</v>
      </c>
      <c r="F17" t="s">
        <v>173</v>
      </c>
      <c r="G17" t="s">
        <v>138</v>
      </c>
      <c r="L17" t="s">
        <v>139</v>
      </c>
      <c r="M17" t="s">
        <v>139</v>
      </c>
    </row>
    <row r="18" spans="1:14" x14ac:dyDescent="0.45">
      <c r="A18" s="5" t="s">
        <v>174</v>
      </c>
      <c r="B18" s="5" t="s">
        <v>167</v>
      </c>
      <c r="C18" s="5" t="s">
        <v>175</v>
      </c>
      <c r="D18" s="5" t="s">
        <v>169</v>
      </c>
      <c r="E18" s="5" t="s">
        <v>176</v>
      </c>
      <c r="F18" s="5" t="s">
        <v>177</v>
      </c>
      <c r="G18" s="5" t="s">
        <v>138</v>
      </c>
      <c r="H18" s="5"/>
      <c r="I18" s="5"/>
      <c r="J18" s="5"/>
      <c r="K18" s="5"/>
      <c r="L18" s="5" t="s">
        <v>139</v>
      </c>
      <c r="M18" s="5" t="s">
        <v>139</v>
      </c>
      <c r="N18" s="5"/>
    </row>
    <row r="19" spans="1:14" x14ac:dyDescent="0.45">
      <c r="A19" t="s">
        <v>178</v>
      </c>
      <c r="B19" t="s">
        <v>140</v>
      </c>
      <c r="C19" t="s">
        <v>179</v>
      </c>
      <c r="D19" t="s">
        <v>157</v>
      </c>
      <c r="E19" t="s">
        <v>180</v>
      </c>
      <c r="F19" t="s">
        <v>159</v>
      </c>
      <c r="G19" t="s">
        <v>160</v>
      </c>
      <c r="K19" t="s">
        <v>139</v>
      </c>
      <c r="L19" t="s">
        <v>139</v>
      </c>
      <c r="M19" t="s">
        <v>139</v>
      </c>
    </row>
    <row r="20" spans="1:14" x14ac:dyDescent="0.45">
      <c r="A20" s="5" t="s">
        <v>181</v>
      </c>
      <c r="B20" s="5" t="s">
        <v>140</v>
      </c>
      <c r="C20" s="5" t="s">
        <v>179</v>
      </c>
      <c r="D20" s="5" t="s">
        <v>157</v>
      </c>
      <c r="E20" s="5" t="s">
        <v>180</v>
      </c>
      <c r="F20" s="5" t="s">
        <v>159</v>
      </c>
      <c r="G20" s="5" t="s">
        <v>160</v>
      </c>
      <c r="H20" s="5"/>
      <c r="I20" s="5"/>
      <c r="J20" s="5"/>
      <c r="K20" s="5" t="s">
        <v>139</v>
      </c>
      <c r="L20" s="5" t="s">
        <v>139</v>
      </c>
      <c r="M20" s="5" t="s">
        <v>139</v>
      </c>
      <c r="N20" s="5"/>
    </row>
    <row r="21" spans="1:14" x14ac:dyDescent="0.45">
      <c r="A21" t="s">
        <v>182</v>
      </c>
      <c r="B21" t="s">
        <v>133</v>
      </c>
      <c r="C21" t="s">
        <v>183</v>
      </c>
      <c r="D21" t="s">
        <v>169</v>
      </c>
      <c r="E21" t="s">
        <v>184</v>
      </c>
      <c r="F21" t="s">
        <v>185</v>
      </c>
      <c r="G21" t="s">
        <v>182</v>
      </c>
      <c r="H21" t="s">
        <v>186</v>
      </c>
      <c r="J21" t="s">
        <v>139</v>
      </c>
      <c r="L21" t="s">
        <v>139</v>
      </c>
      <c r="M21" t="s">
        <v>139</v>
      </c>
    </row>
    <row r="22" spans="1:14" x14ac:dyDescent="0.45">
      <c r="A22" s="5" t="s">
        <v>187</v>
      </c>
      <c r="B22" s="5" t="s">
        <v>140</v>
      </c>
      <c r="C22" s="5" t="s">
        <v>188</v>
      </c>
      <c r="D22" s="5" t="s">
        <v>157</v>
      </c>
      <c r="E22" s="5" t="s">
        <v>189</v>
      </c>
      <c r="F22" s="5" t="s">
        <v>159</v>
      </c>
      <c r="G22" s="5" t="s">
        <v>160</v>
      </c>
      <c r="H22" s="5"/>
      <c r="I22" s="5"/>
      <c r="J22" s="5"/>
      <c r="K22" s="5"/>
      <c r="L22" s="5" t="s">
        <v>139</v>
      </c>
      <c r="M22" s="5" t="s">
        <v>139</v>
      </c>
      <c r="N22" s="5"/>
    </row>
    <row r="23" spans="1:14" x14ac:dyDescent="0.45">
      <c r="A23" t="s">
        <v>190</v>
      </c>
      <c r="B23" t="s">
        <v>140</v>
      </c>
      <c r="C23" t="s">
        <v>191</v>
      </c>
      <c r="D23" t="s">
        <v>157</v>
      </c>
      <c r="E23" t="s">
        <v>192</v>
      </c>
      <c r="F23" t="s">
        <v>159</v>
      </c>
      <c r="G23" t="s">
        <v>160</v>
      </c>
      <c r="L23" t="s">
        <v>139</v>
      </c>
      <c r="M23" t="s">
        <v>139</v>
      </c>
    </row>
    <row r="24" spans="1:14" x14ac:dyDescent="0.45">
      <c r="A24" s="5" t="s">
        <v>193</v>
      </c>
      <c r="B24" s="5" t="s">
        <v>140</v>
      </c>
      <c r="C24" s="5" t="s">
        <v>194</v>
      </c>
      <c r="D24" s="5" t="s">
        <v>157</v>
      </c>
      <c r="E24" s="5" t="s">
        <v>195</v>
      </c>
      <c r="F24" s="5" t="s">
        <v>159</v>
      </c>
      <c r="G24" s="5" t="s">
        <v>160</v>
      </c>
      <c r="H24" s="5"/>
      <c r="I24" s="5"/>
      <c r="J24" s="5"/>
      <c r="K24" s="5"/>
      <c r="L24" s="5" t="s">
        <v>139</v>
      </c>
      <c r="M24" s="5" t="s">
        <v>139</v>
      </c>
      <c r="N24" s="5"/>
    </row>
    <row r="25" spans="1:14" x14ac:dyDescent="0.45">
      <c r="A25" t="s">
        <v>196</v>
      </c>
      <c r="B25" t="s">
        <v>140</v>
      </c>
      <c r="C25" t="s">
        <v>197</v>
      </c>
      <c r="D25" t="s">
        <v>157</v>
      </c>
      <c r="E25" t="s">
        <v>198</v>
      </c>
      <c r="F25" t="s">
        <v>159</v>
      </c>
      <c r="G25" t="s">
        <v>160</v>
      </c>
      <c r="L25" t="s">
        <v>139</v>
      </c>
      <c r="M25" t="s">
        <v>139</v>
      </c>
    </row>
    <row r="26" spans="1:14" x14ac:dyDescent="0.45">
      <c r="A26" s="5" t="s">
        <v>199</v>
      </c>
      <c r="B26" s="5" t="s">
        <v>140</v>
      </c>
      <c r="C26" s="5" t="s">
        <v>200</v>
      </c>
      <c r="D26" s="5" t="s">
        <v>157</v>
      </c>
      <c r="E26" s="5" t="s">
        <v>201</v>
      </c>
      <c r="F26" s="5" t="s">
        <v>159</v>
      </c>
      <c r="G26" s="5" t="s">
        <v>160</v>
      </c>
      <c r="H26" s="5"/>
      <c r="I26" s="5"/>
      <c r="J26" s="5"/>
      <c r="K26" s="5"/>
      <c r="L26" s="5" t="s">
        <v>139</v>
      </c>
      <c r="M26" s="5" t="s">
        <v>139</v>
      </c>
      <c r="N26" s="5"/>
    </row>
    <row r="27" spans="1:14" x14ac:dyDescent="0.45">
      <c r="A27" t="s">
        <v>202</v>
      </c>
      <c r="B27" t="s">
        <v>140</v>
      </c>
      <c r="C27" t="s">
        <v>203</v>
      </c>
      <c r="D27" t="s">
        <v>157</v>
      </c>
      <c r="E27" t="s">
        <v>204</v>
      </c>
      <c r="F27" t="s">
        <v>159</v>
      </c>
      <c r="G27" t="s">
        <v>160</v>
      </c>
      <c r="L27" t="s">
        <v>139</v>
      </c>
      <c r="M27" t="s">
        <v>139</v>
      </c>
    </row>
    <row r="28" spans="1:14" x14ac:dyDescent="0.45">
      <c r="A28" s="5" t="s">
        <v>205</v>
      </c>
      <c r="B28" s="5" t="s">
        <v>140</v>
      </c>
      <c r="C28" s="5" t="s">
        <v>206</v>
      </c>
      <c r="D28" s="5" t="s">
        <v>157</v>
      </c>
      <c r="E28" s="5" t="s">
        <v>204</v>
      </c>
      <c r="F28" s="5" t="s">
        <v>159</v>
      </c>
      <c r="G28" s="5" t="s">
        <v>160</v>
      </c>
      <c r="H28" s="5"/>
      <c r="I28" s="5"/>
      <c r="J28" s="5" t="s">
        <v>139</v>
      </c>
      <c r="K28" s="5" t="s">
        <v>139</v>
      </c>
      <c r="L28" s="5"/>
      <c r="M28" s="5" t="s">
        <v>139</v>
      </c>
      <c r="N28" s="5"/>
    </row>
    <row r="29" spans="1:14" x14ac:dyDescent="0.45">
      <c r="A29" t="s">
        <v>207</v>
      </c>
      <c r="B29" t="s">
        <v>133</v>
      </c>
      <c r="C29" t="s">
        <v>208</v>
      </c>
      <c r="D29" t="s">
        <v>169</v>
      </c>
      <c r="E29" t="s">
        <v>209</v>
      </c>
      <c r="F29" t="s">
        <v>210</v>
      </c>
      <c r="G29" t="s">
        <v>138</v>
      </c>
      <c r="H29" t="s">
        <v>211</v>
      </c>
      <c r="J29" t="s">
        <v>139</v>
      </c>
      <c r="L29" t="s">
        <v>139</v>
      </c>
      <c r="M29" t="s">
        <v>139</v>
      </c>
    </row>
    <row r="30" spans="1:14" x14ac:dyDescent="0.45">
      <c r="A30" s="5" t="s">
        <v>212</v>
      </c>
      <c r="B30" s="5" t="s">
        <v>140</v>
      </c>
      <c r="C30" s="5" t="s">
        <v>213</v>
      </c>
      <c r="D30" s="5" t="s">
        <v>214</v>
      </c>
      <c r="E30" s="5" t="s">
        <v>215</v>
      </c>
      <c r="F30" s="5" t="s">
        <v>159</v>
      </c>
      <c r="G30" s="5" t="s">
        <v>138</v>
      </c>
      <c r="H30" s="5"/>
      <c r="I30" s="5"/>
      <c r="J30" s="5" t="s">
        <v>139</v>
      </c>
      <c r="K30" s="5"/>
      <c r="L30" s="5" t="s">
        <v>139</v>
      </c>
      <c r="M30" s="5" t="s">
        <v>139</v>
      </c>
      <c r="N30" s="5"/>
    </row>
    <row r="31" spans="1:14" x14ac:dyDescent="0.45">
      <c r="A31" s="10" t="s">
        <v>216</v>
      </c>
      <c r="B31" s="7"/>
      <c r="C31" s="7"/>
      <c r="D31" s="7"/>
      <c r="E31" s="7"/>
      <c r="F31" s="7"/>
      <c r="G31" s="7"/>
      <c r="H31" s="7"/>
      <c r="I31" s="7"/>
      <c r="J31" s="7"/>
      <c r="K31" s="7"/>
      <c r="L31" s="7"/>
      <c r="M31" s="7"/>
      <c r="N31" s="7"/>
    </row>
    <row r="32" spans="1:14" x14ac:dyDescent="0.45">
      <c r="A32" t="s">
        <v>217</v>
      </c>
      <c r="B32" t="s">
        <v>140</v>
      </c>
      <c r="C32" t="s">
        <v>218</v>
      </c>
      <c r="D32" t="s">
        <v>157</v>
      </c>
      <c r="E32" t="s">
        <v>219</v>
      </c>
      <c r="F32" t="s">
        <v>159</v>
      </c>
      <c r="G32" t="s">
        <v>160</v>
      </c>
      <c r="I32" t="s">
        <v>139</v>
      </c>
      <c r="J32" t="s">
        <v>139</v>
      </c>
      <c r="M32" t="s">
        <v>139</v>
      </c>
    </row>
    <row r="33" spans="1:14" x14ac:dyDescent="0.45">
      <c r="A33" s="5" t="s">
        <v>220</v>
      </c>
      <c r="B33" s="5" t="s">
        <v>140</v>
      </c>
      <c r="C33" s="5" t="s">
        <v>221</v>
      </c>
      <c r="D33" s="5" t="s">
        <v>157</v>
      </c>
      <c r="E33" s="5" t="s">
        <v>222</v>
      </c>
      <c r="F33" s="5" t="s">
        <v>159</v>
      </c>
      <c r="G33" s="5" t="s">
        <v>160</v>
      </c>
      <c r="H33" s="5"/>
      <c r="I33" s="5" t="s">
        <v>139</v>
      </c>
      <c r="J33" s="5" t="s">
        <v>139</v>
      </c>
      <c r="K33" s="5"/>
      <c r="L33" s="5" t="s">
        <v>139</v>
      </c>
      <c r="M33" s="5" t="s">
        <v>139</v>
      </c>
      <c r="N33" s="5"/>
    </row>
    <row r="34" spans="1:14" x14ac:dyDescent="0.45">
      <c r="A34" t="s">
        <v>223</v>
      </c>
      <c r="B34" t="s">
        <v>224</v>
      </c>
      <c r="C34" t="s">
        <v>225</v>
      </c>
      <c r="D34" t="s">
        <v>226</v>
      </c>
      <c r="E34" t="s">
        <v>227</v>
      </c>
      <c r="F34" t="s">
        <v>228</v>
      </c>
      <c r="G34" t="s">
        <v>138</v>
      </c>
      <c r="L34" t="s">
        <v>139</v>
      </c>
      <c r="M34" t="s">
        <v>139</v>
      </c>
    </row>
    <row r="35" spans="1:14" x14ac:dyDescent="0.45">
      <c r="A35" s="5" t="s">
        <v>229</v>
      </c>
      <c r="B35" s="5" t="s">
        <v>167</v>
      </c>
      <c r="C35" s="5" t="s">
        <v>225</v>
      </c>
      <c r="D35" s="5" t="s">
        <v>226</v>
      </c>
      <c r="E35" s="5" t="s">
        <v>227</v>
      </c>
      <c r="F35" s="5" t="s">
        <v>230</v>
      </c>
      <c r="G35" s="5" t="s">
        <v>138</v>
      </c>
      <c r="H35" s="5"/>
      <c r="I35" s="5"/>
      <c r="J35" s="5"/>
      <c r="K35" s="5"/>
      <c r="L35" s="5" t="s">
        <v>139</v>
      </c>
      <c r="M35" s="5" t="s">
        <v>139</v>
      </c>
      <c r="N35" s="5"/>
    </row>
    <row r="36" spans="1:14" x14ac:dyDescent="0.45">
      <c r="A36" t="s">
        <v>231</v>
      </c>
      <c r="B36" t="s">
        <v>167</v>
      </c>
      <c r="C36" t="s">
        <v>225</v>
      </c>
      <c r="D36" t="s">
        <v>226</v>
      </c>
      <c r="E36" t="s">
        <v>227</v>
      </c>
      <c r="F36" t="s">
        <v>232</v>
      </c>
      <c r="G36" t="s">
        <v>138</v>
      </c>
      <c r="L36" t="s">
        <v>139</v>
      </c>
      <c r="M36" t="s">
        <v>139</v>
      </c>
    </row>
    <row r="37" spans="1:14" x14ac:dyDescent="0.45">
      <c r="A37" s="5" t="s">
        <v>233</v>
      </c>
      <c r="B37" s="5" t="s">
        <v>224</v>
      </c>
      <c r="C37" s="5" t="s">
        <v>225</v>
      </c>
      <c r="D37" s="5" t="s">
        <v>226</v>
      </c>
      <c r="E37" s="5" t="s">
        <v>227</v>
      </c>
      <c r="F37" s="5" t="s">
        <v>234</v>
      </c>
      <c r="G37" s="5" t="s">
        <v>138</v>
      </c>
      <c r="H37" s="5"/>
      <c r="I37" s="5"/>
      <c r="J37" s="5"/>
      <c r="K37" s="5"/>
      <c r="L37" s="5" t="s">
        <v>139</v>
      </c>
      <c r="M37" s="5" t="s">
        <v>139</v>
      </c>
      <c r="N37" s="5"/>
    </row>
    <row r="38" spans="1:14" x14ac:dyDescent="0.45">
      <c r="A38" t="s">
        <v>235</v>
      </c>
      <c r="B38" t="s">
        <v>133</v>
      </c>
      <c r="C38" t="s">
        <v>236</v>
      </c>
      <c r="D38" t="s">
        <v>237</v>
      </c>
      <c r="E38" t="s">
        <v>238</v>
      </c>
      <c r="F38" t="s">
        <v>239</v>
      </c>
      <c r="G38" t="s">
        <v>145</v>
      </c>
      <c r="I38" t="s">
        <v>139</v>
      </c>
      <c r="J38" t="s">
        <v>139</v>
      </c>
      <c r="K38" t="s">
        <v>139</v>
      </c>
      <c r="L38" t="s">
        <v>139</v>
      </c>
      <c r="M38" t="s">
        <v>139</v>
      </c>
    </row>
    <row r="39" spans="1:14" x14ac:dyDescent="0.45">
      <c r="A39" s="5" t="s">
        <v>240</v>
      </c>
      <c r="B39" s="5" t="s">
        <v>140</v>
      </c>
      <c r="C39" s="5" t="s">
        <v>241</v>
      </c>
      <c r="D39" s="5" t="s">
        <v>157</v>
      </c>
      <c r="E39" s="5" t="s">
        <v>242</v>
      </c>
      <c r="F39" s="5" t="s">
        <v>159</v>
      </c>
      <c r="G39" s="5" t="s">
        <v>160</v>
      </c>
      <c r="H39" s="5"/>
      <c r="I39" s="5"/>
      <c r="J39" s="5" t="s">
        <v>139</v>
      </c>
      <c r="K39" s="5" t="s">
        <v>139</v>
      </c>
      <c r="L39" s="5" t="s">
        <v>139</v>
      </c>
      <c r="M39" s="5" t="s">
        <v>139</v>
      </c>
      <c r="N39" s="5"/>
    </row>
    <row r="40" spans="1:14" x14ac:dyDescent="0.45">
      <c r="A40" t="s">
        <v>243</v>
      </c>
      <c r="B40" t="s">
        <v>140</v>
      </c>
      <c r="C40" t="s">
        <v>244</v>
      </c>
      <c r="D40" t="s">
        <v>157</v>
      </c>
      <c r="E40" t="s">
        <v>242</v>
      </c>
      <c r="F40" t="s">
        <v>159</v>
      </c>
      <c r="G40" t="s">
        <v>160</v>
      </c>
      <c r="J40" t="s">
        <v>139</v>
      </c>
      <c r="L40" t="s">
        <v>139</v>
      </c>
      <c r="M40" t="s">
        <v>139</v>
      </c>
    </row>
    <row r="41" spans="1:14" x14ac:dyDescent="0.45">
      <c r="A41" s="5" t="s">
        <v>245</v>
      </c>
      <c r="B41" s="5" t="s">
        <v>140</v>
      </c>
      <c r="C41" s="5" t="s">
        <v>246</v>
      </c>
      <c r="D41" s="5" t="s">
        <v>157</v>
      </c>
      <c r="E41" s="5" t="s">
        <v>247</v>
      </c>
      <c r="F41" s="5" t="s">
        <v>159</v>
      </c>
      <c r="G41" s="5" t="s">
        <v>160</v>
      </c>
      <c r="H41" s="5"/>
      <c r="I41" s="5"/>
      <c r="J41" s="5"/>
      <c r="K41" s="5"/>
      <c r="L41" s="5" t="s">
        <v>139</v>
      </c>
      <c r="M41" s="5" t="s">
        <v>139</v>
      </c>
      <c r="N41" s="5"/>
    </row>
    <row r="42" spans="1:14" x14ac:dyDescent="0.45">
      <c r="A42" t="s">
        <v>248</v>
      </c>
      <c r="B42" t="s">
        <v>140</v>
      </c>
      <c r="C42" t="s">
        <v>249</v>
      </c>
      <c r="D42" t="s">
        <v>157</v>
      </c>
      <c r="E42" t="s">
        <v>247</v>
      </c>
      <c r="F42" t="s">
        <v>159</v>
      </c>
      <c r="G42" t="s">
        <v>160</v>
      </c>
      <c r="J42" t="s">
        <v>139</v>
      </c>
      <c r="K42" t="s">
        <v>139</v>
      </c>
      <c r="L42" t="s">
        <v>139</v>
      </c>
      <c r="M42" t="s">
        <v>139</v>
      </c>
    </row>
    <row r="43" spans="1:14" x14ac:dyDescent="0.45">
      <c r="A43" s="5" t="s">
        <v>250</v>
      </c>
      <c r="B43" s="5" t="s">
        <v>140</v>
      </c>
      <c r="C43" s="5" t="s">
        <v>251</v>
      </c>
      <c r="D43" s="5" t="s">
        <v>157</v>
      </c>
      <c r="E43" s="5" t="s">
        <v>252</v>
      </c>
      <c r="F43" s="5" t="s">
        <v>159</v>
      </c>
      <c r="G43" s="5" t="s">
        <v>160</v>
      </c>
      <c r="H43" s="5"/>
      <c r="I43" s="5"/>
      <c r="J43" s="5" t="s">
        <v>139</v>
      </c>
      <c r="K43" s="5"/>
      <c r="L43" s="5" t="s">
        <v>139</v>
      </c>
      <c r="M43" s="5" t="s">
        <v>139</v>
      </c>
      <c r="N43" s="5"/>
    </row>
    <row r="44" spans="1:14" x14ac:dyDescent="0.45">
      <c r="A44" t="s">
        <v>253</v>
      </c>
      <c r="B44" t="s">
        <v>140</v>
      </c>
      <c r="C44" t="s">
        <v>251</v>
      </c>
      <c r="D44" t="s">
        <v>157</v>
      </c>
      <c r="E44" t="s">
        <v>252</v>
      </c>
      <c r="F44" t="s">
        <v>159</v>
      </c>
      <c r="G44" t="s">
        <v>160</v>
      </c>
      <c r="J44" t="s">
        <v>139</v>
      </c>
      <c r="L44" t="s">
        <v>139</v>
      </c>
      <c r="M44" t="s">
        <v>139</v>
      </c>
    </row>
    <row r="45" spans="1:14" x14ac:dyDescent="0.45">
      <c r="A45" s="5" t="s">
        <v>254</v>
      </c>
      <c r="B45" s="5" t="s">
        <v>140</v>
      </c>
      <c r="C45" s="5" t="s">
        <v>255</v>
      </c>
      <c r="D45" s="5" t="s">
        <v>157</v>
      </c>
      <c r="E45" s="5" t="s">
        <v>256</v>
      </c>
      <c r="F45" s="5" t="s">
        <v>159</v>
      </c>
      <c r="G45" s="5" t="s">
        <v>160</v>
      </c>
      <c r="H45" s="5"/>
      <c r="I45" s="5" t="s">
        <v>139</v>
      </c>
      <c r="J45" s="5"/>
      <c r="K45" s="5"/>
      <c r="L45" s="5" t="s">
        <v>139</v>
      </c>
      <c r="M45" s="5" t="s">
        <v>139</v>
      </c>
      <c r="N45" s="5"/>
    </row>
    <row r="46" spans="1:14" x14ac:dyDescent="0.45">
      <c r="A46" t="s">
        <v>257</v>
      </c>
      <c r="B46" t="s">
        <v>140</v>
      </c>
      <c r="C46" t="s">
        <v>258</v>
      </c>
      <c r="D46" t="s">
        <v>157</v>
      </c>
      <c r="E46" t="s">
        <v>242</v>
      </c>
      <c r="F46" t="s">
        <v>159</v>
      </c>
      <c r="G46" t="s">
        <v>160</v>
      </c>
      <c r="I46" t="s">
        <v>139</v>
      </c>
      <c r="J46" t="s">
        <v>139</v>
      </c>
      <c r="L46" t="s">
        <v>139</v>
      </c>
      <c r="M46" t="s">
        <v>139</v>
      </c>
    </row>
    <row r="47" spans="1:14" x14ac:dyDescent="0.45">
      <c r="A47" s="5" t="s">
        <v>259</v>
      </c>
      <c r="B47" s="5" t="s">
        <v>140</v>
      </c>
      <c r="C47" s="5" t="s">
        <v>260</v>
      </c>
      <c r="D47" s="5" t="s">
        <v>157</v>
      </c>
      <c r="E47" s="5" t="s">
        <v>242</v>
      </c>
      <c r="F47" s="5" t="s">
        <v>159</v>
      </c>
      <c r="G47" s="5" t="s">
        <v>160</v>
      </c>
      <c r="H47" s="5"/>
      <c r="I47" s="5"/>
      <c r="J47" s="5"/>
      <c r="K47" s="5"/>
      <c r="L47" s="5" t="s">
        <v>139</v>
      </c>
      <c r="M47" s="5" t="s">
        <v>139</v>
      </c>
      <c r="N47" s="5"/>
    </row>
    <row r="48" spans="1:14" x14ac:dyDescent="0.45">
      <c r="A48" t="s">
        <v>261</v>
      </c>
      <c r="B48" t="s">
        <v>224</v>
      </c>
      <c r="C48" t="s">
        <v>262</v>
      </c>
      <c r="D48" t="s">
        <v>237</v>
      </c>
      <c r="E48" t="s">
        <v>263</v>
      </c>
      <c r="F48" t="s">
        <v>264</v>
      </c>
      <c r="G48" t="s">
        <v>138</v>
      </c>
      <c r="H48" t="s">
        <v>265</v>
      </c>
      <c r="L48" t="s">
        <v>139</v>
      </c>
      <c r="M48" t="s">
        <v>139</v>
      </c>
    </row>
    <row r="49" spans="1:14" x14ac:dyDescent="0.45">
      <c r="A49" s="5" t="s">
        <v>266</v>
      </c>
      <c r="B49" s="5" t="s">
        <v>167</v>
      </c>
      <c r="C49" s="5" t="s">
        <v>267</v>
      </c>
      <c r="D49" s="5" t="s">
        <v>226</v>
      </c>
      <c r="E49" s="5" t="s">
        <v>268</v>
      </c>
      <c r="F49" s="5" t="s">
        <v>269</v>
      </c>
      <c r="G49" s="5" t="s">
        <v>138</v>
      </c>
      <c r="H49" s="5" t="s">
        <v>270</v>
      </c>
      <c r="I49" s="5"/>
      <c r="J49" s="5"/>
      <c r="K49" s="5"/>
      <c r="L49" s="5" t="s">
        <v>139</v>
      </c>
      <c r="M49" s="5" t="s">
        <v>139</v>
      </c>
      <c r="N49" s="5"/>
    </row>
    <row r="50" spans="1:14" x14ac:dyDescent="0.45">
      <c r="A50" s="10" t="s">
        <v>271</v>
      </c>
      <c r="B50" s="7"/>
      <c r="C50" s="7"/>
      <c r="D50" s="7"/>
      <c r="E50" s="7"/>
      <c r="F50" s="7"/>
      <c r="G50" s="7"/>
      <c r="H50" s="7"/>
      <c r="I50" s="7"/>
      <c r="J50" s="7"/>
      <c r="K50" s="7"/>
      <c r="L50" s="7"/>
      <c r="M50" s="7"/>
      <c r="N50" s="7"/>
    </row>
    <row r="51" spans="1:14" x14ac:dyDescent="0.45">
      <c r="A51" t="s">
        <v>272</v>
      </c>
      <c r="B51" t="s">
        <v>224</v>
      </c>
      <c r="C51" t="s">
        <v>273</v>
      </c>
      <c r="D51" t="s">
        <v>274</v>
      </c>
      <c r="E51" t="s">
        <v>275</v>
      </c>
      <c r="F51" t="s">
        <v>276</v>
      </c>
      <c r="G51" t="s">
        <v>145</v>
      </c>
      <c r="L51" t="s">
        <v>139</v>
      </c>
      <c r="M51" t="s">
        <v>139</v>
      </c>
    </row>
    <row r="52" spans="1:14" x14ac:dyDescent="0.45">
      <c r="A52" s="5" t="s">
        <v>277</v>
      </c>
      <c r="B52" s="5" t="s">
        <v>224</v>
      </c>
      <c r="C52" s="5" t="s">
        <v>273</v>
      </c>
      <c r="D52" s="5" t="s">
        <v>274</v>
      </c>
      <c r="E52" s="5" t="s">
        <v>275</v>
      </c>
      <c r="F52" s="5" t="s">
        <v>278</v>
      </c>
      <c r="G52" s="5" t="s">
        <v>145</v>
      </c>
      <c r="H52" s="5"/>
      <c r="I52" s="5"/>
      <c r="J52" s="5"/>
      <c r="K52" s="5"/>
      <c r="L52" s="5" t="s">
        <v>139</v>
      </c>
      <c r="M52" s="5" t="s">
        <v>139</v>
      </c>
      <c r="N52" s="5"/>
    </row>
    <row r="53" spans="1:14" x14ac:dyDescent="0.45">
      <c r="A53" t="s">
        <v>279</v>
      </c>
      <c r="B53" t="s">
        <v>280</v>
      </c>
      <c r="C53" t="s">
        <v>273</v>
      </c>
      <c r="D53" t="s">
        <v>169</v>
      </c>
      <c r="E53" t="s">
        <v>281</v>
      </c>
      <c r="F53" t="s">
        <v>282</v>
      </c>
      <c r="G53" t="s">
        <v>145</v>
      </c>
      <c r="L53" t="s">
        <v>139</v>
      </c>
      <c r="M53" t="s">
        <v>139</v>
      </c>
    </row>
    <row r="54" spans="1:14" x14ac:dyDescent="0.45">
      <c r="A54" s="5" t="s">
        <v>283</v>
      </c>
      <c r="B54" s="5" t="s">
        <v>280</v>
      </c>
      <c r="C54" s="5" t="s">
        <v>273</v>
      </c>
      <c r="D54" s="5" t="s">
        <v>169</v>
      </c>
      <c r="E54" s="5" t="s">
        <v>284</v>
      </c>
      <c r="F54" s="5" t="s">
        <v>285</v>
      </c>
      <c r="G54" s="5" t="s">
        <v>145</v>
      </c>
      <c r="H54" s="5"/>
      <c r="I54" s="5"/>
      <c r="J54" s="5"/>
      <c r="K54" s="5"/>
      <c r="L54" s="5" t="s">
        <v>139</v>
      </c>
      <c r="M54" s="5" t="s">
        <v>139</v>
      </c>
      <c r="N54" s="5"/>
    </row>
    <row r="55" spans="1:14" x14ac:dyDescent="0.45">
      <c r="A55" t="s">
        <v>286</v>
      </c>
      <c r="B55" t="s">
        <v>280</v>
      </c>
      <c r="C55" t="s">
        <v>273</v>
      </c>
      <c r="D55" t="s">
        <v>169</v>
      </c>
      <c r="E55" t="s">
        <v>287</v>
      </c>
      <c r="F55" t="s">
        <v>288</v>
      </c>
      <c r="G55" t="s">
        <v>145</v>
      </c>
      <c r="L55" t="s">
        <v>139</v>
      </c>
      <c r="M55" t="s">
        <v>139</v>
      </c>
    </row>
    <row r="56" spans="1:14" x14ac:dyDescent="0.45">
      <c r="A56" s="10"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t="s">
        <v>139</v>
      </c>
      <c r="M57" s="5" t="s">
        <v>139</v>
      </c>
      <c r="N57" s="5"/>
    </row>
    <row r="58" spans="1:14" x14ac:dyDescent="0.45">
      <c r="A58" t="s">
        <v>294</v>
      </c>
      <c r="B58" t="s">
        <v>140</v>
      </c>
      <c r="C58" t="s">
        <v>291</v>
      </c>
      <c r="D58" t="s">
        <v>292</v>
      </c>
      <c r="E58" t="s">
        <v>295</v>
      </c>
      <c r="F58" t="s">
        <v>159</v>
      </c>
      <c r="G58" t="s">
        <v>160</v>
      </c>
      <c r="I58" t="s">
        <v>139</v>
      </c>
      <c r="J58" t="s">
        <v>139</v>
      </c>
      <c r="L58" t="s">
        <v>139</v>
      </c>
      <c r="M58" t="s">
        <v>139</v>
      </c>
    </row>
    <row r="59" spans="1:14" x14ac:dyDescent="0.45">
      <c r="A59" s="5" t="s">
        <v>296</v>
      </c>
      <c r="B59" s="5" t="s">
        <v>133</v>
      </c>
      <c r="C59" s="5" t="s">
        <v>297</v>
      </c>
      <c r="D59" s="5" t="s">
        <v>237</v>
      </c>
      <c r="E59" s="5" t="s">
        <v>298</v>
      </c>
      <c r="F59" s="5" t="s">
        <v>299</v>
      </c>
      <c r="G59" s="5" t="s">
        <v>138</v>
      </c>
      <c r="H59" s="5"/>
      <c r="I59" s="5" t="s">
        <v>139</v>
      </c>
      <c r="J59" s="5" t="s">
        <v>139</v>
      </c>
      <c r="K59" s="5" t="s">
        <v>139</v>
      </c>
      <c r="L59" s="5" t="s">
        <v>139</v>
      </c>
      <c r="M59" s="5" t="s">
        <v>139</v>
      </c>
      <c r="N59" s="5"/>
    </row>
    <row r="60" spans="1:14" x14ac:dyDescent="0.45">
      <c r="A60" t="s">
        <v>300</v>
      </c>
      <c r="B60" t="s">
        <v>140</v>
      </c>
      <c r="C60" t="s">
        <v>301</v>
      </c>
      <c r="D60" t="s">
        <v>135</v>
      </c>
      <c r="E60" t="s">
        <v>302</v>
      </c>
      <c r="F60" t="s">
        <v>159</v>
      </c>
      <c r="G60" t="s">
        <v>160</v>
      </c>
      <c r="J60" t="s">
        <v>139</v>
      </c>
      <c r="L60" t="s">
        <v>139</v>
      </c>
      <c r="M60" t="s">
        <v>139</v>
      </c>
    </row>
    <row r="61" spans="1:14" x14ac:dyDescent="0.45">
      <c r="A61" s="5" t="s">
        <v>303</v>
      </c>
      <c r="B61" s="5" t="s">
        <v>140</v>
      </c>
      <c r="C61" s="5" t="s">
        <v>304</v>
      </c>
      <c r="D61" s="5" t="s">
        <v>135</v>
      </c>
      <c r="E61" s="5" t="s">
        <v>305</v>
      </c>
      <c r="F61" s="5" t="s">
        <v>159</v>
      </c>
      <c r="G61" s="5" t="s">
        <v>160</v>
      </c>
      <c r="H61" s="5"/>
      <c r="I61" s="5"/>
      <c r="J61" s="5" t="s">
        <v>139</v>
      </c>
      <c r="K61" s="5"/>
      <c r="L61" s="5" t="s">
        <v>139</v>
      </c>
      <c r="M61" s="5" t="s">
        <v>139</v>
      </c>
      <c r="N61" s="5"/>
    </row>
    <row r="62" spans="1:14" x14ac:dyDescent="0.45">
      <c r="A62" t="s">
        <v>306</v>
      </c>
      <c r="B62" t="s">
        <v>307</v>
      </c>
      <c r="C62" t="s">
        <v>308</v>
      </c>
      <c r="D62" t="s">
        <v>237</v>
      </c>
      <c r="E62" t="s">
        <v>298</v>
      </c>
      <c r="F62" t="s">
        <v>309</v>
      </c>
      <c r="G62" t="s">
        <v>138</v>
      </c>
      <c r="H62" t="s">
        <v>310</v>
      </c>
      <c r="I62" t="s">
        <v>139</v>
      </c>
      <c r="J62" t="s">
        <v>139</v>
      </c>
      <c r="M62" t="s">
        <v>139</v>
      </c>
    </row>
    <row r="63" spans="1:14" x14ac:dyDescent="0.45">
      <c r="A63" s="5" t="s">
        <v>311</v>
      </c>
      <c r="B63" s="5" t="s">
        <v>140</v>
      </c>
      <c r="C63" s="5" t="s">
        <v>312</v>
      </c>
      <c r="D63" s="5" t="s">
        <v>135</v>
      </c>
      <c r="E63" s="5" t="s">
        <v>313</v>
      </c>
      <c r="F63" s="5" t="s">
        <v>159</v>
      </c>
      <c r="G63" s="5" t="s">
        <v>160</v>
      </c>
      <c r="H63" s="5"/>
      <c r="I63" s="5" t="s">
        <v>139</v>
      </c>
      <c r="J63" s="5" t="s">
        <v>139</v>
      </c>
      <c r="K63" s="5"/>
      <c r="L63" s="5"/>
      <c r="M63" s="5" t="s">
        <v>139</v>
      </c>
      <c r="N63" s="5"/>
    </row>
    <row r="64" spans="1:14" x14ac:dyDescent="0.45">
      <c r="A64" t="s">
        <v>314</v>
      </c>
      <c r="B64" t="s">
        <v>140</v>
      </c>
      <c r="C64" t="s">
        <v>315</v>
      </c>
      <c r="D64" t="s">
        <v>135</v>
      </c>
      <c r="E64" t="s">
        <v>316</v>
      </c>
      <c r="F64" t="s">
        <v>159</v>
      </c>
      <c r="G64" t="s">
        <v>160</v>
      </c>
      <c r="J64" t="s">
        <v>139</v>
      </c>
      <c r="M64" t="s">
        <v>139</v>
      </c>
    </row>
    <row r="65" spans="1:14" x14ac:dyDescent="0.45">
      <c r="A65" s="5" t="s">
        <v>317</v>
      </c>
      <c r="B65" s="5" t="s">
        <v>224</v>
      </c>
      <c r="C65" s="5" t="s">
        <v>318</v>
      </c>
      <c r="D65" s="5" t="s">
        <v>237</v>
      </c>
      <c r="E65" s="5" t="s">
        <v>298</v>
      </c>
      <c r="F65" s="5" t="s">
        <v>319</v>
      </c>
      <c r="G65" s="5" t="s">
        <v>138</v>
      </c>
      <c r="H65" s="5"/>
      <c r="I65" s="5" t="s">
        <v>139</v>
      </c>
      <c r="J65" s="5" t="s">
        <v>139</v>
      </c>
      <c r="K65" s="5"/>
      <c r="L65" s="5" t="s">
        <v>139</v>
      </c>
      <c r="M65" s="5" t="s">
        <v>139</v>
      </c>
      <c r="N65" s="5"/>
    </row>
    <row r="66" spans="1:14" x14ac:dyDescent="0.45">
      <c r="A66" t="s">
        <v>320</v>
      </c>
      <c r="B66" t="s">
        <v>140</v>
      </c>
      <c r="C66" t="s">
        <v>321</v>
      </c>
      <c r="D66" t="s">
        <v>135</v>
      </c>
      <c r="E66" t="s">
        <v>322</v>
      </c>
      <c r="F66" t="s">
        <v>159</v>
      </c>
      <c r="G66" t="s">
        <v>160</v>
      </c>
      <c r="L66" t="s">
        <v>139</v>
      </c>
      <c r="M66" t="s">
        <v>139</v>
      </c>
    </row>
    <row r="67" spans="1:14" x14ac:dyDescent="0.45">
      <c r="A67" s="5" t="s">
        <v>323</v>
      </c>
      <c r="B67" s="5" t="s">
        <v>140</v>
      </c>
      <c r="C67" s="5" t="s">
        <v>324</v>
      </c>
      <c r="D67" s="5" t="s">
        <v>135</v>
      </c>
      <c r="E67" s="5" t="s">
        <v>325</v>
      </c>
      <c r="F67" s="5" t="s">
        <v>159</v>
      </c>
      <c r="G67" s="5" t="s">
        <v>160</v>
      </c>
      <c r="H67" s="5"/>
      <c r="I67" s="5"/>
      <c r="J67" s="5"/>
      <c r="K67" s="5"/>
      <c r="L67" s="5" t="s">
        <v>139</v>
      </c>
      <c r="M67" s="5" t="s">
        <v>139</v>
      </c>
      <c r="N67" s="5"/>
    </row>
    <row r="68" spans="1:14" x14ac:dyDescent="0.45">
      <c r="A68" t="s">
        <v>326</v>
      </c>
      <c r="B68" t="s">
        <v>140</v>
      </c>
      <c r="C68" t="s">
        <v>327</v>
      </c>
      <c r="D68" t="s">
        <v>135</v>
      </c>
      <c r="E68" t="s">
        <v>328</v>
      </c>
      <c r="F68" t="s">
        <v>159</v>
      </c>
      <c r="G68" t="s">
        <v>160</v>
      </c>
      <c r="I68" t="s">
        <v>139</v>
      </c>
      <c r="J68" t="s">
        <v>139</v>
      </c>
      <c r="L68" t="s">
        <v>139</v>
      </c>
      <c r="M68" t="s">
        <v>139</v>
      </c>
    </row>
    <row r="69" spans="1:14" x14ac:dyDescent="0.45">
      <c r="A69" s="10" t="s">
        <v>329</v>
      </c>
      <c r="B69" s="7"/>
      <c r="C69" s="7"/>
      <c r="D69" s="7"/>
      <c r="E69" s="7"/>
      <c r="F69" s="7"/>
      <c r="G69" s="7"/>
      <c r="H69" s="7"/>
      <c r="I69" s="7"/>
      <c r="J69" s="7"/>
      <c r="K69" s="7"/>
      <c r="L69" s="7"/>
      <c r="M69" s="7"/>
      <c r="N69" s="7"/>
    </row>
    <row r="70" spans="1:14" x14ac:dyDescent="0.45">
      <c r="A70" s="5" t="s">
        <v>330</v>
      </c>
      <c r="B70" s="5" t="s">
        <v>133</v>
      </c>
      <c r="C70" s="5" t="s">
        <v>331</v>
      </c>
      <c r="D70" s="5" t="s">
        <v>237</v>
      </c>
      <c r="E70" s="5" t="s">
        <v>332</v>
      </c>
      <c r="F70" s="5" t="s">
        <v>237</v>
      </c>
      <c r="G70" s="5" t="s">
        <v>138</v>
      </c>
      <c r="H70" s="5"/>
      <c r="I70" s="5" t="s">
        <v>139</v>
      </c>
      <c r="J70" s="5" t="s">
        <v>139</v>
      </c>
      <c r="K70" s="5"/>
      <c r="L70" s="5" t="s">
        <v>139</v>
      </c>
      <c r="M70" s="5" t="s">
        <v>139</v>
      </c>
      <c r="N70" s="5"/>
    </row>
    <row r="71" spans="1:14" x14ac:dyDescent="0.45">
      <c r="A71" t="s">
        <v>333</v>
      </c>
      <c r="B71" t="s">
        <v>140</v>
      </c>
      <c r="C71" t="s">
        <v>334</v>
      </c>
      <c r="D71" t="s">
        <v>335</v>
      </c>
      <c r="E71" t="s">
        <v>336</v>
      </c>
      <c r="F71" t="s">
        <v>159</v>
      </c>
      <c r="G71" t="s">
        <v>160</v>
      </c>
      <c r="I71" t="s">
        <v>139</v>
      </c>
      <c r="J71" t="s">
        <v>139</v>
      </c>
      <c r="L71" t="s">
        <v>139</v>
      </c>
      <c r="M71" t="s">
        <v>139</v>
      </c>
    </row>
    <row r="72" spans="1:14" x14ac:dyDescent="0.45">
      <c r="A72" s="5" t="s">
        <v>337</v>
      </c>
      <c r="B72" s="5" t="s">
        <v>140</v>
      </c>
      <c r="C72" s="5" t="s">
        <v>338</v>
      </c>
      <c r="D72" s="5" t="s">
        <v>335</v>
      </c>
      <c r="E72" s="5" t="s">
        <v>339</v>
      </c>
      <c r="F72" s="5" t="s">
        <v>159</v>
      </c>
      <c r="G72" s="5" t="s">
        <v>160</v>
      </c>
      <c r="H72" s="5"/>
      <c r="I72" s="5" t="s">
        <v>139</v>
      </c>
      <c r="J72" s="5" t="s">
        <v>139</v>
      </c>
      <c r="K72" s="5"/>
      <c r="L72" s="5" t="s">
        <v>139</v>
      </c>
      <c r="M72" s="5" t="s">
        <v>139</v>
      </c>
      <c r="N72" s="5"/>
    </row>
    <row r="73" spans="1:14" x14ac:dyDescent="0.45">
      <c r="A73" t="s">
        <v>340</v>
      </c>
      <c r="B73" t="s">
        <v>140</v>
      </c>
      <c r="C73" t="s">
        <v>341</v>
      </c>
      <c r="D73" t="s">
        <v>335</v>
      </c>
      <c r="E73" t="s">
        <v>342</v>
      </c>
      <c r="F73" t="s">
        <v>159</v>
      </c>
      <c r="G73" t="s">
        <v>160</v>
      </c>
      <c r="I73" t="s">
        <v>139</v>
      </c>
      <c r="J73" t="s">
        <v>139</v>
      </c>
      <c r="L73" t="s">
        <v>139</v>
      </c>
      <c r="M73" t="s">
        <v>139</v>
      </c>
    </row>
    <row r="74" spans="1:14" x14ac:dyDescent="0.45">
      <c r="A74" s="5" t="s">
        <v>343</v>
      </c>
      <c r="B74" s="5" t="s">
        <v>140</v>
      </c>
      <c r="C74" s="5" t="s">
        <v>344</v>
      </c>
      <c r="D74" s="5" t="s">
        <v>135</v>
      </c>
      <c r="E74" s="5" t="s">
        <v>345</v>
      </c>
      <c r="F74" s="5" t="s">
        <v>159</v>
      </c>
      <c r="G74" s="5" t="s">
        <v>138</v>
      </c>
      <c r="H74" s="5"/>
      <c r="I74" s="5" t="s">
        <v>139</v>
      </c>
      <c r="J74" s="5" t="s">
        <v>139</v>
      </c>
      <c r="K74" s="5"/>
      <c r="L74" s="5" t="s">
        <v>139</v>
      </c>
      <c r="M74" s="5" t="s">
        <v>139</v>
      </c>
      <c r="N74" s="5"/>
    </row>
    <row r="75" spans="1:14" x14ac:dyDescent="0.45">
      <c r="A75" t="s">
        <v>346</v>
      </c>
      <c r="B75" t="s">
        <v>140</v>
      </c>
      <c r="C75" t="s">
        <v>347</v>
      </c>
      <c r="D75" t="s">
        <v>135</v>
      </c>
      <c r="E75" t="s">
        <v>345</v>
      </c>
      <c r="F75" t="s">
        <v>159</v>
      </c>
      <c r="G75" t="s">
        <v>138</v>
      </c>
      <c r="I75" t="s">
        <v>139</v>
      </c>
      <c r="J75" t="s">
        <v>139</v>
      </c>
      <c r="L75" t="s">
        <v>139</v>
      </c>
      <c r="M75" t="s">
        <v>139</v>
      </c>
    </row>
    <row r="76" spans="1:14" x14ac:dyDescent="0.45">
      <c r="A76" s="5" t="s">
        <v>348</v>
      </c>
      <c r="B76" s="5" t="s">
        <v>140</v>
      </c>
      <c r="C76" s="5" t="s">
        <v>349</v>
      </c>
      <c r="D76" s="5" t="s">
        <v>335</v>
      </c>
      <c r="E76" s="5" t="s">
        <v>350</v>
      </c>
      <c r="F76" s="5" t="s">
        <v>159</v>
      </c>
      <c r="G76" s="5" t="s">
        <v>160</v>
      </c>
      <c r="H76" s="5"/>
      <c r="I76" s="5" t="s">
        <v>139</v>
      </c>
      <c r="J76" s="5" t="s">
        <v>139</v>
      </c>
      <c r="K76" s="5"/>
      <c r="L76" s="5"/>
      <c r="M76" s="5" t="s">
        <v>139</v>
      </c>
      <c r="N76" s="5"/>
    </row>
    <row r="77" spans="1:14" x14ac:dyDescent="0.45">
      <c r="A77" t="s">
        <v>351</v>
      </c>
      <c r="B77" t="s">
        <v>224</v>
      </c>
      <c r="C77" t="s">
        <v>352</v>
      </c>
      <c r="D77" t="s">
        <v>237</v>
      </c>
      <c r="E77" t="s">
        <v>353</v>
      </c>
      <c r="F77" t="s">
        <v>237</v>
      </c>
      <c r="G77" t="s">
        <v>138</v>
      </c>
      <c r="I77" t="s">
        <v>139</v>
      </c>
      <c r="J77" t="s">
        <v>139</v>
      </c>
      <c r="L77" t="s">
        <v>139</v>
      </c>
      <c r="M77" t="s">
        <v>139</v>
      </c>
    </row>
    <row r="78" spans="1:14" x14ac:dyDescent="0.45">
      <c r="A78" s="5" t="s">
        <v>354</v>
      </c>
      <c r="B78" s="5" t="s">
        <v>140</v>
      </c>
      <c r="C78" s="5" t="s">
        <v>355</v>
      </c>
      <c r="D78" s="5" t="s">
        <v>335</v>
      </c>
      <c r="E78" s="5" t="s">
        <v>356</v>
      </c>
      <c r="F78" s="5" t="s">
        <v>159</v>
      </c>
      <c r="G78" s="5" t="s">
        <v>160</v>
      </c>
      <c r="H78" s="5" t="s">
        <v>357</v>
      </c>
      <c r="I78" s="5" t="s">
        <v>139</v>
      </c>
      <c r="J78" s="5" t="s">
        <v>139</v>
      </c>
      <c r="K78" s="5"/>
      <c r="L78" s="5" t="s">
        <v>139</v>
      </c>
      <c r="M78" s="5" t="s">
        <v>139</v>
      </c>
      <c r="N78" s="5"/>
    </row>
    <row r="79" spans="1:14" x14ac:dyDescent="0.45">
      <c r="A79" s="10" t="s">
        <v>358</v>
      </c>
      <c r="B79" s="7"/>
      <c r="C79" s="7"/>
      <c r="D79" s="7"/>
      <c r="E79" s="7"/>
      <c r="F79" s="7"/>
      <c r="G79" s="7"/>
      <c r="H79" s="7"/>
      <c r="I79" s="7"/>
      <c r="J79" s="7"/>
      <c r="K79" s="7"/>
      <c r="L79" s="7"/>
      <c r="M79" s="7"/>
      <c r="N79" s="7"/>
    </row>
    <row r="80" spans="1:14" x14ac:dyDescent="0.45">
      <c r="A80" t="s">
        <v>359</v>
      </c>
      <c r="B80" t="s">
        <v>140</v>
      </c>
      <c r="C80" t="s">
        <v>360</v>
      </c>
      <c r="D80" t="s">
        <v>237</v>
      </c>
      <c r="E80" t="s">
        <v>361</v>
      </c>
      <c r="F80" t="s">
        <v>362</v>
      </c>
      <c r="G80" t="s">
        <v>363</v>
      </c>
      <c r="J80" t="s">
        <v>139</v>
      </c>
      <c r="K80" t="s">
        <v>139</v>
      </c>
      <c r="M80" t="s">
        <v>139</v>
      </c>
    </row>
    <row r="81" spans="1:14" x14ac:dyDescent="0.45">
      <c r="A81" s="5" t="s">
        <v>364</v>
      </c>
      <c r="B81" s="5" t="s">
        <v>133</v>
      </c>
      <c r="C81" s="5" t="s">
        <v>365</v>
      </c>
      <c r="D81" s="5" t="s">
        <v>237</v>
      </c>
      <c r="E81" s="5" t="s">
        <v>366</v>
      </c>
      <c r="F81" s="5" t="s">
        <v>367</v>
      </c>
      <c r="G81" s="5" t="s">
        <v>138</v>
      </c>
      <c r="H81" s="5"/>
      <c r="I81" s="5"/>
      <c r="J81" s="5" t="s">
        <v>139</v>
      </c>
      <c r="K81" s="5"/>
      <c r="L81" s="5"/>
      <c r="M81" s="5" t="s">
        <v>139</v>
      </c>
      <c r="N81" s="5"/>
    </row>
    <row r="82" spans="1:14" x14ac:dyDescent="0.45">
      <c r="A82" t="s">
        <v>368</v>
      </c>
      <c r="B82" t="s">
        <v>140</v>
      </c>
      <c r="C82" t="s">
        <v>369</v>
      </c>
      <c r="D82" t="s">
        <v>237</v>
      </c>
      <c r="E82" t="s">
        <v>370</v>
      </c>
      <c r="F82" t="s">
        <v>371</v>
      </c>
      <c r="G82" t="s">
        <v>138</v>
      </c>
      <c r="J82" t="s">
        <v>139</v>
      </c>
      <c r="L82" t="s">
        <v>139</v>
      </c>
      <c r="M82" t="s">
        <v>139</v>
      </c>
    </row>
    <row r="83" spans="1:14" x14ac:dyDescent="0.45">
      <c r="A83" s="5" t="s">
        <v>372</v>
      </c>
      <c r="B83" s="5" t="s">
        <v>133</v>
      </c>
      <c r="C83" s="5" t="s">
        <v>373</v>
      </c>
      <c r="D83" s="5" t="s">
        <v>237</v>
      </c>
      <c r="E83" s="5" t="s">
        <v>374</v>
      </c>
      <c r="F83" s="5" t="s">
        <v>375</v>
      </c>
      <c r="G83" s="5" t="s">
        <v>138</v>
      </c>
      <c r="H83" s="5"/>
      <c r="I83" s="5"/>
      <c r="J83" s="5"/>
      <c r="K83" s="5"/>
      <c r="L83" s="5" t="s">
        <v>139</v>
      </c>
      <c r="M83" s="5" t="s">
        <v>139</v>
      </c>
      <c r="N83" s="5"/>
    </row>
  </sheetData>
  <mergeCells count="12">
    <mergeCell ref="B4:N4"/>
    <mergeCell ref="A7:N7"/>
    <mergeCell ref="B3:N3"/>
    <mergeCell ref="B2:N2"/>
    <mergeCell ref="A1:N1"/>
    <mergeCell ref="A56:N56"/>
    <mergeCell ref="B5:N5"/>
    <mergeCell ref="A31:N31"/>
    <mergeCell ref="A79:N79"/>
    <mergeCell ref="A69:N69"/>
    <mergeCell ref="A12:N12"/>
    <mergeCell ref="A50:N50"/>
  </mergeCells>
  <dataValidations count="1">
    <dataValidation type="list" allowBlank="1" errorTitle="Invalid Review Status" error="Choose a review status from the list." sqref="N2:N83" xr:uid="{00000000-0002-0000-02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83"/>
  <sheetViews>
    <sheetView tabSelected="1" workbookViewId="0">
      <pane ySplit="6" topLeftCell="A7" activePane="bottomLeft" state="frozen"/>
      <selection pane="bottomLeft" sqref="A1:N1"/>
    </sheetView>
  </sheetViews>
  <sheetFormatPr defaultRowHeight="14.25" x14ac:dyDescent="0.45"/>
  <cols>
    <col min="1" max="1" width="50" customWidth="1"/>
    <col min="2" max="2" width="21" customWidth="1"/>
    <col min="3" max="6" width="50" customWidth="1"/>
    <col min="7" max="7" width="15"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376</v>
      </c>
      <c r="B1" s="7"/>
      <c r="C1" s="7"/>
      <c r="D1" s="7"/>
      <c r="E1" s="7"/>
      <c r="F1" s="7"/>
      <c r="G1" s="7"/>
      <c r="H1" s="7"/>
      <c r="I1" s="7"/>
      <c r="J1" s="7"/>
      <c r="K1" s="7"/>
      <c r="L1" s="7"/>
      <c r="M1" s="7"/>
      <c r="N1" s="7"/>
    </row>
    <row r="2" spans="1:14" x14ac:dyDescent="0.45">
      <c r="A2" s="4" t="s">
        <v>18</v>
      </c>
      <c r="B2" s="7" t="s">
        <v>26</v>
      </c>
      <c r="C2" s="7"/>
      <c r="D2" s="7"/>
      <c r="E2" s="7"/>
      <c r="F2" s="7"/>
      <c r="G2" s="7"/>
      <c r="H2" s="7"/>
      <c r="I2" s="7"/>
      <c r="J2" s="7"/>
      <c r="K2" s="7"/>
      <c r="L2" s="7"/>
      <c r="M2" s="7"/>
      <c r="N2" s="7"/>
    </row>
    <row r="3" spans="1:14" x14ac:dyDescent="0.45">
      <c r="A3" s="4" t="s">
        <v>19</v>
      </c>
      <c r="B3" s="7" t="s">
        <v>27</v>
      </c>
      <c r="C3" s="7"/>
      <c r="D3" s="7"/>
      <c r="E3" s="7"/>
      <c r="F3" s="7"/>
      <c r="G3" s="7"/>
      <c r="H3" s="7"/>
      <c r="I3" s="7"/>
      <c r="J3" s="7"/>
      <c r="K3" s="7"/>
      <c r="L3" s="7"/>
      <c r="M3" s="7"/>
      <c r="N3" s="7"/>
    </row>
    <row r="4" spans="1:14" x14ac:dyDescent="0.45">
      <c r="A4" s="4" t="s">
        <v>20</v>
      </c>
      <c r="B4" s="7" t="s">
        <v>26</v>
      </c>
      <c r="C4" s="7"/>
      <c r="D4" s="7"/>
      <c r="E4" s="7"/>
      <c r="F4" s="7"/>
      <c r="G4" s="7"/>
      <c r="H4" s="7"/>
      <c r="I4" s="7"/>
      <c r="J4" s="7"/>
      <c r="K4" s="7"/>
      <c r="L4" s="7"/>
      <c r="M4" s="7"/>
      <c r="N4" s="7"/>
    </row>
    <row r="5" spans="1:14" x14ac:dyDescent="0.45">
      <c r="A5" s="4" t="s">
        <v>21</v>
      </c>
      <c r="B5" s="7" t="s">
        <v>31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133</v>
      </c>
      <c r="C8" t="s">
        <v>134</v>
      </c>
      <c r="D8" t="s">
        <v>135</v>
      </c>
      <c r="E8" t="s">
        <v>136</v>
      </c>
      <c r="F8" t="s">
        <v>137</v>
      </c>
      <c r="G8" t="s">
        <v>138</v>
      </c>
      <c r="I8" t="s">
        <v>139</v>
      </c>
      <c r="J8" t="s">
        <v>139</v>
      </c>
      <c r="K8" t="s">
        <v>139</v>
      </c>
      <c r="M8" t="s">
        <v>139</v>
      </c>
    </row>
    <row r="9" spans="1:14" x14ac:dyDescent="0.45">
      <c r="A9" s="5" t="s">
        <v>20</v>
      </c>
      <c r="B9" s="5" t="s">
        <v>140</v>
      </c>
      <c r="C9" s="5" t="s">
        <v>141</v>
      </c>
      <c r="D9" s="5" t="s">
        <v>142</v>
      </c>
      <c r="E9" s="5" t="s">
        <v>143</v>
      </c>
      <c r="F9" s="5" t="s">
        <v>144</v>
      </c>
      <c r="G9" s="5" t="s">
        <v>145</v>
      </c>
      <c r="H9" s="5"/>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L10" t="s">
        <v>139</v>
      </c>
      <c r="M10" t="s">
        <v>139</v>
      </c>
    </row>
    <row r="11" spans="1:14" x14ac:dyDescent="0.45">
      <c r="A11" s="5" t="s">
        <v>149</v>
      </c>
      <c r="B11" s="5" t="s">
        <v>133</v>
      </c>
      <c r="C11" s="5" t="s">
        <v>150</v>
      </c>
      <c r="D11" s="5" t="s">
        <v>151</v>
      </c>
      <c r="E11" s="5" t="s">
        <v>152</v>
      </c>
      <c r="F11" s="5" t="s">
        <v>153</v>
      </c>
      <c r="G11" s="5" t="s">
        <v>138</v>
      </c>
      <c r="H11" s="5"/>
      <c r="I11" s="5" t="s">
        <v>139</v>
      </c>
      <c r="J11" s="5" t="s">
        <v>139</v>
      </c>
      <c r="K11" s="5"/>
      <c r="L11" s="5"/>
      <c r="M11" s="5" t="s">
        <v>139</v>
      </c>
      <c r="N11" s="5"/>
    </row>
    <row r="12" spans="1:14" x14ac:dyDescent="0.45">
      <c r="A12" s="6" t="s">
        <v>154</v>
      </c>
      <c r="B12" s="7"/>
      <c r="C12" s="7"/>
      <c r="D12" s="7"/>
      <c r="E12" s="7"/>
      <c r="F12" s="7"/>
      <c r="G12" s="7"/>
      <c r="H12" s="7"/>
      <c r="I12" s="7"/>
      <c r="J12" s="7"/>
      <c r="K12" s="7"/>
      <c r="L12" s="7"/>
      <c r="M12" s="7"/>
      <c r="N12" s="7"/>
    </row>
    <row r="13" spans="1:14" x14ac:dyDescent="0.45">
      <c r="A13" t="s">
        <v>155</v>
      </c>
      <c r="B13" t="s">
        <v>140</v>
      </c>
      <c r="C13" t="s">
        <v>156</v>
      </c>
      <c r="D13" t="s">
        <v>157</v>
      </c>
      <c r="E13" t="s">
        <v>158</v>
      </c>
      <c r="F13" t="s">
        <v>159</v>
      </c>
      <c r="G13" t="s">
        <v>160</v>
      </c>
      <c r="J13" t="s">
        <v>139</v>
      </c>
      <c r="L13" t="s">
        <v>139</v>
      </c>
      <c r="M13" t="s">
        <v>139</v>
      </c>
    </row>
    <row r="14" spans="1:14" x14ac:dyDescent="0.45">
      <c r="A14" s="5" t="s">
        <v>161</v>
      </c>
      <c r="B14" s="5" t="s">
        <v>140</v>
      </c>
      <c r="C14" s="5" t="s">
        <v>156</v>
      </c>
      <c r="D14" s="5" t="s">
        <v>157</v>
      </c>
      <c r="E14" s="5" t="s">
        <v>162</v>
      </c>
      <c r="F14" s="5" t="s">
        <v>159</v>
      </c>
      <c r="G14" s="5" t="s">
        <v>160</v>
      </c>
      <c r="H14" s="5"/>
      <c r="I14" s="5"/>
      <c r="J14" s="5" t="s">
        <v>139</v>
      </c>
      <c r="K14" s="5"/>
      <c r="L14" s="5" t="s">
        <v>139</v>
      </c>
      <c r="M14" s="5" t="s">
        <v>139</v>
      </c>
      <c r="N14" s="5"/>
    </row>
    <row r="15" spans="1:14" x14ac:dyDescent="0.45">
      <c r="A15" t="s">
        <v>163</v>
      </c>
      <c r="B15" t="s">
        <v>140</v>
      </c>
      <c r="C15" t="s">
        <v>164</v>
      </c>
      <c r="D15" t="s">
        <v>157</v>
      </c>
      <c r="E15" t="s">
        <v>165</v>
      </c>
      <c r="F15" t="s">
        <v>159</v>
      </c>
      <c r="G15" t="s">
        <v>160</v>
      </c>
      <c r="M15" t="s">
        <v>139</v>
      </c>
    </row>
    <row r="16" spans="1:14" x14ac:dyDescent="0.45">
      <c r="A16" s="5" t="s">
        <v>166</v>
      </c>
      <c r="B16" s="5" t="s">
        <v>167</v>
      </c>
      <c r="C16" s="5" t="s">
        <v>168</v>
      </c>
      <c r="D16" s="5" t="s">
        <v>169</v>
      </c>
      <c r="E16" s="5" t="s">
        <v>170</v>
      </c>
      <c r="F16" s="5" t="s">
        <v>171</v>
      </c>
      <c r="G16" s="5" t="s">
        <v>138</v>
      </c>
      <c r="H16" s="5"/>
      <c r="I16" s="5"/>
      <c r="J16" s="5"/>
      <c r="K16" s="5"/>
      <c r="L16" s="5" t="s">
        <v>139</v>
      </c>
      <c r="M16" s="5" t="s">
        <v>139</v>
      </c>
      <c r="N16" s="5"/>
    </row>
    <row r="17" spans="1:14" x14ac:dyDescent="0.45">
      <c r="A17" t="s">
        <v>172</v>
      </c>
      <c r="B17" t="s">
        <v>133</v>
      </c>
      <c r="C17" t="s">
        <v>168</v>
      </c>
      <c r="D17" t="s">
        <v>169</v>
      </c>
      <c r="E17" t="s">
        <v>170</v>
      </c>
      <c r="F17" t="s">
        <v>173</v>
      </c>
      <c r="G17" t="s">
        <v>138</v>
      </c>
      <c r="L17" t="s">
        <v>139</v>
      </c>
      <c r="M17" t="s">
        <v>139</v>
      </c>
    </row>
    <row r="18" spans="1:14" x14ac:dyDescent="0.45">
      <c r="A18" s="5" t="s">
        <v>174</v>
      </c>
      <c r="B18" s="5" t="s">
        <v>167</v>
      </c>
      <c r="C18" s="5" t="s">
        <v>175</v>
      </c>
      <c r="D18" s="5" t="s">
        <v>169</v>
      </c>
      <c r="E18" s="5" t="s">
        <v>176</v>
      </c>
      <c r="F18" s="5" t="s">
        <v>177</v>
      </c>
      <c r="G18" s="5" t="s">
        <v>138</v>
      </c>
      <c r="H18" s="5"/>
      <c r="I18" s="5"/>
      <c r="J18" s="5"/>
      <c r="K18" s="5"/>
      <c r="L18" s="5" t="s">
        <v>139</v>
      </c>
      <c r="M18" s="5" t="s">
        <v>139</v>
      </c>
      <c r="N18" s="5"/>
    </row>
    <row r="19" spans="1:14" x14ac:dyDescent="0.45">
      <c r="A19" t="s">
        <v>178</v>
      </c>
      <c r="B19" t="s">
        <v>140</v>
      </c>
      <c r="C19" t="s">
        <v>179</v>
      </c>
      <c r="D19" t="s">
        <v>157</v>
      </c>
      <c r="E19" t="s">
        <v>180</v>
      </c>
      <c r="F19" t="s">
        <v>159</v>
      </c>
      <c r="G19" t="s">
        <v>160</v>
      </c>
      <c r="K19" t="s">
        <v>139</v>
      </c>
      <c r="L19" t="s">
        <v>139</v>
      </c>
      <c r="M19" t="s">
        <v>139</v>
      </c>
    </row>
    <row r="20" spans="1:14" x14ac:dyDescent="0.45">
      <c r="A20" s="5" t="s">
        <v>181</v>
      </c>
      <c r="B20" s="5" t="s">
        <v>140</v>
      </c>
      <c r="C20" s="5" t="s">
        <v>179</v>
      </c>
      <c r="D20" s="5" t="s">
        <v>157</v>
      </c>
      <c r="E20" s="5" t="s">
        <v>180</v>
      </c>
      <c r="F20" s="5" t="s">
        <v>159</v>
      </c>
      <c r="G20" s="5" t="s">
        <v>160</v>
      </c>
      <c r="H20" s="5"/>
      <c r="I20" s="5"/>
      <c r="J20" s="5"/>
      <c r="K20" s="5" t="s">
        <v>139</v>
      </c>
      <c r="L20" s="5" t="s">
        <v>139</v>
      </c>
      <c r="M20" s="5" t="s">
        <v>139</v>
      </c>
      <c r="N20" s="5"/>
    </row>
    <row r="21" spans="1:14" x14ac:dyDescent="0.45">
      <c r="A21" t="s">
        <v>182</v>
      </c>
      <c r="B21" t="s">
        <v>133</v>
      </c>
      <c r="C21" t="s">
        <v>183</v>
      </c>
      <c r="D21" t="s">
        <v>169</v>
      </c>
      <c r="E21" t="s">
        <v>184</v>
      </c>
      <c r="F21" t="s">
        <v>185</v>
      </c>
      <c r="G21" t="s">
        <v>182</v>
      </c>
      <c r="H21" t="s">
        <v>186</v>
      </c>
      <c r="J21" t="s">
        <v>139</v>
      </c>
      <c r="L21" t="s">
        <v>139</v>
      </c>
      <c r="M21" t="s">
        <v>139</v>
      </c>
    </row>
    <row r="22" spans="1:14" x14ac:dyDescent="0.45">
      <c r="A22" s="5" t="s">
        <v>187</v>
      </c>
      <c r="B22" s="5" t="s">
        <v>140</v>
      </c>
      <c r="C22" s="5" t="s">
        <v>188</v>
      </c>
      <c r="D22" s="5" t="s">
        <v>157</v>
      </c>
      <c r="E22" s="5" t="s">
        <v>189</v>
      </c>
      <c r="F22" s="5" t="s">
        <v>159</v>
      </c>
      <c r="G22" s="5" t="s">
        <v>160</v>
      </c>
      <c r="H22" s="5"/>
      <c r="I22" s="5"/>
      <c r="J22" s="5"/>
      <c r="K22" s="5"/>
      <c r="L22" s="5" t="s">
        <v>139</v>
      </c>
      <c r="M22" s="5" t="s">
        <v>139</v>
      </c>
      <c r="N22" s="5"/>
    </row>
    <row r="23" spans="1:14" x14ac:dyDescent="0.45">
      <c r="A23" t="s">
        <v>190</v>
      </c>
      <c r="B23" t="s">
        <v>140</v>
      </c>
      <c r="C23" t="s">
        <v>191</v>
      </c>
      <c r="D23" t="s">
        <v>157</v>
      </c>
      <c r="E23" t="s">
        <v>192</v>
      </c>
      <c r="F23" t="s">
        <v>159</v>
      </c>
      <c r="G23" t="s">
        <v>160</v>
      </c>
      <c r="L23" t="s">
        <v>139</v>
      </c>
      <c r="M23" t="s">
        <v>139</v>
      </c>
    </row>
    <row r="24" spans="1:14" x14ac:dyDescent="0.45">
      <c r="A24" s="5" t="s">
        <v>193</v>
      </c>
      <c r="B24" s="5" t="s">
        <v>140</v>
      </c>
      <c r="C24" s="5" t="s">
        <v>194</v>
      </c>
      <c r="D24" s="5" t="s">
        <v>157</v>
      </c>
      <c r="E24" s="5" t="s">
        <v>195</v>
      </c>
      <c r="F24" s="5" t="s">
        <v>159</v>
      </c>
      <c r="G24" s="5" t="s">
        <v>160</v>
      </c>
      <c r="H24" s="5"/>
      <c r="I24" s="5"/>
      <c r="J24" s="5"/>
      <c r="K24" s="5"/>
      <c r="L24" s="5" t="s">
        <v>139</v>
      </c>
      <c r="M24" s="5" t="s">
        <v>139</v>
      </c>
      <c r="N24" s="5"/>
    </row>
    <row r="25" spans="1:14" x14ac:dyDescent="0.45">
      <c r="A25" t="s">
        <v>196</v>
      </c>
      <c r="B25" t="s">
        <v>140</v>
      </c>
      <c r="C25" t="s">
        <v>197</v>
      </c>
      <c r="D25" t="s">
        <v>157</v>
      </c>
      <c r="E25" t="s">
        <v>198</v>
      </c>
      <c r="F25" t="s">
        <v>159</v>
      </c>
      <c r="G25" t="s">
        <v>160</v>
      </c>
      <c r="L25" t="s">
        <v>139</v>
      </c>
      <c r="M25" t="s">
        <v>139</v>
      </c>
    </row>
    <row r="26" spans="1:14" x14ac:dyDescent="0.45">
      <c r="A26" s="5" t="s">
        <v>199</v>
      </c>
      <c r="B26" s="5" t="s">
        <v>140</v>
      </c>
      <c r="C26" s="5" t="s">
        <v>200</v>
      </c>
      <c r="D26" s="5" t="s">
        <v>157</v>
      </c>
      <c r="E26" s="5" t="s">
        <v>201</v>
      </c>
      <c r="F26" s="5" t="s">
        <v>159</v>
      </c>
      <c r="G26" s="5" t="s">
        <v>160</v>
      </c>
      <c r="H26" s="5"/>
      <c r="I26" s="5"/>
      <c r="J26" s="5"/>
      <c r="K26" s="5"/>
      <c r="L26" s="5" t="s">
        <v>139</v>
      </c>
      <c r="M26" s="5" t="s">
        <v>139</v>
      </c>
      <c r="N26" s="5"/>
    </row>
    <row r="27" spans="1:14" x14ac:dyDescent="0.45">
      <c r="A27" t="s">
        <v>202</v>
      </c>
      <c r="B27" t="s">
        <v>140</v>
      </c>
      <c r="C27" t="s">
        <v>203</v>
      </c>
      <c r="D27" t="s">
        <v>157</v>
      </c>
      <c r="E27" t="s">
        <v>204</v>
      </c>
      <c r="F27" t="s">
        <v>159</v>
      </c>
      <c r="G27" t="s">
        <v>160</v>
      </c>
      <c r="L27" t="s">
        <v>139</v>
      </c>
      <c r="M27" t="s">
        <v>139</v>
      </c>
    </row>
    <row r="28" spans="1:14" x14ac:dyDescent="0.45">
      <c r="A28" s="5" t="s">
        <v>205</v>
      </c>
      <c r="B28" s="5" t="s">
        <v>140</v>
      </c>
      <c r="C28" s="5" t="s">
        <v>206</v>
      </c>
      <c r="D28" s="5" t="s">
        <v>157</v>
      </c>
      <c r="E28" s="5" t="s">
        <v>204</v>
      </c>
      <c r="F28" s="5" t="s">
        <v>159</v>
      </c>
      <c r="G28" s="5" t="s">
        <v>160</v>
      </c>
      <c r="H28" s="5"/>
      <c r="I28" s="5"/>
      <c r="J28" s="5" t="s">
        <v>139</v>
      </c>
      <c r="K28" s="5" t="s">
        <v>139</v>
      </c>
      <c r="L28" s="5"/>
      <c r="M28" s="5" t="s">
        <v>139</v>
      </c>
      <c r="N28" s="5"/>
    </row>
    <row r="29" spans="1:14" x14ac:dyDescent="0.45">
      <c r="A29" t="s">
        <v>207</v>
      </c>
      <c r="B29" t="s">
        <v>133</v>
      </c>
      <c r="C29" t="s">
        <v>208</v>
      </c>
      <c r="D29" t="s">
        <v>169</v>
      </c>
      <c r="E29" t="s">
        <v>209</v>
      </c>
      <c r="F29" t="s">
        <v>210</v>
      </c>
      <c r="G29" t="s">
        <v>138</v>
      </c>
      <c r="H29" t="s">
        <v>211</v>
      </c>
      <c r="J29" t="s">
        <v>139</v>
      </c>
      <c r="L29" t="s">
        <v>139</v>
      </c>
      <c r="M29" t="s">
        <v>139</v>
      </c>
    </row>
    <row r="30" spans="1:14" x14ac:dyDescent="0.45">
      <c r="A30" s="5" t="s">
        <v>212</v>
      </c>
      <c r="B30" s="5" t="s">
        <v>140</v>
      </c>
      <c r="C30" s="5" t="s">
        <v>213</v>
      </c>
      <c r="D30" s="5" t="s">
        <v>214</v>
      </c>
      <c r="E30" s="5" t="s">
        <v>215</v>
      </c>
      <c r="F30" s="5" t="s">
        <v>159</v>
      </c>
      <c r="G30" s="5" t="s">
        <v>138</v>
      </c>
      <c r="H30" s="5"/>
      <c r="I30" s="5"/>
      <c r="J30" s="5" t="s">
        <v>139</v>
      </c>
      <c r="K30" s="5"/>
      <c r="L30" s="5" t="s">
        <v>139</v>
      </c>
      <c r="M30" s="5" t="s">
        <v>139</v>
      </c>
      <c r="N30" s="5"/>
    </row>
    <row r="31" spans="1:14" x14ac:dyDescent="0.45">
      <c r="A31" s="6" t="s">
        <v>216</v>
      </c>
      <c r="B31" s="7"/>
      <c r="C31" s="7"/>
      <c r="D31" s="7"/>
      <c r="E31" s="7"/>
      <c r="F31" s="7"/>
      <c r="G31" s="7"/>
      <c r="H31" s="7"/>
      <c r="I31" s="7"/>
      <c r="J31" s="7"/>
      <c r="K31" s="7"/>
      <c r="L31" s="7"/>
      <c r="M31" s="7"/>
      <c r="N31" s="7"/>
    </row>
    <row r="32" spans="1:14" x14ac:dyDescent="0.45">
      <c r="A32" t="s">
        <v>217</v>
      </c>
      <c r="B32" t="s">
        <v>140</v>
      </c>
      <c r="C32" t="s">
        <v>218</v>
      </c>
      <c r="D32" t="s">
        <v>157</v>
      </c>
      <c r="E32" t="s">
        <v>219</v>
      </c>
      <c r="F32" t="s">
        <v>159</v>
      </c>
      <c r="G32" t="s">
        <v>160</v>
      </c>
      <c r="I32" t="s">
        <v>139</v>
      </c>
      <c r="J32" t="s">
        <v>139</v>
      </c>
      <c r="M32" t="s">
        <v>139</v>
      </c>
    </row>
    <row r="33" spans="1:14" x14ac:dyDescent="0.45">
      <c r="A33" s="5" t="s">
        <v>220</v>
      </c>
      <c r="B33" s="5" t="s">
        <v>140</v>
      </c>
      <c r="C33" s="5" t="s">
        <v>221</v>
      </c>
      <c r="D33" s="5" t="s">
        <v>157</v>
      </c>
      <c r="E33" s="5" t="s">
        <v>222</v>
      </c>
      <c r="F33" s="5" t="s">
        <v>159</v>
      </c>
      <c r="G33" s="5" t="s">
        <v>160</v>
      </c>
      <c r="H33" s="5"/>
      <c r="I33" s="5" t="s">
        <v>139</v>
      </c>
      <c r="J33" s="5" t="s">
        <v>139</v>
      </c>
      <c r="K33" s="5"/>
      <c r="L33" s="5" t="s">
        <v>139</v>
      </c>
      <c r="M33" s="5" t="s">
        <v>139</v>
      </c>
      <c r="N33" s="5"/>
    </row>
    <row r="34" spans="1:14" x14ac:dyDescent="0.45">
      <c r="A34" t="s">
        <v>223</v>
      </c>
      <c r="B34" t="s">
        <v>224</v>
      </c>
      <c r="C34" t="s">
        <v>225</v>
      </c>
      <c r="D34" t="s">
        <v>226</v>
      </c>
      <c r="E34" t="s">
        <v>227</v>
      </c>
      <c r="F34" t="s">
        <v>228</v>
      </c>
      <c r="G34" t="s">
        <v>138</v>
      </c>
      <c r="L34" t="s">
        <v>139</v>
      </c>
      <c r="M34" t="s">
        <v>139</v>
      </c>
    </row>
    <row r="35" spans="1:14" x14ac:dyDescent="0.45">
      <c r="A35" s="5" t="s">
        <v>229</v>
      </c>
      <c r="B35" s="5" t="s">
        <v>167</v>
      </c>
      <c r="C35" s="5" t="s">
        <v>225</v>
      </c>
      <c r="D35" s="5" t="s">
        <v>226</v>
      </c>
      <c r="E35" s="5" t="s">
        <v>227</v>
      </c>
      <c r="F35" s="5" t="s">
        <v>230</v>
      </c>
      <c r="G35" s="5" t="s">
        <v>138</v>
      </c>
      <c r="H35" s="5"/>
      <c r="I35" s="5"/>
      <c r="J35" s="5"/>
      <c r="K35" s="5"/>
      <c r="L35" s="5" t="s">
        <v>139</v>
      </c>
      <c r="M35" s="5" t="s">
        <v>139</v>
      </c>
      <c r="N35" s="5"/>
    </row>
    <row r="36" spans="1:14" x14ac:dyDescent="0.45">
      <c r="A36" t="s">
        <v>231</v>
      </c>
      <c r="B36" t="s">
        <v>167</v>
      </c>
      <c r="C36" t="s">
        <v>225</v>
      </c>
      <c r="D36" t="s">
        <v>226</v>
      </c>
      <c r="E36" t="s">
        <v>227</v>
      </c>
      <c r="F36" t="s">
        <v>232</v>
      </c>
      <c r="G36" t="s">
        <v>138</v>
      </c>
      <c r="L36" t="s">
        <v>139</v>
      </c>
      <c r="M36" t="s">
        <v>139</v>
      </c>
    </row>
    <row r="37" spans="1:14" x14ac:dyDescent="0.45">
      <c r="A37" s="5" t="s">
        <v>233</v>
      </c>
      <c r="B37" s="5" t="s">
        <v>224</v>
      </c>
      <c r="C37" s="5" t="s">
        <v>225</v>
      </c>
      <c r="D37" s="5" t="s">
        <v>226</v>
      </c>
      <c r="E37" s="5" t="s">
        <v>227</v>
      </c>
      <c r="F37" s="5" t="s">
        <v>234</v>
      </c>
      <c r="G37" s="5" t="s">
        <v>138</v>
      </c>
      <c r="H37" s="5"/>
      <c r="I37" s="5"/>
      <c r="J37" s="5"/>
      <c r="K37" s="5"/>
      <c r="L37" s="5" t="s">
        <v>139</v>
      </c>
      <c r="M37" s="5" t="s">
        <v>139</v>
      </c>
      <c r="N37" s="5"/>
    </row>
    <row r="38" spans="1:14" x14ac:dyDescent="0.45">
      <c r="A38" t="s">
        <v>235</v>
      </c>
      <c r="B38" t="s">
        <v>133</v>
      </c>
      <c r="C38" t="s">
        <v>236</v>
      </c>
      <c r="D38" t="s">
        <v>237</v>
      </c>
      <c r="E38" t="s">
        <v>238</v>
      </c>
      <c r="F38" t="s">
        <v>239</v>
      </c>
      <c r="G38" t="s">
        <v>145</v>
      </c>
      <c r="I38" t="s">
        <v>139</v>
      </c>
      <c r="J38" t="s">
        <v>139</v>
      </c>
      <c r="K38" t="s">
        <v>139</v>
      </c>
      <c r="L38" t="s">
        <v>139</v>
      </c>
      <c r="M38" t="s">
        <v>139</v>
      </c>
    </row>
    <row r="39" spans="1:14" x14ac:dyDescent="0.45">
      <c r="A39" s="5" t="s">
        <v>240</v>
      </c>
      <c r="B39" s="5" t="s">
        <v>140</v>
      </c>
      <c r="C39" s="5" t="s">
        <v>241</v>
      </c>
      <c r="D39" s="5" t="s">
        <v>157</v>
      </c>
      <c r="E39" s="5" t="s">
        <v>242</v>
      </c>
      <c r="F39" s="5" t="s">
        <v>159</v>
      </c>
      <c r="G39" s="5" t="s">
        <v>160</v>
      </c>
      <c r="H39" s="5"/>
      <c r="I39" s="5"/>
      <c r="J39" s="5" t="s">
        <v>139</v>
      </c>
      <c r="K39" s="5" t="s">
        <v>139</v>
      </c>
      <c r="L39" s="5" t="s">
        <v>139</v>
      </c>
      <c r="M39" s="5" t="s">
        <v>139</v>
      </c>
      <c r="N39" s="5"/>
    </row>
    <row r="40" spans="1:14" x14ac:dyDescent="0.45">
      <c r="A40" t="s">
        <v>243</v>
      </c>
      <c r="B40" t="s">
        <v>140</v>
      </c>
      <c r="C40" t="s">
        <v>244</v>
      </c>
      <c r="D40" t="s">
        <v>157</v>
      </c>
      <c r="E40" t="s">
        <v>242</v>
      </c>
      <c r="F40" t="s">
        <v>159</v>
      </c>
      <c r="G40" t="s">
        <v>160</v>
      </c>
      <c r="J40" t="s">
        <v>139</v>
      </c>
      <c r="L40" t="s">
        <v>139</v>
      </c>
      <c r="M40" t="s">
        <v>139</v>
      </c>
    </row>
    <row r="41" spans="1:14" x14ac:dyDescent="0.45">
      <c r="A41" s="5" t="s">
        <v>245</v>
      </c>
      <c r="B41" s="5" t="s">
        <v>140</v>
      </c>
      <c r="C41" s="5" t="s">
        <v>246</v>
      </c>
      <c r="D41" s="5" t="s">
        <v>157</v>
      </c>
      <c r="E41" s="5" t="s">
        <v>247</v>
      </c>
      <c r="F41" s="5" t="s">
        <v>159</v>
      </c>
      <c r="G41" s="5" t="s">
        <v>160</v>
      </c>
      <c r="H41" s="5"/>
      <c r="I41" s="5"/>
      <c r="J41" s="5"/>
      <c r="K41" s="5"/>
      <c r="L41" s="5" t="s">
        <v>139</v>
      </c>
      <c r="M41" s="5" t="s">
        <v>139</v>
      </c>
      <c r="N41" s="5"/>
    </row>
    <row r="42" spans="1:14" x14ac:dyDescent="0.45">
      <c r="A42" t="s">
        <v>248</v>
      </c>
      <c r="B42" t="s">
        <v>140</v>
      </c>
      <c r="C42" t="s">
        <v>249</v>
      </c>
      <c r="D42" t="s">
        <v>157</v>
      </c>
      <c r="E42" t="s">
        <v>247</v>
      </c>
      <c r="F42" t="s">
        <v>159</v>
      </c>
      <c r="G42" t="s">
        <v>160</v>
      </c>
      <c r="J42" t="s">
        <v>139</v>
      </c>
      <c r="K42" t="s">
        <v>139</v>
      </c>
      <c r="L42" t="s">
        <v>139</v>
      </c>
      <c r="M42" t="s">
        <v>139</v>
      </c>
    </row>
    <row r="43" spans="1:14" x14ac:dyDescent="0.45">
      <c r="A43" s="5" t="s">
        <v>250</v>
      </c>
      <c r="B43" s="5" t="s">
        <v>140</v>
      </c>
      <c r="C43" s="5" t="s">
        <v>251</v>
      </c>
      <c r="D43" s="5" t="s">
        <v>157</v>
      </c>
      <c r="E43" s="5" t="s">
        <v>252</v>
      </c>
      <c r="F43" s="5" t="s">
        <v>159</v>
      </c>
      <c r="G43" s="5" t="s">
        <v>160</v>
      </c>
      <c r="H43" s="5"/>
      <c r="I43" s="5"/>
      <c r="J43" s="5" t="s">
        <v>139</v>
      </c>
      <c r="K43" s="5"/>
      <c r="L43" s="5" t="s">
        <v>139</v>
      </c>
      <c r="M43" s="5" t="s">
        <v>139</v>
      </c>
      <c r="N43" s="5"/>
    </row>
    <row r="44" spans="1:14" x14ac:dyDescent="0.45">
      <c r="A44" t="s">
        <v>253</v>
      </c>
      <c r="B44" t="s">
        <v>140</v>
      </c>
      <c r="C44" t="s">
        <v>251</v>
      </c>
      <c r="D44" t="s">
        <v>157</v>
      </c>
      <c r="E44" t="s">
        <v>252</v>
      </c>
      <c r="F44" t="s">
        <v>159</v>
      </c>
      <c r="G44" t="s">
        <v>160</v>
      </c>
      <c r="J44" t="s">
        <v>139</v>
      </c>
      <c r="L44" t="s">
        <v>139</v>
      </c>
      <c r="M44" t="s">
        <v>139</v>
      </c>
    </row>
    <row r="45" spans="1:14" x14ac:dyDescent="0.45">
      <c r="A45" s="5" t="s">
        <v>254</v>
      </c>
      <c r="B45" s="5" t="s">
        <v>140</v>
      </c>
      <c r="C45" s="5" t="s">
        <v>255</v>
      </c>
      <c r="D45" s="5" t="s">
        <v>157</v>
      </c>
      <c r="E45" s="5" t="s">
        <v>256</v>
      </c>
      <c r="F45" s="5" t="s">
        <v>159</v>
      </c>
      <c r="G45" s="5" t="s">
        <v>160</v>
      </c>
      <c r="H45" s="5"/>
      <c r="I45" s="5" t="s">
        <v>139</v>
      </c>
      <c r="J45" s="5"/>
      <c r="K45" s="5"/>
      <c r="L45" s="5" t="s">
        <v>139</v>
      </c>
      <c r="M45" s="5" t="s">
        <v>139</v>
      </c>
      <c r="N45" s="5"/>
    </row>
    <row r="46" spans="1:14" x14ac:dyDescent="0.45">
      <c r="A46" t="s">
        <v>257</v>
      </c>
      <c r="B46" t="s">
        <v>140</v>
      </c>
      <c r="C46" t="s">
        <v>258</v>
      </c>
      <c r="D46" t="s">
        <v>157</v>
      </c>
      <c r="E46" t="s">
        <v>242</v>
      </c>
      <c r="F46" t="s">
        <v>159</v>
      </c>
      <c r="G46" t="s">
        <v>160</v>
      </c>
      <c r="I46" t="s">
        <v>139</v>
      </c>
      <c r="J46" t="s">
        <v>139</v>
      </c>
      <c r="L46" t="s">
        <v>139</v>
      </c>
      <c r="M46" t="s">
        <v>139</v>
      </c>
    </row>
    <row r="47" spans="1:14" x14ac:dyDescent="0.45">
      <c r="A47" s="5" t="s">
        <v>259</v>
      </c>
      <c r="B47" s="5" t="s">
        <v>140</v>
      </c>
      <c r="C47" s="5" t="s">
        <v>260</v>
      </c>
      <c r="D47" s="5" t="s">
        <v>157</v>
      </c>
      <c r="E47" s="5" t="s">
        <v>242</v>
      </c>
      <c r="F47" s="5" t="s">
        <v>159</v>
      </c>
      <c r="G47" s="5" t="s">
        <v>160</v>
      </c>
      <c r="H47" s="5"/>
      <c r="I47" s="5"/>
      <c r="J47" s="5"/>
      <c r="K47" s="5"/>
      <c r="L47" s="5" t="s">
        <v>139</v>
      </c>
      <c r="M47" s="5" t="s">
        <v>139</v>
      </c>
      <c r="N47" s="5"/>
    </row>
    <row r="48" spans="1:14" x14ac:dyDescent="0.45">
      <c r="A48" t="s">
        <v>261</v>
      </c>
      <c r="B48" t="s">
        <v>224</v>
      </c>
      <c r="C48" t="s">
        <v>262</v>
      </c>
      <c r="D48" t="s">
        <v>237</v>
      </c>
      <c r="E48" t="s">
        <v>263</v>
      </c>
      <c r="F48" t="s">
        <v>264</v>
      </c>
      <c r="G48" t="s">
        <v>138</v>
      </c>
      <c r="H48" t="s">
        <v>265</v>
      </c>
      <c r="L48" t="s">
        <v>139</v>
      </c>
      <c r="M48" t="s">
        <v>139</v>
      </c>
    </row>
    <row r="49" spans="1:14" x14ac:dyDescent="0.45">
      <c r="A49" s="5" t="s">
        <v>266</v>
      </c>
      <c r="B49" s="5" t="s">
        <v>167</v>
      </c>
      <c r="C49" s="5" t="s">
        <v>267</v>
      </c>
      <c r="D49" s="5" t="s">
        <v>226</v>
      </c>
      <c r="E49" s="5" t="s">
        <v>268</v>
      </c>
      <c r="F49" s="5" t="s">
        <v>269</v>
      </c>
      <c r="G49" s="5" t="s">
        <v>138</v>
      </c>
      <c r="H49" s="5" t="s">
        <v>270</v>
      </c>
      <c r="I49" s="5"/>
      <c r="J49" s="5"/>
      <c r="K49" s="5"/>
      <c r="L49" s="5" t="s">
        <v>139</v>
      </c>
      <c r="M49" s="5" t="s">
        <v>139</v>
      </c>
      <c r="N49" s="5"/>
    </row>
    <row r="50" spans="1:14" x14ac:dyDescent="0.45">
      <c r="A50" s="6" t="s">
        <v>271</v>
      </c>
      <c r="B50" s="7"/>
      <c r="C50" s="7"/>
      <c r="D50" s="7"/>
      <c r="E50" s="7"/>
      <c r="F50" s="7"/>
      <c r="G50" s="7"/>
      <c r="H50" s="7"/>
      <c r="I50" s="7"/>
      <c r="J50" s="7"/>
      <c r="K50" s="7"/>
      <c r="L50" s="7"/>
      <c r="M50" s="7"/>
      <c r="N50" s="7"/>
    </row>
    <row r="51" spans="1:14" x14ac:dyDescent="0.45">
      <c r="A51" t="s">
        <v>272</v>
      </c>
      <c r="B51" t="s">
        <v>224</v>
      </c>
      <c r="C51" t="s">
        <v>273</v>
      </c>
      <c r="D51" t="s">
        <v>274</v>
      </c>
      <c r="E51" t="s">
        <v>275</v>
      </c>
      <c r="F51" t="s">
        <v>276</v>
      </c>
      <c r="G51" t="s">
        <v>145</v>
      </c>
      <c r="L51" t="s">
        <v>139</v>
      </c>
      <c r="M51" t="s">
        <v>139</v>
      </c>
    </row>
    <row r="52" spans="1:14" x14ac:dyDescent="0.45">
      <c r="A52" s="5" t="s">
        <v>277</v>
      </c>
      <c r="B52" s="5" t="s">
        <v>224</v>
      </c>
      <c r="C52" s="5" t="s">
        <v>273</v>
      </c>
      <c r="D52" s="5" t="s">
        <v>274</v>
      </c>
      <c r="E52" s="5" t="s">
        <v>275</v>
      </c>
      <c r="F52" s="5" t="s">
        <v>278</v>
      </c>
      <c r="G52" s="5" t="s">
        <v>145</v>
      </c>
      <c r="H52" s="5"/>
      <c r="I52" s="5"/>
      <c r="J52" s="5"/>
      <c r="K52" s="5"/>
      <c r="L52" s="5" t="s">
        <v>139</v>
      </c>
      <c r="M52" s="5" t="s">
        <v>139</v>
      </c>
      <c r="N52" s="5"/>
    </row>
    <row r="53" spans="1:14" x14ac:dyDescent="0.45">
      <c r="A53" t="s">
        <v>279</v>
      </c>
      <c r="B53" t="s">
        <v>280</v>
      </c>
      <c r="C53" t="s">
        <v>273</v>
      </c>
      <c r="D53" t="s">
        <v>169</v>
      </c>
      <c r="E53" t="s">
        <v>281</v>
      </c>
      <c r="F53" t="s">
        <v>282</v>
      </c>
      <c r="G53" t="s">
        <v>145</v>
      </c>
      <c r="L53" t="s">
        <v>139</v>
      </c>
      <c r="M53" t="s">
        <v>139</v>
      </c>
    </row>
    <row r="54" spans="1:14" x14ac:dyDescent="0.45">
      <c r="A54" s="5" t="s">
        <v>283</v>
      </c>
      <c r="B54" s="5" t="s">
        <v>280</v>
      </c>
      <c r="C54" s="5" t="s">
        <v>273</v>
      </c>
      <c r="D54" s="5" t="s">
        <v>169</v>
      </c>
      <c r="E54" s="5" t="s">
        <v>284</v>
      </c>
      <c r="F54" s="5" t="s">
        <v>285</v>
      </c>
      <c r="G54" s="5" t="s">
        <v>145</v>
      </c>
      <c r="H54" s="5"/>
      <c r="I54" s="5"/>
      <c r="J54" s="5"/>
      <c r="K54" s="5"/>
      <c r="L54" s="5" t="s">
        <v>139</v>
      </c>
      <c r="M54" s="5" t="s">
        <v>139</v>
      </c>
      <c r="N54" s="5"/>
    </row>
    <row r="55" spans="1:14" x14ac:dyDescent="0.45">
      <c r="A55" t="s">
        <v>286</v>
      </c>
      <c r="B55" t="s">
        <v>280</v>
      </c>
      <c r="C55" t="s">
        <v>273</v>
      </c>
      <c r="D55" t="s">
        <v>169</v>
      </c>
      <c r="E55" t="s">
        <v>287</v>
      </c>
      <c r="F55" t="s">
        <v>288</v>
      </c>
      <c r="G55" t="s">
        <v>145</v>
      </c>
      <c r="L55" t="s">
        <v>139</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t="s">
        <v>139</v>
      </c>
      <c r="M57" s="5" t="s">
        <v>139</v>
      </c>
      <c r="N57" s="5"/>
    </row>
    <row r="58" spans="1:14" x14ac:dyDescent="0.45">
      <c r="A58" t="s">
        <v>294</v>
      </c>
      <c r="B58" t="s">
        <v>140</v>
      </c>
      <c r="C58" t="s">
        <v>291</v>
      </c>
      <c r="D58" t="s">
        <v>292</v>
      </c>
      <c r="E58" t="s">
        <v>295</v>
      </c>
      <c r="F58" t="s">
        <v>159</v>
      </c>
      <c r="G58" t="s">
        <v>160</v>
      </c>
      <c r="I58" t="s">
        <v>139</v>
      </c>
      <c r="J58" t="s">
        <v>139</v>
      </c>
      <c r="L58" t="s">
        <v>139</v>
      </c>
      <c r="M58" t="s">
        <v>139</v>
      </c>
    </row>
    <row r="59" spans="1:14" x14ac:dyDescent="0.45">
      <c r="A59" s="5" t="s">
        <v>296</v>
      </c>
      <c r="B59" s="5" t="s">
        <v>133</v>
      </c>
      <c r="C59" s="5" t="s">
        <v>297</v>
      </c>
      <c r="D59" s="5" t="s">
        <v>237</v>
      </c>
      <c r="E59" s="5" t="s">
        <v>298</v>
      </c>
      <c r="F59" s="5" t="s">
        <v>299</v>
      </c>
      <c r="G59" s="5" t="s">
        <v>138</v>
      </c>
      <c r="H59" s="5"/>
      <c r="I59" s="5" t="s">
        <v>139</v>
      </c>
      <c r="J59" s="5" t="s">
        <v>139</v>
      </c>
      <c r="K59" s="5" t="s">
        <v>139</v>
      </c>
      <c r="L59" s="5" t="s">
        <v>139</v>
      </c>
      <c r="M59" s="5" t="s">
        <v>139</v>
      </c>
      <c r="N59" s="5"/>
    </row>
    <row r="60" spans="1:14" x14ac:dyDescent="0.45">
      <c r="A60" t="s">
        <v>300</v>
      </c>
      <c r="B60" t="s">
        <v>140</v>
      </c>
      <c r="C60" t="s">
        <v>301</v>
      </c>
      <c r="D60" t="s">
        <v>135</v>
      </c>
      <c r="E60" t="s">
        <v>302</v>
      </c>
      <c r="F60" t="s">
        <v>159</v>
      </c>
      <c r="G60" t="s">
        <v>160</v>
      </c>
      <c r="J60" t="s">
        <v>139</v>
      </c>
      <c r="L60" t="s">
        <v>139</v>
      </c>
      <c r="M60" t="s">
        <v>139</v>
      </c>
    </row>
    <row r="61" spans="1:14" x14ac:dyDescent="0.45">
      <c r="A61" s="5" t="s">
        <v>303</v>
      </c>
      <c r="B61" s="5" t="s">
        <v>140</v>
      </c>
      <c r="C61" s="5" t="s">
        <v>304</v>
      </c>
      <c r="D61" s="5" t="s">
        <v>135</v>
      </c>
      <c r="E61" s="5" t="s">
        <v>305</v>
      </c>
      <c r="F61" s="5" t="s">
        <v>159</v>
      </c>
      <c r="G61" s="5" t="s">
        <v>160</v>
      </c>
      <c r="H61" s="5"/>
      <c r="I61" s="5"/>
      <c r="J61" s="5" t="s">
        <v>139</v>
      </c>
      <c r="K61" s="5"/>
      <c r="L61" s="5" t="s">
        <v>139</v>
      </c>
      <c r="M61" s="5" t="s">
        <v>139</v>
      </c>
      <c r="N61" s="5"/>
    </row>
    <row r="62" spans="1:14" x14ac:dyDescent="0.45">
      <c r="A62" t="s">
        <v>306</v>
      </c>
      <c r="B62" t="s">
        <v>307</v>
      </c>
      <c r="C62" t="s">
        <v>308</v>
      </c>
      <c r="D62" t="s">
        <v>237</v>
      </c>
      <c r="E62" t="s">
        <v>298</v>
      </c>
      <c r="F62" t="s">
        <v>309</v>
      </c>
      <c r="G62" t="s">
        <v>138</v>
      </c>
      <c r="H62" t="s">
        <v>310</v>
      </c>
      <c r="I62" t="s">
        <v>139</v>
      </c>
      <c r="J62" t="s">
        <v>139</v>
      </c>
      <c r="M62" t="s">
        <v>139</v>
      </c>
    </row>
    <row r="63" spans="1:14" x14ac:dyDescent="0.45">
      <c r="A63" s="5" t="s">
        <v>311</v>
      </c>
      <c r="B63" s="5" t="s">
        <v>140</v>
      </c>
      <c r="C63" s="5" t="s">
        <v>312</v>
      </c>
      <c r="D63" s="5" t="s">
        <v>135</v>
      </c>
      <c r="E63" s="5" t="s">
        <v>313</v>
      </c>
      <c r="F63" s="5" t="s">
        <v>159</v>
      </c>
      <c r="G63" s="5" t="s">
        <v>160</v>
      </c>
      <c r="H63" s="5"/>
      <c r="I63" s="5" t="s">
        <v>139</v>
      </c>
      <c r="J63" s="5" t="s">
        <v>139</v>
      </c>
      <c r="K63" s="5"/>
      <c r="L63" s="5"/>
      <c r="M63" s="5" t="s">
        <v>139</v>
      </c>
      <c r="N63" s="5"/>
    </row>
    <row r="64" spans="1:14" x14ac:dyDescent="0.45">
      <c r="A64" t="s">
        <v>314</v>
      </c>
      <c r="B64" t="s">
        <v>140</v>
      </c>
      <c r="C64" t="s">
        <v>315</v>
      </c>
      <c r="D64" t="s">
        <v>135</v>
      </c>
      <c r="E64" t="s">
        <v>316</v>
      </c>
      <c r="F64" t="s">
        <v>159</v>
      </c>
      <c r="G64" t="s">
        <v>160</v>
      </c>
      <c r="J64" t="s">
        <v>139</v>
      </c>
      <c r="M64" t="s">
        <v>139</v>
      </c>
    </row>
    <row r="65" spans="1:14" x14ac:dyDescent="0.45">
      <c r="A65" s="5" t="s">
        <v>317</v>
      </c>
      <c r="B65" s="5" t="s">
        <v>224</v>
      </c>
      <c r="C65" s="5" t="s">
        <v>318</v>
      </c>
      <c r="D65" s="5" t="s">
        <v>237</v>
      </c>
      <c r="E65" s="5" t="s">
        <v>298</v>
      </c>
      <c r="F65" s="5" t="s">
        <v>319</v>
      </c>
      <c r="G65" s="5" t="s">
        <v>138</v>
      </c>
      <c r="H65" s="5"/>
      <c r="I65" s="5" t="s">
        <v>139</v>
      </c>
      <c r="J65" s="5" t="s">
        <v>139</v>
      </c>
      <c r="K65" s="5"/>
      <c r="L65" s="5" t="s">
        <v>139</v>
      </c>
      <c r="M65" s="5" t="s">
        <v>139</v>
      </c>
      <c r="N65" s="5"/>
    </row>
    <row r="66" spans="1:14" x14ac:dyDescent="0.45">
      <c r="A66" t="s">
        <v>320</v>
      </c>
      <c r="B66" t="s">
        <v>140</v>
      </c>
      <c r="C66" t="s">
        <v>321</v>
      </c>
      <c r="D66" t="s">
        <v>135</v>
      </c>
      <c r="E66" t="s">
        <v>322</v>
      </c>
      <c r="F66" t="s">
        <v>159</v>
      </c>
      <c r="G66" t="s">
        <v>160</v>
      </c>
      <c r="L66" t="s">
        <v>139</v>
      </c>
      <c r="M66" t="s">
        <v>139</v>
      </c>
    </row>
    <row r="67" spans="1:14" x14ac:dyDescent="0.45">
      <c r="A67" s="5" t="s">
        <v>323</v>
      </c>
      <c r="B67" s="5" t="s">
        <v>140</v>
      </c>
      <c r="C67" s="5" t="s">
        <v>324</v>
      </c>
      <c r="D67" s="5" t="s">
        <v>135</v>
      </c>
      <c r="E67" s="5" t="s">
        <v>325</v>
      </c>
      <c r="F67" s="5" t="s">
        <v>159</v>
      </c>
      <c r="G67" s="5" t="s">
        <v>160</v>
      </c>
      <c r="H67" s="5"/>
      <c r="I67" s="5"/>
      <c r="J67" s="5"/>
      <c r="K67" s="5"/>
      <c r="L67" s="5" t="s">
        <v>139</v>
      </c>
      <c r="M67" s="5" t="s">
        <v>139</v>
      </c>
      <c r="N67" s="5"/>
    </row>
    <row r="68" spans="1:14" x14ac:dyDescent="0.45">
      <c r="A68" t="s">
        <v>326</v>
      </c>
      <c r="B68" t="s">
        <v>140</v>
      </c>
      <c r="C68" t="s">
        <v>327</v>
      </c>
      <c r="D68" t="s">
        <v>135</v>
      </c>
      <c r="E68" t="s">
        <v>328</v>
      </c>
      <c r="F68" t="s">
        <v>159</v>
      </c>
      <c r="G68" t="s">
        <v>160</v>
      </c>
      <c r="I68" t="s">
        <v>139</v>
      </c>
      <c r="J68" t="s">
        <v>139</v>
      </c>
      <c r="L68" t="s">
        <v>139</v>
      </c>
      <c r="M68" t="s">
        <v>139</v>
      </c>
    </row>
    <row r="69" spans="1:14" x14ac:dyDescent="0.45">
      <c r="A69" s="6" t="s">
        <v>329</v>
      </c>
      <c r="B69" s="7"/>
      <c r="C69" s="7"/>
      <c r="D69" s="7"/>
      <c r="E69" s="7"/>
      <c r="F69" s="7"/>
      <c r="G69" s="7"/>
      <c r="H69" s="7"/>
      <c r="I69" s="7"/>
      <c r="J69" s="7"/>
      <c r="K69" s="7"/>
      <c r="L69" s="7"/>
      <c r="M69" s="7"/>
      <c r="N69" s="7"/>
    </row>
    <row r="70" spans="1:14" x14ac:dyDescent="0.45">
      <c r="A70" s="5" t="s">
        <v>330</v>
      </c>
      <c r="B70" s="5" t="s">
        <v>133</v>
      </c>
      <c r="C70" s="5" t="s">
        <v>331</v>
      </c>
      <c r="D70" s="5" t="s">
        <v>237</v>
      </c>
      <c r="E70" s="5" t="s">
        <v>332</v>
      </c>
      <c r="F70" s="5" t="s">
        <v>237</v>
      </c>
      <c r="G70" s="5" t="s">
        <v>138</v>
      </c>
      <c r="H70" s="5"/>
      <c r="I70" s="5" t="s">
        <v>139</v>
      </c>
      <c r="J70" s="5" t="s">
        <v>139</v>
      </c>
      <c r="K70" s="5"/>
      <c r="L70" s="5" t="s">
        <v>139</v>
      </c>
      <c r="M70" s="5" t="s">
        <v>139</v>
      </c>
      <c r="N70" s="5"/>
    </row>
    <row r="71" spans="1:14" x14ac:dyDescent="0.45">
      <c r="A71" t="s">
        <v>333</v>
      </c>
      <c r="B71" t="s">
        <v>140</v>
      </c>
      <c r="C71" t="s">
        <v>334</v>
      </c>
      <c r="D71" t="s">
        <v>335</v>
      </c>
      <c r="E71" t="s">
        <v>336</v>
      </c>
      <c r="F71" t="s">
        <v>159</v>
      </c>
      <c r="G71" t="s">
        <v>160</v>
      </c>
      <c r="I71" t="s">
        <v>139</v>
      </c>
      <c r="J71" t="s">
        <v>139</v>
      </c>
      <c r="L71" t="s">
        <v>139</v>
      </c>
      <c r="M71" t="s">
        <v>139</v>
      </c>
    </row>
    <row r="72" spans="1:14" x14ac:dyDescent="0.45">
      <c r="A72" s="5" t="s">
        <v>337</v>
      </c>
      <c r="B72" s="5" t="s">
        <v>140</v>
      </c>
      <c r="C72" s="5" t="s">
        <v>338</v>
      </c>
      <c r="D72" s="5" t="s">
        <v>335</v>
      </c>
      <c r="E72" s="5" t="s">
        <v>339</v>
      </c>
      <c r="F72" s="5" t="s">
        <v>159</v>
      </c>
      <c r="G72" s="5" t="s">
        <v>160</v>
      </c>
      <c r="H72" s="5"/>
      <c r="I72" s="5" t="s">
        <v>139</v>
      </c>
      <c r="J72" s="5" t="s">
        <v>139</v>
      </c>
      <c r="K72" s="5"/>
      <c r="L72" s="5" t="s">
        <v>139</v>
      </c>
      <c r="M72" s="5" t="s">
        <v>139</v>
      </c>
      <c r="N72" s="5"/>
    </row>
    <row r="73" spans="1:14" x14ac:dyDescent="0.45">
      <c r="A73" t="s">
        <v>340</v>
      </c>
      <c r="B73" t="s">
        <v>140</v>
      </c>
      <c r="C73" t="s">
        <v>341</v>
      </c>
      <c r="D73" t="s">
        <v>335</v>
      </c>
      <c r="E73" t="s">
        <v>342</v>
      </c>
      <c r="F73" t="s">
        <v>159</v>
      </c>
      <c r="G73" t="s">
        <v>160</v>
      </c>
      <c r="I73" t="s">
        <v>139</v>
      </c>
      <c r="J73" t="s">
        <v>139</v>
      </c>
      <c r="L73" t="s">
        <v>139</v>
      </c>
      <c r="M73" t="s">
        <v>139</v>
      </c>
    </row>
    <row r="74" spans="1:14" x14ac:dyDescent="0.45">
      <c r="A74" s="5" t="s">
        <v>343</v>
      </c>
      <c r="B74" s="5" t="s">
        <v>140</v>
      </c>
      <c r="C74" s="5" t="s">
        <v>344</v>
      </c>
      <c r="D74" s="5" t="s">
        <v>135</v>
      </c>
      <c r="E74" s="5" t="s">
        <v>345</v>
      </c>
      <c r="F74" s="5" t="s">
        <v>159</v>
      </c>
      <c r="G74" s="5" t="s">
        <v>138</v>
      </c>
      <c r="H74" s="5"/>
      <c r="I74" s="5" t="s">
        <v>139</v>
      </c>
      <c r="J74" s="5" t="s">
        <v>139</v>
      </c>
      <c r="K74" s="5"/>
      <c r="L74" s="5" t="s">
        <v>139</v>
      </c>
      <c r="M74" s="5" t="s">
        <v>139</v>
      </c>
      <c r="N74" s="5"/>
    </row>
    <row r="75" spans="1:14" x14ac:dyDescent="0.45">
      <c r="A75" t="s">
        <v>346</v>
      </c>
      <c r="B75" t="s">
        <v>140</v>
      </c>
      <c r="C75" t="s">
        <v>347</v>
      </c>
      <c r="D75" t="s">
        <v>135</v>
      </c>
      <c r="E75" t="s">
        <v>345</v>
      </c>
      <c r="F75" t="s">
        <v>159</v>
      </c>
      <c r="G75" t="s">
        <v>138</v>
      </c>
      <c r="I75" t="s">
        <v>139</v>
      </c>
      <c r="J75" t="s">
        <v>139</v>
      </c>
      <c r="L75" t="s">
        <v>139</v>
      </c>
      <c r="M75" t="s">
        <v>139</v>
      </c>
    </row>
    <row r="76" spans="1:14" x14ac:dyDescent="0.45">
      <c r="A76" s="5" t="s">
        <v>348</v>
      </c>
      <c r="B76" s="5" t="s">
        <v>140</v>
      </c>
      <c r="C76" s="5" t="s">
        <v>349</v>
      </c>
      <c r="D76" s="5" t="s">
        <v>335</v>
      </c>
      <c r="E76" s="5" t="s">
        <v>350</v>
      </c>
      <c r="F76" s="5" t="s">
        <v>159</v>
      </c>
      <c r="G76" s="5" t="s">
        <v>160</v>
      </c>
      <c r="H76" s="5"/>
      <c r="I76" s="5" t="s">
        <v>139</v>
      </c>
      <c r="J76" s="5" t="s">
        <v>139</v>
      </c>
      <c r="K76" s="5"/>
      <c r="L76" s="5"/>
      <c r="M76" s="5" t="s">
        <v>139</v>
      </c>
      <c r="N76" s="5"/>
    </row>
    <row r="77" spans="1:14" x14ac:dyDescent="0.45">
      <c r="A77" t="s">
        <v>351</v>
      </c>
      <c r="B77" t="s">
        <v>224</v>
      </c>
      <c r="C77" t="s">
        <v>352</v>
      </c>
      <c r="D77" t="s">
        <v>237</v>
      </c>
      <c r="E77" t="s">
        <v>353</v>
      </c>
      <c r="F77" t="s">
        <v>237</v>
      </c>
      <c r="G77" t="s">
        <v>138</v>
      </c>
      <c r="I77" t="s">
        <v>139</v>
      </c>
      <c r="J77" t="s">
        <v>139</v>
      </c>
      <c r="L77" t="s">
        <v>139</v>
      </c>
      <c r="M77" t="s">
        <v>139</v>
      </c>
    </row>
    <row r="78" spans="1:14" x14ac:dyDescent="0.45">
      <c r="A78" s="5" t="s">
        <v>354</v>
      </c>
      <c r="B78" s="5" t="s">
        <v>140</v>
      </c>
      <c r="C78" s="5" t="s">
        <v>355</v>
      </c>
      <c r="D78" s="5" t="s">
        <v>335</v>
      </c>
      <c r="E78" s="5" t="s">
        <v>356</v>
      </c>
      <c r="F78" s="5" t="s">
        <v>159</v>
      </c>
      <c r="G78" s="5" t="s">
        <v>160</v>
      </c>
      <c r="H78" s="5" t="s">
        <v>357</v>
      </c>
      <c r="I78" s="5" t="s">
        <v>139</v>
      </c>
      <c r="J78" s="5" t="s">
        <v>139</v>
      </c>
      <c r="K78" s="5"/>
      <c r="L78" s="5" t="s">
        <v>139</v>
      </c>
      <c r="M78" s="5" t="s">
        <v>139</v>
      </c>
      <c r="N78" s="5"/>
    </row>
    <row r="79" spans="1:14" x14ac:dyDescent="0.45">
      <c r="A79" s="6" t="s">
        <v>358</v>
      </c>
      <c r="B79" s="7"/>
      <c r="C79" s="7"/>
      <c r="D79" s="7"/>
      <c r="E79" s="7"/>
      <c r="F79" s="7"/>
      <c r="G79" s="7"/>
      <c r="H79" s="7"/>
      <c r="I79" s="7"/>
      <c r="J79" s="7"/>
      <c r="K79" s="7"/>
      <c r="L79" s="7"/>
      <c r="M79" s="7"/>
      <c r="N79" s="7"/>
    </row>
    <row r="80" spans="1:14" x14ac:dyDescent="0.45">
      <c r="A80" t="s">
        <v>359</v>
      </c>
      <c r="B80" t="s">
        <v>140</v>
      </c>
      <c r="C80" t="s">
        <v>360</v>
      </c>
      <c r="D80" t="s">
        <v>237</v>
      </c>
      <c r="E80" t="s">
        <v>361</v>
      </c>
      <c r="F80" t="s">
        <v>362</v>
      </c>
      <c r="G80" t="s">
        <v>363</v>
      </c>
      <c r="J80" t="s">
        <v>139</v>
      </c>
      <c r="K80" t="s">
        <v>139</v>
      </c>
      <c r="M80" t="s">
        <v>139</v>
      </c>
    </row>
    <row r="81" spans="1:14" x14ac:dyDescent="0.45">
      <c r="A81" s="5" t="s">
        <v>364</v>
      </c>
      <c r="B81" s="5" t="s">
        <v>133</v>
      </c>
      <c r="C81" s="5" t="s">
        <v>365</v>
      </c>
      <c r="D81" s="5" t="s">
        <v>237</v>
      </c>
      <c r="E81" s="5" t="s">
        <v>366</v>
      </c>
      <c r="F81" s="5" t="s">
        <v>367</v>
      </c>
      <c r="G81" s="5" t="s">
        <v>138</v>
      </c>
      <c r="H81" s="5"/>
      <c r="I81" s="5"/>
      <c r="J81" s="5" t="s">
        <v>139</v>
      </c>
      <c r="K81" s="5"/>
      <c r="L81" s="5"/>
      <c r="M81" s="5" t="s">
        <v>139</v>
      </c>
      <c r="N81" s="5"/>
    </row>
    <row r="82" spans="1:14" x14ac:dyDescent="0.45">
      <c r="A82" t="s">
        <v>368</v>
      </c>
      <c r="B82" t="s">
        <v>140</v>
      </c>
      <c r="C82" t="s">
        <v>369</v>
      </c>
      <c r="D82" t="s">
        <v>237</v>
      </c>
      <c r="E82" t="s">
        <v>370</v>
      </c>
      <c r="F82" t="s">
        <v>371</v>
      </c>
      <c r="G82" t="s">
        <v>138</v>
      </c>
      <c r="J82" t="s">
        <v>139</v>
      </c>
      <c r="L82" t="s">
        <v>139</v>
      </c>
      <c r="M82" t="s">
        <v>139</v>
      </c>
    </row>
    <row r="83" spans="1:14" x14ac:dyDescent="0.45">
      <c r="A83" s="5" t="s">
        <v>372</v>
      </c>
      <c r="B83" s="5" t="s">
        <v>133</v>
      </c>
      <c r="C83" s="5" t="s">
        <v>373</v>
      </c>
      <c r="D83" s="5" t="s">
        <v>237</v>
      </c>
      <c r="E83" s="5" t="s">
        <v>374</v>
      </c>
      <c r="F83" s="5" t="s">
        <v>375</v>
      </c>
      <c r="G83" s="5" t="s">
        <v>138</v>
      </c>
      <c r="H83" s="5"/>
      <c r="I83" s="5"/>
      <c r="J83" s="5"/>
      <c r="K83" s="5"/>
      <c r="L83" s="5" t="s">
        <v>139</v>
      </c>
      <c r="M83" s="5" t="s">
        <v>139</v>
      </c>
      <c r="N83" s="5"/>
    </row>
  </sheetData>
  <mergeCells count="12">
    <mergeCell ref="B4:N4"/>
    <mergeCell ref="A7:N7"/>
    <mergeCell ref="B3:N3"/>
    <mergeCell ref="B2:N2"/>
    <mergeCell ref="A1:N1"/>
    <mergeCell ref="A56:N56"/>
    <mergeCell ref="B5:N5"/>
    <mergeCell ref="A31:N31"/>
    <mergeCell ref="A79:N79"/>
    <mergeCell ref="A69:N69"/>
    <mergeCell ref="A12:N12"/>
    <mergeCell ref="A50:N50"/>
  </mergeCells>
  <dataValidations count="1">
    <dataValidation type="list" allowBlank="1" errorTitle="Invalid Review Status" error="Choose a review status from the list." sqref="N2:N83" xr:uid="{00000000-0002-0000-03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83"/>
  <sheetViews>
    <sheetView workbookViewId="0">
      <pane ySplit="6" topLeftCell="A7" activePane="bottomLeft" state="frozen"/>
      <selection pane="bottomLeft"/>
    </sheetView>
  </sheetViews>
  <sheetFormatPr defaultRowHeight="14.25" x14ac:dyDescent="0.45"/>
  <cols>
    <col min="1" max="1" width="50" customWidth="1"/>
    <col min="2" max="2" width="21" customWidth="1"/>
    <col min="3" max="6" width="50" customWidth="1"/>
    <col min="7" max="7" width="15"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377</v>
      </c>
      <c r="B1" s="7"/>
      <c r="C1" s="7"/>
      <c r="D1" s="7"/>
      <c r="E1" s="7"/>
      <c r="F1" s="7"/>
      <c r="G1" s="7"/>
      <c r="H1" s="7"/>
      <c r="I1" s="7"/>
      <c r="J1" s="7"/>
      <c r="K1" s="7"/>
      <c r="L1" s="7"/>
      <c r="M1" s="7"/>
      <c r="N1" s="7"/>
    </row>
    <row r="2" spans="1:14" x14ac:dyDescent="0.45">
      <c r="A2" s="4" t="s">
        <v>18</v>
      </c>
      <c r="B2" s="7" t="s">
        <v>26</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26</v>
      </c>
      <c r="C4" s="7"/>
      <c r="D4" s="7"/>
      <c r="E4" s="7"/>
      <c r="F4" s="7"/>
      <c r="G4" s="7"/>
      <c r="H4" s="7"/>
      <c r="I4" s="7"/>
      <c r="J4" s="7"/>
      <c r="K4" s="7"/>
      <c r="L4" s="7"/>
      <c r="M4" s="7"/>
      <c r="N4" s="7"/>
    </row>
    <row r="5" spans="1:14" x14ac:dyDescent="0.45">
      <c r="A5" s="4" t="s">
        <v>21</v>
      </c>
      <c r="B5" s="7" t="s">
        <v>28</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133</v>
      </c>
      <c r="C8" t="s">
        <v>134</v>
      </c>
      <c r="D8" t="s">
        <v>135</v>
      </c>
      <c r="E8" t="s">
        <v>136</v>
      </c>
      <c r="F8" t="s">
        <v>137</v>
      </c>
      <c r="G8" t="s">
        <v>138</v>
      </c>
      <c r="I8" t="s">
        <v>139</v>
      </c>
      <c r="J8" t="s">
        <v>139</v>
      </c>
      <c r="K8" t="s">
        <v>139</v>
      </c>
      <c r="M8" t="s">
        <v>139</v>
      </c>
    </row>
    <row r="9" spans="1:14" x14ac:dyDescent="0.45">
      <c r="A9" s="5" t="s">
        <v>20</v>
      </c>
      <c r="B9" s="5" t="s">
        <v>140</v>
      </c>
      <c r="C9" s="5" t="s">
        <v>141</v>
      </c>
      <c r="D9" s="5" t="s">
        <v>142</v>
      </c>
      <c r="E9" s="5" t="s">
        <v>143</v>
      </c>
      <c r="F9" s="5" t="s">
        <v>144</v>
      </c>
      <c r="G9" s="5" t="s">
        <v>145</v>
      </c>
      <c r="H9" s="5"/>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5" t="s">
        <v>149</v>
      </c>
      <c r="B11" s="5" t="s">
        <v>133</v>
      </c>
      <c r="C11" s="5" t="s">
        <v>150</v>
      </c>
      <c r="D11" s="5" t="s">
        <v>151</v>
      </c>
      <c r="E11" s="5" t="s">
        <v>152</v>
      </c>
      <c r="F11" s="5" t="s">
        <v>153</v>
      </c>
      <c r="G11" s="5" t="s">
        <v>138</v>
      </c>
      <c r="H11" s="5"/>
      <c r="I11" s="5" t="s">
        <v>139</v>
      </c>
      <c r="J11" s="5" t="s">
        <v>139</v>
      </c>
      <c r="K11" s="5"/>
      <c r="L11" s="5"/>
      <c r="M11" s="5" t="s">
        <v>139</v>
      </c>
      <c r="N11" s="5"/>
    </row>
    <row r="12" spans="1:14" x14ac:dyDescent="0.45">
      <c r="A12" s="6" t="s">
        <v>154</v>
      </c>
      <c r="B12" s="7"/>
      <c r="C12" s="7"/>
      <c r="D12" s="7"/>
      <c r="E12" s="7"/>
      <c r="F12" s="7"/>
      <c r="G12" s="7"/>
      <c r="H12" s="7"/>
      <c r="I12" s="7"/>
      <c r="J12" s="7"/>
      <c r="K12" s="7"/>
      <c r="L12" s="7"/>
      <c r="M12" s="7"/>
      <c r="N12" s="7"/>
    </row>
    <row r="13" spans="1:14" x14ac:dyDescent="0.45">
      <c r="A13" t="s">
        <v>155</v>
      </c>
      <c r="B13" t="s">
        <v>140</v>
      </c>
      <c r="C13" t="s">
        <v>156</v>
      </c>
      <c r="D13" t="s">
        <v>157</v>
      </c>
      <c r="E13" t="s">
        <v>158</v>
      </c>
      <c r="F13" t="s">
        <v>159</v>
      </c>
      <c r="G13" t="s">
        <v>160</v>
      </c>
      <c r="J13" t="s">
        <v>139</v>
      </c>
      <c r="M13" t="s">
        <v>139</v>
      </c>
    </row>
    <row r="14" spans="1:14" x14ac:dyDescent="0.45">
      <c r="A14" s="5" t="s">
        <v>161</v>
      </c>
      <c r="B14" s="5" t="s">
        <v>140</v>
      </c>
      <c r="C14" s="5" t="s">
        <v>156</v>
      </c>
      <c r="D14" s="5" t="s">
        <v>157</v>
      </c>
      <c r="E14" s="5" t="s">
        <v>162</v>
      </c>
      <c r="F14" s="5" t="s">
        <v>159</v>
      </c>
      <c r="G14" s="5" t="s">
        <v>160</v>
      </c>
      <c r="H14" s="5"/>
      <c r="I14" s="5"/>
      <c r="J14" s="5" t="s">
        <v>139</v>
      </c>
      <c r="K14" s="5"/>
      <c r="L14" s="5"/>
      <c r="M14" s="5" t="s">
        <v>139</v>
      </c>
      <c r="N14" s="5"/>
    </row>
    <row r="15" spans="1:14" x14ac:dyDescent="0.45">
      <c r="A15" t="s">
        <v>163</v>
      </c>
      <c r="B15" t="s">
        <v>140</v>
      </c>
      <c r="C15" t="s">
        <v>164</v>
      </c>
      <c r="D15" t="s">
        <v>157</v>
      </c>
      <c r="E15" t="s">
        <v>165</v>
      </c>
      <c r="F15" t="s">
        <v>159</v>
      </c>
      <c r="G15" t="s">
        <v>160</v>
      </c>
      <c r="M15" t="s">
        <v>139</v>
      </c>
    </row>
    <row r="16" spans="1:14" x14ac:dyDescent="0.45">
      <c r="A16" s="5" t="s">
        <v>166</v>
      </c>
      <c r="B16" s="5" t="s">
        <v>167</v>
      </c>
      <c r="C16" s="5" t="s">
        <v>168</v>
      </c>
      <c r="D16" s="5" t="s">
        <v>169</v>
      </c>
      <c r="E16" s="5" t="s">
        <v>170</v>
      </c>
      <c r="F16" s="5" t="s">
        <v>171</v>
      </c>
      <c r="G16" s="5" t="s">
        <v>138</v>
      </c>
      <c r="H16" s="5"/>
      <c r="I16" s="5"/>
      <c r="J16" s="5"/>
      <c r="K16" s="5"/>
      <c r="L16" s="5"/>
      <c r="M16" s="5" t="s">
        <v>139</v>
      </c>
      <c r="N16" s="5"/>
    </row>
    <row r="17" spans="1:14" x14ac:dyDescent="0.45">
      <c r="A17" t="s">
        <v>172</v>
      </c>
      <c r="B17" t="s">
        <v>133</v>
      </c>
      <c r="C17" t="s">
        <v>168</v>
      </c>
      <c r="D17" t="s">
        <v>169</v>
      </c>
      <c r="E17" t="s">
        <v>170</v>
      </c>
      <c r="F17" t="s">
        <v>173</v>
      </c>
      <c r="G17" t="s">
        <v>138</v>
      </c>
      <c r="M17" t="s">
        <v>139</v>
      </c>
    </row>
    <row r="18" spans="1:14" x14ac:dyDescent="0.45">
      <c r="A18" s="5" t="s">
        <v>174</v>
      </c>
      <c r="B18" s="5" t="s">
        <v>167</v>
      </c>
      <c r="C18" s="5" t="s">
        <v>175</v>
      </c>
      <c r="D18" s="5" t="s">
        <v>169</v>
      </c>
      <c r="E18" s="5" t="s">
        <v>176</v>
      </c>
      <c r="F18" s="5" t="s">
        <v>177</v>
      </c>
      <c r="G18" s="5" t="s">
        <v>138</v>
      </c>
      <c r="H18" s="5"/>
      <c r="I18" s="5"/>
      <c r="J18" s="5"/>
      <c r="K18" s="5"/>
      <c r="L18" s="5"/>
      <c r="M18" s="5" t="s">
        <v>139</v>
      </c>
      <c r="N18" s="5"/>
    </row>
    <row r="19" spans="1:14" x14ac:dyDescent="0.45">
      <c r="A19" t="s">
        <v>178</v>
      </c>
      <c r="B19" t="s">
        <v>140</v>
      </c>
      <c r="C19" t="s">
        <v>179</v>
      </c>
      <c r="D19" t="s">
        <v>157</v>
      </c>
      <c r="E19" t="s">
        <v>180</v>
      </c>
      <c r="F19" t="s">
        <v>159</v>
      </c>
      <c r="G19" t="s">
        <v>160</v>
      </c>
      <c r="K19" t="s">
        <v>139</v>
      </c>
      <c r="M19" t="s">
        <v>139</v>
      </c>
    </row>
    <row r="20" spans="1:14" x14ac:dyDescent="0.45">
      <c r="A20" s="5" t="s">
        <v>181</v>
      </c>
      <c r="B20" s="5" t="s">
        <v>140</v>
      </c>
      <c r="C20" s="5" t="s">
        <v>179</v>
      </c>
      <c r="D20" s="5" t="s">
        <v>157</v>
      </c>
      <c r="E20" s="5" t="s">
        <v>180</v>
      </c>
      <c r="F20" s="5" t="s">
        <v>159</v>
      </c>
      <c r="G20" s="5" t="s">
        <v>160</v>
      </c>
      <c r="H20" s="5"/>
      <c r="I20" s="5"/>
      <c r="J20" s="5"/>
      <c r="K20" s="5" t="s">
        <v>139</v>
      </c>
      <c r="L20" s="5"/>
      <c r="M20" s="5" t="s">
        <v>139</v>
      </c>
      <c r="N20" s="5"/>
    </row>
    <row r="21" spans="1:14" x14ac:dyDescent="0.45">
      <c r="A21" t="s">
        <v>182</v>
      </c>
      <c r="B21" t="s">
        <v>133</v>
      </c>
      <c r="C21" t="s">
        <v>183</v>
      </c>
      <c r="D21" t="s">
        <v>169</v>
      </c>
      <c r="E21" t="s">
        <v>184</v>
      </c>
      <c r="F21" t="s">
        <v>185</v>
      </c>
      <c r="G21" t="s">
        <v>182</v>
      </c>
      <c r="H21" t="s">
        <v>186</v>
      </c>
      <c r="J21" t="s">
        <v>139</v>
      </c>
      <c r="M21" t="s">
        <v>139</v>
      </c>
    </row>
    <row r="22" spans="1:14" x14ac:dyDescent="0.45">
      <c r="A22" s="5" t="s">
        <v>187</v>
      </c>
      <c r="B22" s="5" t="s">
        <v>140</v>
      </c>
      <c r="C22" s="5" t="s">
        <v>188</v>
      </c>
      <c r="D22" s="5" t="s">
        <v>157</v>
      </c>
      <c r="E22" s="5" t="s">
        <v>189</v>
      </c>
      <c r="F22" s="5" t="s">
        <v>159</v>
      </c>
      <c r="G22" s="5" t="s">
        <v>160</v>
      </c>
      <c r="H22" s="5"/>
      <c r="I22" s="5"/>
      <c r="J22" s="5"/>
      <c r="K22" s="5"/>
      <c r="L22" s="5"/>
      <c r="M22" s="5" t="s">
        <v>139</v>
      </c>
      <c r="N22" s="5"/>
    </row>
    <row r="23" spans="1:14" x14ac:dyDescent="0.45">
      <c r="A23" t="s">
        <v>190</v>
      </c>
      <c r="B23" t="s">
        <v>140</v>
      </c>
      <c r="C23" t="s">
        <v>191</v>
      </c>
      <c r="D23" t="s">
        <v>157</v>
      </c>
      <c r="E23" t="s">
        <v>192</v>
      </c>
      <c r="F23" t="s">
        <v>159</v>
      </c>
      <c r="G23" t="s">
        <v>160</v>
      </c>
      <c r="M23" t="s">
        <v>139</v>
      </c>
    </row>
    <row r="24" spans="1:14" x14ac:dyDescent="0.45">
      <c r="A24" s="5" t="s">
        <v>193</v>
      </c>
      <c r="B24" s="5" t="s">
        <v>140</v>
      </c>
      <c r="C24" s="5" t="s">
        <v>194</v>
      </c>
      <c r="D24" s="5" t="s">
        <v>157</v>
      </c>
      <c r="E24" s="5" t="s">
        <v>195</v>
      </c>
      <c r="F24" s="5" t="s">
        <v>159</v>
      </c>
      <c r="G24" s="5" t="s">
        <v>160</v>
      </c>
      <c r="H24" s="5"/>
      <c r="I24" s="5"/>
      <c r="J24" s="5"/>
      <c r="K24" s="5"/>
      <c r="L24" s="5"/>
      <c r="M24" s="5" t="s">
        <v>139</v>
      </c>
      <c r="N24" s="5"/>
    </row>
    <row r="25" spans="1:14" x14ac:dyDescent="0.45">
      <c r="A25" t="s">
        <v>196</v>
      </c>
      <c r="B25" t="s">
        <v>140</v>
      </c>
      <c r="C25" t="s">
        <v>197</v>
      </c>
      <c r="D25" t="s">
        <v>157</v>
      </c>
      <c r="E25" t="s">
        <v>198</v>
      </c>
      <c r="F25" t="s">
        <v>159</v>
      </c>
      <c r="G25" t="s">
        <v>160</v>
      </c>
      <c r="M25" t="s">
        <v>139</v>
      </c>
    </row>
    <row r="26" spans="1:14" x14ac:dyDescent="0.45">
      <c r="A26" s="5" t="s">
        <v>199</v>
      </c>
      <c r="B26" s="5" t="s">
        <v>140</v>
      </c>
      <c r="C26" s="5" t="s">
        <v>200</v>
      </c>
      <c r="D26" s="5" t="s">
        <v>157</v>
      </c>
      <c r="E26" s="5" t="s">
        <v>201</v>
      </c>
      <c r="F26" s="5" t="s">
        <v>159</v>
      </c>
      <c r="G26" s="5" t="s">
        <v>160</v>
      </c>
      <c r="H26" s="5"/>
      <c r="I26" s="5"/>
      <c r="J26" s="5"/>
      <c r="K26" s="5"/>
      <c r="L26" s="5"/>
      <c r="M26" s="5" t="s">
        <v>139</v>
      </c>
      <c r="N26" s="5"/>
    </row>
    <row r="27" spans="1:14" x14ac:dyDescent="0.45">
      <c r="A27" t="s">
        <v>202</v>
      </c>
      <c r="B27" t="s">
        <v>140</v>
      </c>
      <c r="C27" t="s">
        <v>203</v>
      </c>
      <c r="D27" t="s">
        <v>157</v>
      </c>
      <c r="E27" t="s">
        <v>204</v>
      </c>
      <c r="F27" t="s">
        <v>159</v>
      </c>
      <c r="G27" t="s">
        <v>160</v>
      </c>
      <c r="M27" t="s">
        <v>139</v>
      </c>
    </row>
    <row r="28" spans="1:14" x14ac:dyDescent="0.45">
      <c r="A28" s="5" t="s">
        <v>205</v>
      </c>
      <c r="B28" s="5" t="s">
        <v>140</v>
      </c>
      <c r="C28" s="5" t="s">
        <v>206</v>
      </c>
      <c r="D28" s="5" t="s">
        <v>157</v>
      </c>
      <c r="E28" s="5" t="s">
        <v>204</v>
      </c>
      <c r="F28" s="5" t="s">
        <v>159</v>
      </c>
      <c r="G28" s="5" t="s">
        <v>160</v>
      </c>
      <c r="H28" s="5"/>
      <c r="I28" s="5"/>
      <c r="J28" s="5" t="s">
        <v>139</v>
      </c>
      <c r="K28" s="5" t="s">
        <v>139</v>
      </c>
      <c r="L28" s="5"/>
      <c r="M28" s="5" t="s">
        <v>139</v>
      </c>
      <c r="N28" s="5"/>
    </row>
    <row r="29" spans="1:14" x14ac:dyDescent="0.45">
      <c r="A29" t="s">
        <v>207</v>
      </c>
      <c r="B29" t="s">
        <v>133</v>
      </c>
      <c r="C29" t="s">
        <v>208</v>
      </c>
      <c r="D29" t="s">
        <v>169</v>
      </c>
      <c r="E29" t="s">
        <v>209</v>
      </c>
      <c r="F29" t="s">
        <v>210</v>
      </c>
      <c r="G29" t="s">
        <v>138</v>
      </c>
      <c r="H29" t="s">
        <v>211</v>
      </c>
      <c r="J29" t="s">
        <v>139</v>
      </c>
      <c r="M29" t="s">
        <v>139</v>
      </c>
    </row>
    <row r="30" spans="1:14" x14ac:dyDescent="0.45">
      <c r="A30" s="5" t="s">
        <v>212</v>
      </c>
      <c r="B30" s="5" t="s">
        <v>140</v>
      </c>
      <c r="C30" s="5" t="s">
        <v>213</v>
      </c>
      <c r="D30" s="5" t="s">
        <v>214</v>
      </c>
      <c r="E30" s="5" t="s">
        <v>215</v>
      </c>
      <c r="F30" s="5" t="s">
        <v>159</v>
      </c>
      <c r="G30" s="5" t="s">
        <v>138</v>
      </c>
      <c r="H30" s="5"/>
      <c r="I30" s="5"/>
      <c r="J30" s="5" t="s">
        <v>139</v>
      </c>
      <c r="K30" s="5"/>
      <c r="L30" s="5"/>
      <c r="M30" s="5" t="s">
        <v>139</v>
      </c>
      <c r="N30" s="5"/>
    </row>
    <row r="31" spans="1:14" x14ac:dyDescent="0.45">
      <c r="A31" s="6" t="s">
        <v>216</v>
      </c>
      <c r="B31" s="7"/>
      <c r="C31" s="7"/>
      <c r="D31" s="7"/>
      <c r="E31" s="7"/>
      <c r="F31" s="7"/>
      <c r="G31" s="7"/>
      <c r="H31" s="7"/>
      <c r="I31" s="7"/>
      <c r="J31" s="7"/>
      <c r="K31" s="7"/>
      <c r="L31" s="7"/>
      <c r="M31" s="7"/>
      <c r="N31" s="7"/>
    </row>
    <row r="32" spans="1:14" x14ac:dyDescent="0.45">
      <c r="A32" t="s">
        <v>217</v>
      </c>
      <c r="B32" t="s">
        <v>140</v>
      </c>
      <c r="C32" t="s">
        <v>218</v>
      </c>
      <c r="D32" t="s">
        <v>157</v>
      </c>
      <c r="E32" t="s">
        <v>219</v>
      </c>
      <c r="F32" t="s">
        <v>159</v>
      </c>
      <c r="G32" t="s">
        <v>160</v>
      </c>
      <c r="I32" t="s">
        <v>139</v>
      </c>
      <c r="J32" t="s">
        <v>139</v>
      </c>
      <c r="M32" t="s">
        <v>139</v>
      </c>
    </row>
    <row r="33" spans="1:14" x14ac:dyDescent="0.45">
      <c r="A33" s="5" t="s">
        <v>220</v>
      </c>
      <c r="B33" s="5" t="s">
        <v>140</v>
      </c>
      <c r="C33" s="5" t="s">
        <v>221</v>
      </c>
      <c r="D33" s="5" t="s">
        <v>157</v>
      </c>
      <c r="E33" s="5" t="s">
        <v>222</v>
      </c>
      <c r="F33" s="5" t="s">
        <v>159</v>
      </c>
      <c r="G33" s="5" t="s">
        <v>160</v>
      </c>
      <c r="H33" s="5"/>
      <c r="I33" s="5" t="s">
        <v>139</v>
      </c>
      <c r="J33" s="5" t="s">
        <v>139</v>
      </c>
      <c r="K33" s="5"/>
      <c r="L33" s="5"/>
      <c r="M33" s="5" t="s">
        <v>139</v>
      </c>
      <c r="N33" s="5"/>
    </row>
    <row r="34" spans="1:14" x14ac:dyDescent="0.45">
      <c r="A34" t="s">
        <v>223</v>
      </c>
      <c r="B34" t="s">
        <v>224</v>
      </c>
      <c r="C34" t="s">
        <v>225</v>
      </c>
      <c r="D34" t="s">
        <v>226</v>
      </c>
      <c r="E34" t="s">
        <v>227</v>
      </c>
      <c r="F34" t="s">
        <v>228</v>
      </c>
      <c r="G34" t="s">
        <v>138</v>
      </c>
      <c r="M34" t="s">
        <v>139</v>
      </c>
    </row>
    <row r="35" spans="1:14" x14ac:dyDescent="0.45">
      <c r="A35" s="5" t="s">
        <v>229</v>
      </c>
      <c r="B35" s="5" t="s">
        <v>167</v>
      </c>
      <c r="C35" s="5" t="s">
        <v>225</v>
      </c>
      <c r="D35" s="5" t="s">
        <v>226</v>
      </c>
      <c r="E35" s="5" t="s">
        <v>227</v>
      </c>
      <c r="F35" s="5" t="s">
        <v>230</v>
      </c>
      <c r="G35" s="5" t="s">
        <v>138</v>
      </c>
      <c r="H35" s="5"/>
      <c r="I35" s="5"/>
      <c r="J35" s="5"/>
      <c r="K35" s="5"/>
      <c r="L35" s="5"/>
      <c r="M35" s="5" t="s">
        <v>139</v>
      </c>
      <c r="N35" s="5"/>
    </row>
    <row r="36" spans="1:14" x14ac:dyDescent="0.45">
      <c r="A36" t="s">
        <v>231</v>
      </c>
      <c r="B36" t="s">
        <v>167</v>
      </c>
      <c r="C36" t="s">
        <v>225</v>
      </c>
      <c r="D36" t="s">
        <v>226</v>
      </c>
      <c r="E36" t="s">
        <v>227</v>
      </c>
      <c r="F36" t="s">
        <v>232</v>
      </c>
      <c r="G36" t="s">
        <v>138</v>
      </c>
      <c r="M36" t="s">
        <v>139</v>
      </c>
    </row>
    <row r="37" spans="1:14" x14ac:dyDescent="0.45">
      <c r="A37" s="5" t="s">
        <v>233</v>
      </c>
      <c r="B37" s="5" t="s">
        <v>224</v>
      </c>
      <c r="C37" s="5" t="s">
        <v>225</v>
      </c>
      <c r="D37" s="5" t="s">
        <v>226</v>
      </c>
      <c r="E37" s="5" t="s">
        <v>227</v>
      </c>
      <c r="F37" s="5" t="s">
        <v>234</v>
      </c>
      <c r="G37" s="5" t="s">
        <v>138</v>
      </c>
      <c r="H37" s="5"/>
      <c r="I37" s="5"/>
      <c r="J37" s="5"/>
      <c r="K37" s="5"/>
      <c r="L37" s="5"/>
      <c r="M37" s="5" t="s">
        <v>139</v>
      </c>
      <c r="N37" s="5"/>
    </row>
    <row r="38" spans="1:14" x14ac:dyDescent="0.45">
      <c r="A38" t="s">
        <v>235</v>
      </c>
      <c r="B38" t="s">
        <v>133</v>
      </c>
      <c r="C38" t="s">
        <v>236</v>
      </c>
      <c r="D38" t="s">
        <v>237</v>
      </c>
      <c r="E38" t="s">
        <v>238</v>
      </c>
      <c r="F38" t="s">
        <v>239</v>
      </c>
      <c r="G38" t="s">
        <v>145</v>
      </c>
      <c r="I38" t="s">
        <v>139</v>
      </c>
      <c r="J38" t="s">
        <v>139</v>
      </c>
      <c r="K38" t="s">
        <v>139</v>
      </c>
      <c r="M38" t="s">
        <v>139</v>
      </c>
    </row>
    <row r="39" spans="1:14" x14ac:dyDescent="0.45">
      <c r="A39" s="5" t="s">
        <v>240</v>
      </c>
      <c r="B39" s="5" t="s">
        <v>140</v>
      </c>
      <c r="C39" s="5" t="s">
        <v>241</v>
      </c>
      <c r="D39" s="5" t="s">
        <v>157</v>
      </c>
      <c r="E39" s="5" t="s">
        <v>242</v>
      </c>
      <c r="F39" s="5" t="s">
        <v>159</v>
      </c>
      <c r="G39" s="5" t="s">
        <v>160</v>
      </c>
      <c r="H39" s="5"/>
      <c r="I39" s="5"/>
      <c r="J39" s="5" t="s">
        <v>139</v>
      </c>
      <c r="K39" s="5" t="s">
        <v>139</v>
      </c>
      <c r="L39" s="5"/>
      <c r="M39" s="5" t="s">
        <v>139</v>
      </c>
      <c r="N39" s="5"/>
    </row>
    <row r="40" spans="1:14" x14ac:dyDescent="0.45">
      <c r="A40" t="s">
        <v>243</v>
      </c>
      <c r="B40" t="s">
        <v>140</v>
      </c>
      <c r="C40" t="s">
        <v>244</v>
      </c>
      <c r="D40" t="s">
        <v>157</v>
      </c>
      <c r="E40" t="s">
        <v>242</v>
      </c>
      <c r="F40" t="s">
        <v>159</v>
      </c>
      <c r="G40" t="s">
        <v>160</v>
      </c>
      <c r="J40" t="s">
        <v>139</v>
      </c>
      <c r="M40" t="s">
        <v>139</v>
      </c>
    </row>
    <row r="41" spans="1:14" x14ac:dyDescent="0.45">
      <c r="A41" s="5" t="s">
        <v>245</v>
      </c>
      <c r="B41" s="5" t="s">
        <v>140</v>
      </c>
      <c r="C41" s="5" t="s">
        <v>246</v>
      </c>
      <c r="D41" s="5" t="s">
        <v>157</v>
      </c>
      <c r="E41" s="5" t="s">
        <v>247</v>
      </c>
      <c r="F41" s="5" t="s">
        <v>159</v>
      </c>
      <c r="G41" s="5" t="s">
        <v>160</v>
      </c>
      <c r="H41" s="5"/>
      <c r="I41" s="5"/>
      <c r="J41" s="5"/>
      <c r="K41" s="5"/>
      <c r="L41" s="5"/>
      <c r="M41" s="5" t="s">
        <v>139</v>
      </c>
      <c r="N41" s="5"/>
    </row>
    <row r="42" spans="1:14" x14ac:dyDescent="0.45">
      <c r="A42" t="s">
        <v>248</v>
      </c>
      <c r="B42" t="s">
        <v>140</v>
      </c>
      <c r="C42" t="s">
        <v>249</v>
      </c>
      <c r="D42" t="s">
        <v>157</v>
      </c>
      <c r="E42" t="s">
        <v>247</v>
      </c>
      <c r="F42" t="s">
        <v>159</v>
      </c>
      <c r="G42" t="s">
        <v>160</v>
      </c>
      <c r="J42" t="s">
        <v>139</v>
      </c>
      <c r="K42" t="s">
        <v>139</v>
      </c>
      <c r="M42" t="s">
        <v>139</v>
      </c>
    </row>
    <row r="43" spans="1:14" x14ac:dyDescent="0.45">
      <c r="A43" s="5" t="s">
        <v>250</v>
      </c>
      <c r="B43" s="5" t="s">
        <v>140</v>
      </c>
      <c r="C43" s="5" t="s">
        <v>251</v>
      </c>
      <c r="D43" s="5" t="s">
        <v>157</v>
      </c>
      <c r="E43" s="5" t="s">
        <v>252</v>
      </c>
      <c r="F43" s="5" t="s">
        <v>159</v>
      </c>
      <c r="G43" s="5" t="s">
        <v>160</v>
      </c>
      <c r="H43" s="5"/>
      <c r="I43" s="5"/>
      <c r="J43" s="5" t="s">
        <v>139</v>
      </c>
      <c r="K43" s="5"/>
      <c r="L43" s="5"/>
      <c r="M43" s="5" t="s">
        <v>139</v>
      </c>
      <c r="N43" s="5"/>
    </row>
    <row r="44" spans="1:14" x14ac:dyDescent="0.45">
      <c r="A44" t="s">
        <v>253</v>
      </c>
      <c r="B44" t="s">
        <v>140</v>
      </c>
      <c r="C44" t="s">
        <v>251</v>
      </c>
      <c r="D44" t="s">
        <v>157</v>
      </c>
      <c r="E44" t="s">
        <v>252</v>
      </c>
      <c r="F44" t="s">
        <v>159</v>
      </c>
      <c r="G44" t="s">
        <v>160</v>
      </c>
      <c r="J44" t="s">
        <v>139</v>
      </c>
      <c r="M44" t="s">
        <v>139</v>
      </c>
    </row>
    <row r="45" spans="1:14" x14ac:dyDescent="0.45">
      <c r="A45" s="5" t="s">
        <v>254</v>
      </c>
      <c r="B45" s="5" t="s">
        <v>140</v>
      </c>
      <c r="C45" s="5" t="s">
        <v>255</v>
      </c>
      <c r="D45" s="5" t="s">
        <v>157</v>
      </c>
      <c r="E45" s="5" t="s">
        <v>256</v>
      </c>
      <c r="F45" s="5" t="s">
        <v>159</v>
      </c>
      <c r="G45" s="5" t="s">
        <v>160</v>
      </c>
      <c r="H45" s="5"/>
      <c r="I45" s="5" t="s">
        <v>139</v>
      </c>
      <c r="J45" s="5"/>
      <c r="K45" s="5"/>
      <c r="L45" s="5"/>
      <c r="M45" s="5" t="s">
        <v>139</v>
      </c>
      <c r="N45" s="5"/>
    </row>
    <row r="46" spans="1:14" x14ac:dyDescent="0.45">
      <c r="A46" t="s">
        <v>257</v>
      </c>
      <c r="B46" t="s">
        <v>140</v>
      </c>
      <c r="C46" t="s">
        <v>258</v>
      </c>
      <c r="D46" t="s">
        <v>157</v>
      </c>
      <c r="E46" t="s">
        <v>242</v>
      </c>
      <c r="F46" t="s">
        <v>159</v>
      </c>
      <c r="G46" t="s">
        <v>160</v>
      </c>
      <c r="I46" t="s">
        <v>139</v>
      </c>
      <c r="J46" t="s">
        <v>139</v>
      </c>
      <c r="M46" t="s">
        <v>139</v>
      </c>
    </row>
    <row r="47" spans="1:14" x14ac:dyDescent="0.45">
      <c r="A47" s="5" t="s">
        <v>259</v>
      </c>
      <c r="B47" s="5" t="s">
        <v>140</v>
      </c>
      <c r="C47" s="5" t="s">
        <v>260</v>
      </c>
      <c r="D47" s="5" t="s">
        <v>157</v>
      </c>
      <c r="E47" s="5" t="s">
        <v>242</v>
      </c>
      <c r="F47" s="5" t="s">
        <v>159</v>
      </c>
      <c r="G47" s="5" t="s">
        <v>160</v>
      </c>
      <c r="H47" s="5"/>
      <c r="I47" s="5"/>
      <c r="J47" s="5"/>
      <c r="K47" s="5"/>
      <c r="L47" s="5"/>
      <c r="M47" s="5" t="s">
        <v>139</v>
      </c>
      <c r="N47" s="5"/>
    </row>
    <row r="48" spans="1:14" x14ac:dyDescent="0.45">
      <c r="A48" t="s">
        <v>261</v>
      </c>
      <c r="B48" t="s">
        <v>224</v>
      </c>
      <c r="C48" t="s">
        <v>262</v>
      </c>
      <c r="D48" t="s">
        <v>237</v>
      </c>
      <c r="E48" t="s">
        <v>263</v>
      </c>
      <c r="F48" t="s">
        <v>264</v>
      </c>
      <c r="G48" t="s">
        <v>138</v>
      </c>
      <c r="H48" t="s">
        <v>265</v>
      </c>
      <c r="M48" t="s">
        <v>139</v>
      </c>
    </row>
    <row r="49" spans="1:14" x14ac:dyDescent="0.45">
      <c r="A49" s="5" t="s">
        <v>266</v>
      </c>
      <c r="B49" s="5" t="s">
        <v>167</v>
      </c>
      <c r="C49" s="5" t="s">
        <v>267</v>
      </c>
      <c r="D49" s="5" t="s">
        <v>226</v>
      </c>
      <c r="E49" s="5" t="s">
        <v>268</v>
      </c>
      <c r="F49" s="5" t="s">
        <v>269</v>
      </c>
      <c r="G49" s="5" t="s">
        <v>138</v>
      </c>
      <c r="H49" s="5" t="s">
        <v>270</v>
      </c>
      <c r="I49" s="5"/>
      <c r="J49" s="5"/>
      <c r="K49" s="5"/>
      <c r="L49" s="5"/>
      <c r="M49" s="5" t="s">
        <v>139</v>
      </c>
      <c r="N49" s="5"/>
    </row>
    <row r="50" spans="1:14" x14ac:dyDescent="0.45">
      <c r="A50" s="6" t="s">
        <v>271</v>
      </c>
      <c r="B50" s="7"/>
      <c r="C50" s="7"/>
      <c r="D50" s="7"/>
      <c r="E50" s="7"/>
      <c r="F50" s="7"/>
      <c r="G50" s="7"/>
      <c r="H50" s="7"/>
      <c r="I50" s="7"/>
      <c r="J50" s="7"/>
      <c r="K50" s="7"/>
      <c r="L50" s="7"/>
      <c r="M50" s="7"/>
      <c r="N50" s="7"/>
    </row>
    <row r="51" spans="1:14" x14ac:dyDescent="0.45">
      <c r="A51" t="s">
        <v>272</v>
      </c>
      <c r="B51" t="s">
        <v>224</v>
      </c>
      <c r="C51" t="s">
        <v>273</v>
      </c>
      <c r="D51" t="s">
        <v>274</v>
      </c>
      <c r="E51" t="s">
        <v>275</v>
      </c>
      <c r="F51" t="s">
        <v>276</v>
      </c>
      <c r="G51" t="s">
        <v>145</v>
      </c>
      <c r="M51" t="s">
        <v>139</v>
      </c>
    </row>
    <row r="52" spans="1:14" x14ac:dyDescent="0.45">
      <c r="A52" s="5" t="s">
        <v>277</v>
      </c>
      <c r="B52" s="5" t="s">
        <v>224</v>
      </c>
      <c r="C52" s="5" t="s">
        <v>273</v>
      </c>
      <c r="D52" s="5" t="s">
        <v>274</v>
      </c>
      <c r="E52" s="5" t="s">
        <v>275</v>
      </c>
      <c r="F52" s="5" t="s">
        <v>278</v>
      </c>
      <c r="G52" s="5" t="s">
        <v>145</v>
      </c>
      <c r="H52" s="5"/>
      <c r="I52" s="5"/>
      <c r="J52" s="5"/>
      <c r="K52" s="5"/>
      <c r="L52" s="5"/>
      <c r="M52" s="5" t="s">
        <v>139</v>
      </c>
      <c r="N52" s="5"/>
    </row>
    <row r="53" spans="1:14" x14ac:dyDescent="0.45">
      <c r="A53" t="s">
        <v>279</v>
      </c>
      <c r="B53" t="s">
        <v>280</v>
      </c>
      <c r="C53" t="s">
        <v>273</v>
      </c>
      <c r="D53" t="s">
        <v>169</v>
      </c>
      <c r="E53" t="s">
        <v>281</v>
      </c>
      <c r="F53" t="s">
        <v>282</v>
      </c>
      <c r="G53" t="s">
        <v>145</v>
      </c>
      <c r="M53" t="s">
        <v>139</v>
      </c>
    </row>
    <row r="54" spans="1:14" x14ac:dyDescent="0.45">
      <c r="A54" s="5" t="s">
        <v>283</v>
      </c>
      <c r="B54" s="5" t="s">
        <v>280</v>
      </c>
      <c r="C54" s="5" t="s">
        <v>273</v>
      </c>
      <c r="D54" s="5" t="s">
        <v>169</v>
      </c>
      <c r="E54" s="5" t="s">
        <v>284</v>
      </c>
      <c r="F54" s="5" t="s">
        <v>285</v>
      </c>
      <c r="G54" s="5" t="s">
        <v>145</v>
      </c>
      <c r="H54" s="5"/>
      <c r="I54" s="5"/>
      <c r="J54" s="5"/>
      <c r="K54" s="5"/>
      <c r="L54" s="5"/>
      <c r="M54" s="5" t="s">
        <v>139</v>
      </c>
      <c r="N54" s="5"/>
    </row>
    <row r="55" spans="1:14" x14ac:dyDescent="0.45">
      <c r="A55" t="s">
        <v>286</v>
      </c>
      <c r="B55" t="s">
        <v>280</v>
      </c>
      <c r="C55" t="s">
        <v>273</v>
      </c>
      <c r="D55" t="s">
        <v>169</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237</v>
      </c>
      <c r="E59" s="5" t="s">
        <v>298</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237</v>
      </c>
      <c r="E62" t="s">
        <v>298</v>
      </c>
      <c r="F62" t="s">
        <v>309</v>
      </c>
      <c r="G62" t="s">
        <v>138</v>
      </c>
      <c r="H62" t="s">
        <v>310</v>
      </c>
      <c r="I62" t="s">
        <v>139</v>
      </c>
      <c r="J62" t="s">
        <v>139</v>
      </c>
      <c r="M62" t="s">
        <v>139</v>
      </c>
    </row>
    <row r="63" spans="1:14" x14ac:dyDescent="0.45">
      <c r="A63" s="5" t="s">
        <v>311</v>
      </c>
      <c r="B63" s="5" t="s">
        <v>140</v>
      </c>
      <c r="C63" s="5" t="s">
        <v>312</v>
      </c>
      <c r="D63" s="5" t="s">
        <v>135</v>
      </c>
      <c r="E63" s="5" t="s">
        <v>313</v>
      </c>
      <c r="F63" s="5" t="s">
        <v>159</v>
      </c>
      <c r="G63" s="5" t="s">
        <v>160</v>
      </c>
      <c r="H63" s="5"/>
      <c r="I63" s="5" t="s">
        <v>139</v>
      </c>
      <c r="J63" s="5" t="s">
        <v>139</v>
      </c>
      <c r="K63" s="5"/>
      <c r="L63" s="5"/>
      <c r="M63" s="5" t="s">
        <v>139</v>
      </c>
      <c r="N63" s="5"/>
    </row>
    <row r="64" spans="1:14" x14ac:dyDescent="0.45">
      <c r="A64" t="s">
        <v>314</v>
      </c>
      <c r="B64" t="s">
        <v>140</v>
      </c>
      <c r="C64" t="s">
        <v>315</v>
      </c>
      <c r="D64" t="s">
        <v>135</v>
      </c>
      <c r="E64" t="s">
        <v>316</v>
      </c>
      <c r="F64" t="s">
        <v>159</v>
      </c>
      <c r="G64" t="s">
        <v>160</v>
      </c>
      <c r="J64" t="s">
        <v>139</v>
      </c>
      <c r="M64" t="s">
        <v>139</v>
      </c>
    </row>
    <row r="65" spans="1:14" x14ac:dyDescent="0.45">
      <c r="A65" s="5" t="s">
        <v>317</v>
      </c>
      <c r="B65" s="5" t="s">
        <v>224</v>
      </c>
      <c r="C65" s="5" t="s">
        <v>318</v>
      </c>
      <c r="D65" s="5" t="s">
        <v>237</v>
      </c>
      <c r="E65" s="5" t="s">
        <v>298</v>
      </c>
      <c r="F65" s="5" t="s">
        <v>319</v>
      </c>
      <c r="G65" s="5" t="s">
        <v>138</v>
      </c>
      <c r="H65" s="5"/>
      <c r="I65" s="5" t="s">
        <v>139</v>
      </c>
      <c r="J65" s="5" t="s">
        <v>139</v>
      </c>
      <c r="K65" s="5"/>
      <c r="L65" s="5"/>
      <c r="M65" s="5" t="s">
        <v>139</v>
      </c>
      <c r="N65" s="5"/>
    </row>
    <row r="66" spans="1:14" x14ac:dyDescent="0.45">
      <c r="A66" t="s">
        <v>320</v>
      </c>
      <c r="B66" t="s">
        <v>140</v>
      </c>
      <c r="C66" t="s">
        <v>321</v>
      </c>
      <c r="D66" t="s">
        <v>135</v>
      </c>
      <c r="E66" t="s">
        <v>322</v>
      </c>
      <c r="F66" t="s">
        <v>159</v>
      </c>
      <c r="G66" t="s">
        <v>160</v>
      </c>
      <c r="M66" t="s">
        <v>139</v>
      </c>
    </row>
    <row r="67" spans="1:14" x14ac:dyDescent="0.45">
      <c r="A67" s="5" t="s">
        <v>323</v>
      </c>
      <c r="B67" s="5" t="s">
        <v>140</v>
      </c>
      <c r="C67" s="5" t="s">
        <v>324</v>
      </c>
      <c r="D67" s="5" t="s">
        <v>135</v>
      </c>
      <c r="E67" s="5" t="s">
        <v>325</v>
      </c>
      <c r="F67" s="5" t="s">
        <v>159</v>
      </c>
      <c r="G67" s="5" t="s">
        <v>160</v>
      </c>
      <c r="H67" s="5"/>
      <c r="I67" s="5"/>
      <c r="J67" s="5"/>
      <c r="K67" s="5"/>
      <c r="L67" s="5"/>
      <c r="M67" s="5" t="s">
        <v>139</v>
      </c>
      <c r="N67" s="5"/>
    </row>
    <row r="68" spans="1:14" x14ac:dyDescent="0.45">
      <c r="A68" t="s">
        <v>326</v>
      </c>
      <c r="B68" t="s">
        <v>140</v>
      </c>
      <c r="C68" t="s">
        <v>327</v>
      </c>
      <c r="D68" t="s">
        <v>135</v>
      </c>
      <c r="E68" t="s">
        <v>328</v>
      </c>
      <c r="F68" t="s">
        <v>159</v>
      </c>
      <c r="G68" t="s">
        <v>160</v>
      </c>
      <c r="I68" t="s">
        <v>139</v>
      </c>
      <c r="J68" t="s">
        <v>139</v>
      </c>
      <c r="M68" t="s">
        <v>139</v>
      </c>
    </row>
    <row r="69" spans="1:14" x14ac:dyDescent="0.45">
      <c r="A69" s="6" t="s">
        <v>329</v>
      </c>
      <c r="B69" s="7"/>
      <c r="C69" s="7"/>
      <c r="D69" s="7"/>
      <c r="E69" s="7"/>
      <c r="F69" s="7"/>
      <c r="G69" s="7"/>
      <c r="H69" s="7"/>
      <c r="I69" s="7"/>
      <c r="J69" s="7"/>
      <c r="K69" s="7"/>
      <c r="L69" s="7"/>
      <c r="M69" s="7"/>
      <c r="N69" s="7"/>
    </row>
    <row r="70" spans="1:14" x14ac:dyDescent="0.45">
      <c r="A70" s="5" t="s">
        <v>330</v>
      </c>
      <c r="B70" s="5" t="s">
        <v>133</v>
      </c>
      <c r="C70" s="5" t="s">
        <v>331</v>
      </c>
      <c r="D70" s="5" t="s">
        <v>237</v>
      </c>
      <c r="E70" s="5" t="s">
        <v>332</v>
      </c>
      <c r="F70" s="5" t="s">
        <v>237</v>
      </c>
      <c r="G70" s="5" t="s">
        <v>138</v>
      </c>
      <c r="H70" s="5"/>
      <c r="I70" s="5" t="s">
        <v>139</v>
      </c>
      <c r="J70" s="5" t="s">
        <v>139</v>
      </c>
      <c r="K70" s="5"/>
      <c r="L70" s="5"/>
      <c r="M70" s="5" t="s">
        <v>139</v>
      </c>
      <c r="N70" s="5"/>
    </row>
    <row r="71" spans="1:14" x14ac:dyDescent="0.45">
      <c r="A71" t="s">
        <v>333</v>
      </c>
      <c r="B71" t="s">
        <v>140</v>
      </c>
      <c r="C71" t="s">
        <v>334</v>
      </c>
      <c r="D71" t="s">
        <v>335</v>
      </c>
      <c r="E71" t="s">
        <v>336</v>
      </c>
      <c r="F71" t="s">
        <v>159</v>
      </c>
      <c r="G71" t="s">
        <v>160</v>
      </c>
      <c r="I71" t="s">
        <v>139</v>
      </c>
      <c r="J71" t="s">
        <v>139</v>
      </c>
      <c r="M71" t="s">
        <v>139</v>
      </c>
    </row>
    <row r="72" spans="1:14" x14ac:dyDescent="0.45">
      <c r="A72" s="5" t="s">
        <v>337</v>
      </c>
      <c r="B72" s="5" t="s">
        <v>140</v>
      </c>
      <c r="C72" s="5" t="s">
        <v>338</v>
      </c>
      <c r="D72" s="5" t="s">
        <v>335</v>
      </c>
      <c r="E72" s="5" t="s">
        <v>339</v>
      </c>
      <c r="F72" s="5" t="s">
        <v>159</v>
      </c>
      <c r="G72" s="5" t="s">
        <v>160</v>
      </c>
      <c r="H72" s="5"/>
      <c r="I72" s="5" t="s">
        <v>139</v>
      </c>
      <c r="J72" s="5" t="s">
        <v>139</v>
      </c>
      <c r="K72" s="5"/>
      <c r="L72" s="5"/>
      <c r="M72" s="5" t="s">
        <v>139</v>
      </c>
      <c r="N72" s="5"/>
    </row>
    <row r="73" spans="1:14" x14ac:dyDescent="0.45">
      <c r="A73" t="s">
        <v>340</v>
      </c>
      <c r="B73" t="s">
        <v>140</v>
      </c>
      <c r="C73" t="s">
        <v>341</v>
      </c>
      <c r="D73" t="s">
        <v>335</v>
      </c>
      <c r="E73" t="s">
        <v>342</v>
      </c>
      <c r="F73" t="s">
        <v>159</v>
      </c>
      <c r="G73" t="s">
        <v>160</v>
      </c>
      <c r="I73" t="s">
        <v>139</v>
      </c>
      <c r="J73" t="s">
        <v>139</v>
      </c>
      <c r="M73" t="s">
        <v>139</v>
      </c>
    </row>
    <row r="74" spans="1:14" x14ac:dyDescent="0.45">
      <c r="A74" s="5" t="s">
        <v>343</v>
      </c>
      <c r="B74" s="5" t="s">
        <v>140</v>
      </c>
      <c r="C74" s="5" t="s">
        <v>344</v>
      </c>
      <c r="D74" s="5" t="s">
        <v>135</v>
      </c>
      <c r="E74" s="5" t="s">
        <v>345</v>
      </c>
      <c r="F74" s="5" t="s">
        <v>159</v>
      </c>
      <c r="G74" s="5" t="s">
        <v>138</v>
      </c>
      <c r="H74" s="5"/>
      <c r="I74" s="5" t="s">
        <v>139</v>
      </c>
      <c r="J74" s="5" t="s">
        <v>139</v>
      </c>
      <c r="K74" s="5"/>
      <c r="L74" s="5"/>
      <c r="M74" s="5" t="s">
        <v>139</v>
      </c>
      <c r="N74" s="5"/>
    </row>
    <row r="75" spans="1:14" x14ac:dyDescent="0.45">
      <c r="A75" t="s">
        <v>346</v>
      </c>
      <c r="B75" t="s">
        <v>140</v>
      </c>
      <c r="C75" t="s">
        <v>347</v>
      </c>
      <c r="D75" t="s">
        <v>135</v>
      </c>
      <c r="E75" t="s">
        <v>345</v>
      </c>
      <c r="F75" t="s">
        <v>159</v>
      </c>
      <c r="G75" t="s">
        <v>138</v>
      </c>
      <c r="I75" t="s">
        <v>139</v>
      </c>
      <c r="J75" t="s">
        <v>139</v>
      </c>
      <c r="M75" t="s">
        <v>139</v>
      </c>
    </row>
    <row r="76" spans="1:14" x14ac:dyDescent="0.45">
      <c r="A76" s="5" t="s">
        <v>348</v>
      </c>
      <c r="B76" s="5" t="s">
        <v>140</v>
      </c>
      <c r="C76" s="5" t="s">
        <v>349</v>
      </c>
      <c r="D76" s="5" t="s">
        <v>335</v>
      </c>
      <c r="E76" s="5" t="s">
        <v>350</v>
      </c>
      <c r="F76" s="5" t="s">
        <v>159</v>
      </c>
      <c r="G76" s="5" t="s">
        <v>160</v>
      </c>
      <c r="H76" s="5"/>
      <c r="I76" s="5" t="s">
        <v>139</v>
      </c>
      <c r="J76" s="5" t="s">
        <v>139</v>
      </c>
      <c r="K76" s="5"/>
      <c r="L76" s="5"/>
      <c r="M76" s="5" t="s">
        <v>139</v>
      </c>
      <c r="N76" s="5"/>
    </row>
    <row r="77" spans="1:14" x14ac:dyDescent="0.45">
      <c r="A77" t="s">
        <v>351</v>
      </c>
      <c r="B77" t="s">
        <v>224</v>
      </c>
      <c r="C77" t="s">
        <v>352</v>
      </c>
      <c r="D77" t="s">
        <v>237</v>
      </c>
      <c r="E77" t="s">
        <v>353</v>
      </c>
      <c r="F77" t="s">
        <v>237</v>
      </c>
      <c r="G77" t="s">
        <v>138</v>
      </c>
      <c r="I77" t="s">
        <v>139</v>
      </c>
      <c r="J77" t="s">
        <v>139</v>
      </c>
      <c r="M77" t="s">
        <v>139</v>
      </c>
    </row>
    <row r="78" spans="1:14" x14ac:dyDescent="0.45">
      <c r="A78" s="5" t="s">
        <v>354</v>
      </c>
      <c r="B78" s="5" t="s">
        <v>140</v>
      </c>
      <c r="C78" s="5" t="s">
        <v>355</v>
      </c>
      <c r="D78" s="5" t="s">
        <v>335</v>
      </c>
      <c r="E78" s="5" t="s">
        <v>356</v>
      </c>
      <c r="F78" s="5" t="s">
        <v>159</v>
      </c>
      <c r="G78" s="5" t="s">
        <v>160</v>
      </c>
      <c r="H78" s="5" t="s">
        <v>357</v>
      </c>
      <c r="I78" s="5" t="s">
        <v>139</v>
      </c>
      <c r="J78" s="5" t="s">
        <v>139</v>
      </c>
      <c r="K78" s="5"/>
      <c r="L78" s="5"/>
      <c r="M78" s="5" t="s">
        <v>139</v>
      </c>
      <c r="N78" s="5"/>
    </row>
    <row r="79" spans="1:14" x14ac:dyDescent="0.45">
      <c r="A79" s="6" t="s">
        <v>358</v>
      </c>
      <c r="B79" s="7"/>
      <c r="C79" s="7"/>
      <c r="D79" s="7"/>
      <c r="E79" s="7"/>
      <c r="F79" s="7"/>
      <c r="G79" s="7"/>
      <c r="H79" s="7"/>
      <c r="I79" s="7"/>
      <c r="J79" s="7"/>
      <c r="K79" s="7"/>
      <c r="L79" s="7"/>
      <c r="M79" s="7"/>
      <c r="N79" s="7"/>
    </row>
    <row r="80" spans="1:14" x14ac:dyDescent="0.45">
      <c r="A80" t="s">
        <v>359</v>
      </c>
      <c r="B80" t="s">
        <v>140</v>
      </c>
      <c r="C80" t="s">
        <v>360</v>
      </c>
      <c r="D80" t="s">
        <v>237</v>
      </c>
      <c r="E80" t="s">
        <v>361</v>
      </c>
      <c r="F80" t="s">
        <v>362</v>
      </c>
      <c r="G80" t="s">
        <v>363</v>
      </c>
      <c r="J80" t="s">
        <v>139</v>
      </c>
      <c r="K80" t="s">
        <v>139</v>
      </c>
      <c r="M80" t="s">
        <v>139</v>
      </c>
    </row>
    <row r="81" spans="1:14" x14ac:dyDescent="0.45">
      <c r="A81" s="5" t="s">
        <v>364</v>
      </c>
      <c r="B81" s="5" t="s">
        <v>133</v>
      </c>
      <c r="C81" s="5" t="s">
        <v>365</v>
      </c>
      <c r="D81" s="5" t="s">
        <v>237</v>
      </c>
      <c r="E81" s="5" t="s">
        <v>366</v>
      </c>
      <c r="F81" s="5" t="s">
        <v>367</v>
      </c>
      <c r="G81" s="5" t="s">
        <v>138</v>
      </c>
      <c r="H81" s="5"/>
      <c r="I81" s="5"/>
      <c r="J81" s="5" t="s">
        <v>139</v>
      </c>
      <c r="K81" s="5"/>
      <c r="L81" s="5"/>
      <c r="M81" s="5" t="s">
        <v>139</v>
      </c>
      <c r="N81" s="5"/>
    </row>
    <row r="82" spans="1:14" x14ac:dyDescent="0.45">
      <c r="A82" t="s">
        <v>368</v>
      </c>
      <c r="B82" t="s">
        <v>140</v>
      </c>
      <c r="C82" t="s">
        <v>369</v>
      </c>
      <c r="D82" t="s">
        <v>237</v>
      </c>
      <c r="E82" t="s">
        <v>370</v>
      </c>
      <c r="F82" t="s">
        <v>371</v>
      </c>
      <c r="G82" t="s">
        <v>138</v>
      </c>
      <c r="J82" t="s">
        <v>139</v>
      </c>
      <c r="M82" t="s">
        <v>139</v>
      </c>
    </row>
    <row r="83" spans="1:14" x14ac:dyDescent="0.45">
      <c r="A83" s="5" t="s">
        <v>372</v>
      </c>
      <c r="B83" s="5" t="s">
        <v>133</v>
      </c>
      <c r="C83" s="5" t="s">
        <v>373</v>
      </c>
      <c r="D83" s="5" t="s">
        <v>237</v>
      </c>
      <c r="E83" s="5" t="s">
        <v>374</v>
      </c>
      <c r="F83" s="5" t="s">
        <v>375</v>
      </c>
      <c r="G83" s="5" t="s">
        <v>138</v>
      </c>
      <c r="H83" s="5"/>
      <c r="I83" s="5"/>
      <c r="J83" s="5"/>
      <c r="K83" s="5"/>
      <c r="L83" s="5"/>
      <c r="M83" s="5" t="s">
        <v>139</v>
      </c>
      <c r="N83" s="5"/>
    </row>
  </sheetData>
  <mergeCells count="12">
    <mergeCell ref="B4:N4"/>
    <mergeCell ref="A7:N7"/>
    <mergeCell ref="B3:N3"/>
    <mergeCell ref="B2:N2"/>
    <mergeCell ref="A1:N1"/>
    <mergeCell ref="A56:N56"/>
    <mergeCell ref="B5:N5"/>
    <mergeCell ref="A31:N31"/>
    <mergeCell ref="A79:N79"/>
    <mergeCell ref="A69:N69"/>
    <mergeCell ref="A12:N12"/>
    <mergeCell ref="A50:N50"/>
  </mergeCells>
  <dataValidations count="1">
    <dataValidation type="list" allowBlank="1" errorTitle="Invalid Review Status" error="Choose a review status from the list." sqref="N2:N83" xr:uid="{00000000-0002-0000-04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83"/>
  <sheetViews>
    <sheetView workbookViewId="0">
      <pane ySplit="6" topLeftCell="A7" activePane="bottomLeft" state="frozen"/>
      <selection pane="bottomLeft"/>
    </sheetView>
  </sheetViews>
  <sheetFormatPr defaultRowHeight="14.25" x14ac:dyDescent="0.45"/>
  <cols>
    <col min="1" max="1" width="50" customWidth="1"/>
    <col min="2" max="2" width="21" customWidth="1"/>
    <col min="3" max="6" width="50" customWidth="1"/>
    <col min="7" max="7" width="15"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378</v>
      </c>
      <c r="B1" s="7"/>
      <c r="C1" s="7"/>
      <c r="D1" s="7"/>
      <c r="E1" s="7"/>
      <c r="F1" s="7"/>
      <c r="G1" s="7"/>
      <c r="H1" s="7"/>
      <c r="I1" s="7"/>
      <c r="J1" s="7"/>
      <c r="K1" s="7"/>
      <c r="L1" s="7"/>
      <c r="M1" s="7"/>
      <c r="N1" s="7"/>
    </row>
    <row r="2" spans="1:14" x14ac:dyDescent="0.45">
      <c r="A2" s="4" t="s">
        <v>18</v>
      </c>
      <c r="B2" s="7" t="s">
        <v>26</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26</v>
      </c>
      <c r="C4" s="7"/>
      <c r="D4" s="7"/>
      <c r="E4" s="7"/>
      <c r="F4" s="7"/>
      <c r="G4" s="7"/>
      <c r="H4" s="7"/>
      <c r="I4" s="7"/>
      <c r="J4" s="7"/>
      <c r="K4" s="7"/>
      <c r="L4" s="7"/>
      <c r="M4" s="7"/>
      <c r="N4" s="7"/>
    </row>
    <row r="5" spans="1:14" x14ac:dyDescent="0.45">
      <c r="A5" s="4" t="s">
        <v>21</v>
      </c>
      <c r="B5" s="7" t="s">
        <v>31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133</v>
      </c>
      <c r="C8" t="s">
        <v>134</v>
      </c>
      <c r="D8" t="s">
        <v>135</v>
      </c>
      <c r="E8" t="s">
        <v>136</v>
      </c>
      <c r="F8" t="s">
        <v>137</v>
      </c>
      <c r="G8" t="s">
        <v>138</v>
      </c>
      <c r="I8" t="s">
        <v>139</v>
      </c>
      <c r="J8" t="s">
        <v>139</v>
      </c>
      <c r="K8" t="s">
        <v>139</v>
      </c>
      <c r="M8" t="s">
        <v>139</v>
      </c>
    </row>
    <row r="9" spans="1:14" x14ac:dyDescent="0.45">
      <c r="A9" s="5" t="s">
        <v>20</v>
      </c>
      <c r="B9" s="5" t="s">
        <v>140</v>
      </c>
      <c r="C9" s="5" t="s">
        <v>141</v>
      </c>
      <c r="D9" s="5" t="s">
        <v>142</v>
      </c>
      <c r="E9" s="5" t="s">
        <v>143</v>
      </c>
      <c r="F9" s="5" t="s">
        <v>144</v>
      </c>
      <c r="G9" s="5" t="s">
        <v>145</v>
      </c>
      <c r="H9" s="5"/>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5" t="s">
        <v>149</v>
      </c>
      <c r="B11" s="5" t="s">
        <v>133</v>
      </c>
      <c r="C11" s="5" t="s">
        <v>150</v>
      </c>
      <c r="D11" s="5" t="s">
        <v>151</v>
      </c>
      <c r="E11" s="5" t="s">
        <v>152</v>
      </c>
      <c r="F11" s="5" t="s">
        <v>153</v>
      </c>
      <c r="G11" s="5" t="s">
        <v>138</v>
      </c>
      <c r="H11" s="5"/>
      <c r="I11" s="5" t="s">
        <v>139</v>
      </c>
      <c r="J11" s="5" t="s">
        <v>139</v>
      </c>
      <c r="K11" s="5"/>
      <c r="L11" s="5"/>
      <c r="M11" s="5" t="s">
        <v>139</v>
      </c>
      <c r="N11" s="5"/>
    </row>
    <row r="12" spans="1:14" x14ac:dyDescent="0.45">
      <c r="A12" s="6" t="s">
        <v>154</v>
      </c>
      <c r="B12" s="7"/>
      <c r="C12" s="7"/>
      <c r="D12" s="7"/>
      <c r="E12" s="7"/>
      <c r="F12" s="7"/>
      <c r="G12" s="7"/>
      <c r="H12" s="7"/>
      <c r="I12" s="7"/>
      <c r="J12" s="7"/>
      <c r="K12" s="7"/>
      <c r="L12" s="7"/>
      <c r="M12" s="7"/>
      <c r="N12" s="7"/>
    </row>
    <row r="13" spans="1:14" x14ac:dyDescent="0.45">
      <c r="A13" t="s">
        <v>155</v>
      </c>
      <c r="B13" t="s">
        <v>140</v>
      </c>
      <c r="C13" t="s">
        <v>156</v>
      </c>
      <c r="D13" t="s">
        <v>157</v>
      </c>
      <c r="E13" t="s">
        <v>158</v>
      </c>
      <c r="F13" t="s">
        <v>159</v>
      </c>
      <c r="G13" t="s">
        <v>160</v>
      </c>
      <c r="J13" t="s">
        <v>139</v>
      </c>
      <c r="M13" t="s">
        <v>139</v>
      </c>
    </row>
    <row r="14" spans="1:14" x14ac:dyDescent="0.45">
      <c r="A14" s="5" t="s">
        <v>161</v>
      </c>
      <c r="B14" s="5" t="s">
        <v>140</v>
      </c>
      <c r="C14" s="5" t="s">
        <v>156</v>
      </c>
      <c r="D14" s="5" t="s">
        <v>157</v>
      </c>
      <c r="E14" s="5" t="s">
        <v>162</v>
      </c>
      <c r="F14" s="5" t="s">
        <v>159</v>
      </c>
      <c r="G14" s="5" t="s">
        <v>160</v>
      </c>
      <c r="H14" s="5"/>
      <c r="I14" s="5"/>
      <c r="J14" s="5" t="s">
        <v>139</v>
      </c>
      <c r="K14" s="5"/>
      <c r="L14" s="5"/>
      <c r="M14" s="5" t="s">
        <v>139</v>
      </c>
      <c r="N14" s="5"/>
    </row>
    <row r="15" spans="1:14" x14ac:dyDescent="0.45">
      <c r="A15" t="s">
        <v>163</v>
      </c>
      <c r="B15" t="s">
        <v>140</v>
      </c>
      <c r="C15" t="s">
        <v>164</v>
      </c>
      <c r="D15" t="s">
        <v>157</v>
      </c>
      <c r="E15" t="s">
        <v>165</v>
      </c>
      <c r="F15" t="s">
        <v>159</v>
      </c>
      <c r="G15" t="s">
        <v>160</v>
      </c>
      <c r="M15" t="s">
        <v>139</v>
      </c>
    </row>
    <row r="16" spans="1:14" x14ac:dyDescent="0.45">
      <c r="A16" s="5" t="s">
        <v>166</v>
      </c>
      <c r="B16" s="5" t="s">
        <v>167</v>
      </c>
      <c r="C16" s="5" t="s">
        <v>168</v>
      </c>
      <c r="D16" s="5" t="s">
        <v>169</v>
      </c>
      <c r="E16" s="5" t="s">
        <v>170</v>
      </c>
      <c r="F16" s="5" t="s">
        <v>171</v>
      </c>
      <c r="G16" s="5" t="s">
        <v>138</v>
      </c>
      <c r="H16" s="5"/>
      <c r="I16" s="5"/>
      <c r="J16" s="5"/>
      <c r="K16" s="5"/>
      <c r="L16" s="5"/>
      <c r="M16" s="5" t="s">
        <v>139</v>
      </c>
      <c r="N16" s="5"/>
    </row>
    <row r="17" spans="1:14" x14ac:dyDescent="0.45">
      <c r="A17" t="s">
        <v>172</v>
      </c>
      <c r="B17" t="s">
        <v>133</v>
      </c>
      <c r="C17" t="s">
        <v>168</v>
      </c>
      <c r="D17" t="s">
        <v>169</v>
      </c>
      <c r="E17" t="s">
        <v>170</v>
      </c>
      <c r="F17" t="s">
        <v>173</v>
      </c>
      <c r="G17" t="s">
        <v>138</v>
      </c>
      <c r="M17" t="s">
        <v>139</v>
      </c>
    </row>
    <row r="18" spans="1:14" x14ac:dyDescent="0.45">
      <c r="A18" s="5" t="s">
        <v>174</v>
      </c>
      <c r="B18" s="5" t="s">
        <v>167</v>
      </c>
      <c r="C18" s="5" t="s">
        <v>175</v>
      </c>
      <c r="D18" s="5" t="s">
        <v>169</v>
      </c>
      <c r="E18" s="5" t="s">
        <v>176</v>
      </c>
      <c r="F18" s="5" t="s">
        <v>177</v>
      </c>
      <c r="G18" s="5" t="s">
        <v>138</v>
      </c>
      <c r="H18" s="5"/>
      <c r="I18" s="5"/>
      <c r="J18" s="5"/>
      <c r="K18" s="5"/>
      <c r="L18" s="5"/>
      <c r="M18" s="5" t="s">
        <v>139</v>
      </c>
      <c r="N18" s="5"/>
    </row>
    <row r="19" spans="1:14" x14ac:dyDescent="0.45">
      <c r="A19" t="s">
        <v>178</v>
      </c>
      <c r="B19" t="s">
        <v>140</v>
      </c>
      <c r="C19" t="s">
        <v>179</v>
      </c>
      <c r="D19" t="s">
        <v>157</v>
      </c>
      <c r="E19" t="s">
        <v>180</v>
      </c>
      <c r="F19" t="s">
        <v>159</v>
      </c>
      <c r="G19" t="s">
        <v>160</v>
      </c>
      <c r="K19" t="s">
        <v>139</v>
      </c>
      <c r="M19" t="s">
        <v>139</v>
      </c>
    </row>
    <row r="20" spans="1:14" x14ac:dyDescent="0.45">
      <c r="A20" s="5" t="s">
        <v>181</v>
      </c>
      <c r="B20" s="5" t="s">
        <v>140</v>
      </c>
      <c r="C20" s="5" t="s">
        <v>179</v>
      </c>
      <c r="D20" s="5" t="s">
        <v>157</v>
      </c>
      <c r="E20" s="5" t="s">
        <v>180</v>
      </c>
      <c r="F20" s="5" t="s">
        <v>159</v>
      </c>
      <c r="G20" s="5" t="s">
        <v>160</v>
      </c>
      <c r="H20" s="5"/>
      <c r="I20" s="5"/>
      <c r="J20" s="5"/>
      <c r="K20" s="5" t="s">
        <v>139</v>
      </c>
      <c r="L20" s="5"/>
      <c r="M20" s="5" t="s">
        <v>139</v>
      </c>
      <c r="N20" s="5"/>
    </row>
    <row r="21" spans="1:14" x14ac:dyDescent="0.45">
      <c r="A21" t="s">
        <v>182</v>
      </c>
      <c r="B21" t="s">
        <v>133</v>
      </c>
      <c r="C21" t="s">
        <v>183</v>
      </c>
      <c r="D21" t="s">
        <v>169</v>
      </c>
      <c r="E21" t="s">
        <v>184</v>
      </c>
      <c r="F21" t="s">
        <v>185</v>
      </c>
      <c r="G21" t="s">
        <v>182</v>
      </c>
      <c r="H21" t="s">
        <v>186</v>
      </c>
      <c r="J21" t="s">
        <v>139</v>
      </c>
      <c r="M21" t="s">
        <v>139</v>
      </c>
    </row>
    <row r="22" spans="1:14" x14ac:dyDescent="0.45">
      <c r="A22" s="5" t="s">
        <v>187</v>
      </c>
      <c r="B22" s="5" t="s">
        <v>140</v>
      </c>
      <c r="C22" s="5" t="s">
        <v>188</v>
      </c>
      <c r="D22" s="5" t="s">
        <v>157</v>
      </c>
      <c r="E22" s="5" t="s">
        <v>189</v>
      </c>
      <c r="F22" s="5" t="s">
        <v>159</v>
      </c>
      <c r="G22" s="5" t="s">
        <v>160</v>
      </c>
      <c r="H22" s="5"/>
      <c r="I22" s="5"/>
      <c r="J22" s="5"/>
      <c r="K22" s="5"/>
      <c r="L22" s="5"/>
      <c r="M22" s="5" t="s">
        <v>139</v>
      </c>
      <c r="N22" s="5"/>
    </row>
    <row r="23" spans="1:14" x14ac:dyDescent="0.45">
      <c r="A23" t="s">
        <v>190</v>
      </c>
      <c r="B23" t="s">
        <v>140</v>
      </c>
      <c r="C23" t="s">
        <v>191</v>
      </c>
      <c r="D23" t="s">
        <v>157</v>
      </c>
      <c r="E23" t="s">
        <v>192</v>
      </c>
      <c r="F23" t="s">
        <v>159</v>
      </c>
      <c r="G23" t="s">
        <v>160</v>
      </c>
      <c r="M23" t="s">
        <v>139</v>
      </c>
    </row>
    <row r="24" spans="1:14" x14ac:dyDescent="0.45">
      <c r="A24" s="5" t="s">
        <v>193</v>
      </c>
      <c r="B24" s="5" t="s">
        <v>140</v>
      </c>
      <c r="C24" s="5" t="s">
        <v>194</v>
      </c>
      <c r="D24" s="5" t="s">
        <v>157</v>
      </c>
      <c r="E24" s="5" t="s">
        <v>195</v>
      </c>
      <c r="F24" s="5" t="s">
        <v>159</v>
      </c>
      <c r="G24" s="5" t="s">
        <v>160</v>
      </c>
      <c r="H24" s="5"/>
      <c r="I24" s="5"/>
      <c r="J24" s="5"/>
      <c r="K24" s="5"/>
      <c r="L24" s="5"/>
      <c r="M24" s="5" t="s">
        <v>139</v>
      </c>
      <c r="N24" s="5"/>
    </row>
    <row r="25" spans="1:14" x14ac:dyDescent="0.45">
      <c r="A25" t="s">
        <v>196</v>
      </c>
      <c r="B25" t="s">
        <v>140</v>
      </c>
      <c r="C25" t="s">
        <v>197</v>
      </c>
      <c r="D25" t="s">
        <v>157</v>
      </c>
      <c r="E25" t="s">
        <v>198</v>
      </c>
      <c r="F25" t="s">
        <v>159</v>
      </c>
      <c r="G25" t="s">
        <v>160</v>
      </c>
      <c r="M25" t="s">
        <v>139</v>
      </c>
    </row>
    <row r="26" spans="1:14" x14ac:dyDescent="0.45">
      <c r="A26" s="5" t="s">
        <v>199</v>
      </c>
      <c r="B26" s="5" t="s">
        <v>140</v>
      </c>
      <c r="C26" s="5" t="s">
        <v>200</v>
      </c>
      <c r="D26" s="5" t="s">
        <v>157</v>
      </c>
      <c r="E26" s="5" t="s">
        <v>201</v>
      </c>
      <c r="F26" s="5" t="s">
        <v>159</v>
      </c>
      <c r="G26" s="5" t="s">
        <v>160</v>
      </c>
      <c r="H26" s="5"/>
      <c r="I26" s="5"/>
      <c r="J26" s="5"/>
      <c r="K26" s="5"/>
      <c r="L26" s="5"/>
      <c r="M26" s="5" t="s">
        <v>139</v>
      </c>
      <c r="N26" s="5"/>
    </row>
    <row r="27" spans="1:14" x14ac:dyDescent="0.45">
      <c r="A27" t="s">
        <v>202</v>
      </c>
      <c r="B27" t="s">
        <v>140</v>
      </c>
      <c r="C27" t="s">
        <v>203</v>
      </c>
      <c r="D27" t="s">
        <v>157</v>
      </c>
      <c r="E27" t="s">
        <v>204</v>
      </c>
      <c r="F27" t="s">
        <v>159</v>
      </c>
      <c r="G27" t="s">
        <v>160</v>
      </c>
      <c r="M27" t="s">
        <v>139</v>
      </c>
    </row>
    <row r="28" spans="1:14" x14ac:dyDescent="0.45">
      <c r="A28" s="5" t="s">
        <v>205</v>
      </c>
      <c r="B28" s="5" t="s">
        <v>140</v>
      </c>
      <c r="C28" s="5" t="s">
        <v>206</v>
      </c>
      <c r="D28" s="5" t="s">
        <v>157</v>
      </c>
      <c r="E28" s="5" t="s">
        <v>204</v>
      </c>
      <c r="F28" s="5" t="s">
        <v>159</v>
      </c>
      <c r="G28" s="5" t="s">
        <v>160</v>
      </c>
      <c r="H28" s="5"/>
      <c r="I28" s="5"/>
      <c r="J28" s="5" t="s">
        <v>139</v>
      </c>
      <c r="K28" s="5" t="s">
        <v>139</v>
      </c>
      <c r="L28" s="5"/>
      <c r="M28" s="5" t="s">
        <v>139</v>
      </c>
      <c r="N28" s="5"/>
    </row>
    <row r="29" spans="1:14" x14ac:dyDescent="0.45">
      <c r="A29" t="s">
        <v>207</v>
      </c>
      <c r="B29" t="s">
        <v>133</v>
      </c>
      <c r="C29" t="s">
        <v>208</v>
      </c>
      <c r="D29" t="s">
        <v>169</v>
      </c>
      <c r="E29" t="s">
        <v>209</v>
      </c>
      <c r="F29" t="s">
        <v>210</v>
      </c>
      <c r="G29" t="s">
        <v>138</v>
      </c>
      <c r="H29" t="s">
        <v>211</v>
      </c>
      <c r="J29" t="s">
        <v>139</v>
      </c>
      <c r="M29" t="s">
        <v>139</v>
      </c>
    </row>
    <row r="30" spans="1:14" x14ac:dyDescent="0.45">
      <c r="A30" s="5" t="s">
        <v>212</v>
      </c>
      <c r="B30" s="5" t="s">
        <v>140</v>
      </c>
      <c r="C30" s="5" t="s">
        <v>213</v>
      </c>
      <c r="D30" s="5" t="s">
        <v>214</v>
      </c>
      <c r="E30" s="5" t="s">
        <v>215</v>
      </c>
      <c r="F30" s="5" t="s">
        <v>159</v>
      </c>
      <c r="G30" s="5" t="s">
        <v>138</v>
      </c>
      <c r="H30" s="5"/>
      <c r="I30" s="5"/>
      <c r="J30" s="5" t="s">
        <v>139</v>
      </c>
      <c r="K30" s="5"/>
      <c r="L30" s="5"/>
      <c r="M30" s="5" t="s">
        <v>139</v>
      </c>
      <c r="N30" s="5"/>
    </row>
    <row r="31" spans="1:14" x14ac:dyDescent="0.45">
      <c r="A31" s="6" t="s">
        <v>216</v>
      </c>
      <c r="B31" s="7"/>
      <c r="C31" s="7"/>
      <c r="D31" s="7"/>
      <c r="E31" s="7"/>
      <c r="F31" s="7"/>
      <c r="G31" s="7"/>
      <c r="H31" s="7"/>
      <c r="I31" s="7"/>
      <c r="J31" s="7"/>
      <c r="K31" s="7"/>
      <c r="L31" s="7"/>
      <c r="M31" s="7"/>
      <c r="N31" s="7"/>
    </row>
    <row r="32" spans="1:14" x14ac:dyDescent="0.45">
      <c r="A32" t="s">
        <v>217</v>
      </c>
      <c r="B32" t="s">
        <v>140</v>
      </c>
      <c r="C32" t="s">
        <v>218</v>
      </c>
      <c r="D32" t="s">
        <v>157</v>
      </c>
      <c r="E32" t="s">
        <v>219</v>
      </c>
      <c r="F32" t="s">
        <v>159</v>
      </c>
      <c r="G32" t="s">
        <v>160</v>
      </c>
      <c r="I32" t="s">
        <v>139</v>
      </c>
      <c r="J32" t="s">
        <v>139</v>
      </c>
      <c r="M32" t="s">
        <v>139</v>
      </c>
    </row>
    <row r="33" spans="1:14" x14ac:dyDescent="0.45">
      <c r="A33" s="5" t="s">
        <v>220</v>
      </c>
      <c r="B33" s="5" t="s">
        <v>140</v>
      </c>
      <c r="C33" s="5" t="s">
        <v>221</v>
      </c>
      <c r="D33" s="5" t="s">
        <v>157</v>
      </c>
      <c r="E33" s="5" t="s">
        <v>222</v>
      </c>
      <c r="F33" s="5" t="s">
        <v>159</v>
      </c>
      <c r="G33" s="5" t="s">
        <v>160</v>
      </c>
      <c r="H33" s="5"/>
      <c r="I33" s="5" t="s">
        <v>139</v>
      </c>
      <c r="J33" s="5" t="s">
        <v>139</v>
      </c>
      <c r="K33" s="5"/>
      <c r="L33" s="5"/>
      <c r="M33" s="5" t="s">
        <v>139</v>
      </c>
      <c r="N33" s="5"/>
    </row>
    <row r="34" spans="1:14" x14ac:dyDescent="0.45">
      <c r="A34" t="s">
        <v>223</v>
      </c>
      <c r="B34" t="s">
        <v>224</v>
      </c>
      <c r="C34" t="s">
        <v>225</v>
      </c>
      <c r="D34" t="s">
        <v>226</v>
      </c>
      <c r="E34" t="s">
        <v>227</v>
      </c>
      <c r="F34" t="s">
        <v>228</v>
      </c>
      <c r="G34" t="s">
        <v>138</v>
      </c>
      <c r="M34" t="s">
        <v>139</v>
      </c>
    </row>
    <row r="35" spans="1:14" x14ac:dyDescent="0.45">
      <c r="A35" s="5" t="s">
        <v>229</v>
      </c>
      <c r="B35" s="5" t="s">
        <v>167</v>
      </c>
      <c r="C35" s="5" t="s">
        <v>225</v>
      </c>
      <c r="D35" s="5" t="s">
        <v>226</v>
      </c>
      <c r="E35" s="5" t="s">
        <v>227</v>
      </c>
      <c r="F35" s="5" t="s">
        <v>230</v>
      </c>
      <c r="G35" s="5" t="s">
        <v>138</v>
      </c>
      <c r="H35" s="5"/>
      <c r="I35" s="5"/>
      <c r="J35" s="5"/>
      <c r="K35" s="5"/>
      <c r="L35" s="5"/>
      <c r="M35" s="5" t="s">
        <v>139</v>
      </c>
      <c r="N35" s="5"/>
    </row>
    <row r="36" spans="1:14" x14ac:dyDescent="0.45">
      <c r="A36" t="s">
        <v>231</v>
      </c>
      <c r="B36" t="s">
        <v>167</v>
      </c>
      <c r="C36" t="s">
        <v>225</v>
      </c>
      <c r="D36" t="s">
        <v>226</v>
      </c>
      <c r="E36" t="s">
        <v>227</v>
      </c>
      <c r="F36" t="s">
        <v>232</v>
      </c>
      <c r="G36" t="s">
        <v>138</v>
      </c>
      <c r="M36" t="s">
        <v>139</v>
      </c>
    </row>
    <row r="37" spans="1:14" x14ac:dyDescent="0.45">
      <c r="A37" s="5" t="s">
        <v>233</v>
      </c>
      <c r="B37" s="5" t="s">
        <v>224</v>
      </c>
      <c r="C37" s="5" t="s">
        <v>225</v>
      </c>
      <c r="D37" s="5" t="s">
        <v>226</v>
      </c>
      <c r="E37" s="5" t="s">
        <v>227</v>
      </c>
      <c r="F37" s="5" t="s">
        <v>234</v>
      </c>
      <c r="G37" s="5" t="s">
        <v>138</v>
      </c>
      <c r="H37" s="5"/>
      <c r="I37" s="5"/>
      <c r="J37" s="5"/>
      <c r="K37" s="5"/>
      <c r="L37" s="5"/>
      <c r="M37" s="5" t="s">
        <v>139</v>
      </c>
      <c r="N37" s="5"/>
    </row>
    <row r="38" spans="1:14" x14ac:dyDescent="0.45">
      <c r="A38" t="s">
        <v>235</v>
      </c>
      <c r="B38" t="s">
        <v>133</v>
      </c>
      <c r="C38" t="s">
        <v>236</v>
      </c>
      <c r="D38" t="s">
        <v>237</v>
      </c>
      <c r="E38" t="s">
        <v>238</v>
      </c>
      <c r="F38" t="s">
        <v>239</v>
      </c>
      <c r="G38" t="s">
        <v>145</v>
      </c>
      <c r="I38" t="s">
        <v>139</v>
      </c>
      <c r="J38" t="s">
        <v>139</v>
      </c>
      <c r="K38" t="s">
        <v>139</v>
      </c>
      <c r="M38" t="s">
        <v>139</v>
      </c>
    </row>
    <row r="39" spans="1:14" x14ac:dyDescent="0.45">
      <c r="A39" s="5" t="s">
        <v>240</v>
      </c>
      <c r="B39" s="5" t="s">
        <v>140</v>
      </c>
      <c r="C39" s="5" t="s">
        <v>241</v>
      </c>
      <c r="D39" s="5" t="s">
        <v>157</v>
      </c>
      <c r="E39" s="5" t="s">
        <v>242</v>
      </c>
      <c r="F39" s="5" t="s">
        <v>159</v>
      </c>
      <c r="G39" s="5" t="s">
        <v>160</v>
      </c>
      <c r="H39" s="5"/>
      <c r="I39" s="5"/>
      <c r="J39" s="5" t="s">
        <v>139</v>
      </c>
      <c r="K39" s="5" t="s">
        <v>139</v>
      </c>
      <c r="L39" s="5"/>
      <c r="M39" s="5" t="s">
        <v>139</v>
      </c>
      <c r="N39" s="5"/>
    </row>
    <row r="40" spans="1:14" x14ac:dyDescent="0.45">
      <c r="A40" t="s">
        <v>243</v>
      </c>
      <c r="B40" t="s">
        <v>140</v>
      </c>
      <c r="C40" t="s">
        <v>244</v>
      </c>
      <c r="D40" t="s">
        <v>157</v>
      </c>
      <c r="E40" t="s">
        <v>242</v>
      </c>
      <c r="F40" t="s">
        <v>159</v>
      </c>
      <c r="G40" t="s">
        <v>160</v>
      </c>
      <c r="J40" t="s">
        <v>139</v>
      </c>
      <c r="M40" t="s">
        <v>139</v>
      </c>
    </row>
    <row r="41" spans="1:14" x14ac:dyDescent="0.45">
      <c r="A41" s="5" t="s">
        <v>245</v>
      </c>
      <c r="B41" s="5" t="s">
        <v>140</v>
      </c>
      <c r="C41" s="5" t="s">
        <v>246</v>
      </c>
      <c r="D41" s="5" t="s">
        <v>157</v>
      </c>
      <c r="E41" s="5" t="s">
        <v>247</v>
      </c>
      <c r="F41" s="5" t="s">
        <v>159</v>
      </c>
      <c r="G41" s="5" t="s">
        <v>160</v>
      </c>
      <c r="H41" s="5"/>
      <c r="I41" s="5"/>
      <c r="J41" s="5"/>
      <c r="K41" s="5"/>
      <c r="L41" s="5"/>
      <c r="M41" s="5" t="s">
        <v>139</v>
      </c>
      <c r="N41" s="5"/>
    </row>
    <row r="42" spans="1:14" x14ac:dyDescent="0.45">
      <c r="A42" t="s">
        <v>248</v>
      </c>
      <c r="B42" t="s">
        <v>140</v>
      </c>
      <c r="C42" t="s">
        <v>249</v>
      </c>
      <c r="D42" t="s">
        <v>157</v>
      </c>
      <c r="E42" t="s">
        <v>247</v>
      </c>
      <c r="F42" t="s">
        <v>159</v>
      </c>
      <c r="G42" t="s">
        <v>160</v>
      </c>
      <c r="J42" t="s">
        <v>139</v>
      </c>
      <c r="K42" t="s">
        <v>139</v>
      </c>
      <c r="M42" t="s">
        <v>139</v>
      </c>
    </row>
    <row r="43" spans="1:14" x14ac:dyDescent="0.45">
      <c r="A43" s="5" t="s">
        <v>250</v>
      </c>
      <c r="B43" s="5" t="s">
        <v>140</v>
      </c>
      <c r="C43" s="5" t="s">
        <v>251</v>
      </c>
      <c r="D43" s="5" t="s">
        <v>157</v>
      </c>
      <c r="E43" s="5" t="s">
        <v>252</v>
      </c>
      <c r="F43" s="5" t="s">
        <v>159</v>
      </c>
      <c r="G43" s="5" t="s">
        <v>160</v>
      </c>
      <c r="H43" s="5"/>
      <c r="I43" s="5"/>
      <c r="J43" s="5" t="s">
        <v>139</v>
      </c>
      <c r="K43" s="5"/>
      <c r="L43" s="5"/>
      <c r="M43" s="5" t="s">
        <v>139</v>
      </c>
      <c r="N43" s="5"/>
    </row>
    <row r="44" spans="1:14" x14ac:dyDescent="0.45">
      <c r="A44" t="s">
        <v>253</v>
      </c>
      <c r="B44" t="s">
        <v>140</v>
      </c>
      <c r="C44" t="s">
        <v>251</v>
      </c>
      <c r="D44" t="s">
        <v>157</v>
      </c>
      <c r="E44" t="s">
        <v>252</v>
      </c>
      <c r="F44" t="s">
        <v>159</v>
      </c>
      <c r="G44" t="s">
        <v>160</v>
      </c>
      <c r="J44" t="s">
        <v>139</v>
      </c>
      <c r="M44" t="s">
        <v>139</v>
      </c>
    </row>
    <row r="45" spans="1:14" x14ac:dyDescent="0.45">
      <c r="A45" s="5" t="s">
        <v>254</v>
      </c>
      <c r="B45" s="5" t="s">
        <v>140</v>
      </c>
      <c r="C45" s="5" t="s">
        <v>255</v>
      </c>
      <c r="D45" s="5" t="s">
        <v>157</v>
      </c>
      <c r="E45" s="5" t="s">
        <v>256</v>
      </c>
      <c r="F45" s="5" t="s">
        <v>159</v>
      </c>
      <c r="G45" s="5" t="s">
        <v>160</v>
      </c>
      <c r="H45" s="5"/>
      <c r="I45" s="5" t="s">
        <v>139</v>
      </c>
      <c r="J45" s="5"/>
      <c r="K45" s="5"/>
      <c r="L45" s="5"/>
      <c r="M45" s="5" t="s">
        <v>139</v>
      </c>
      <c r="N45" s="5"/>
    </row>
    <row r="46" spans="1:14" x14ac:dyDescent="0.45">
      <c r="A46" t="s">
        <v>257</v>
      </c>
      <c r="B46" t="s">
        <v>140</v>
      </c>
      <c r="C46" t="s">
        <v>258</v>
      </c>
      <c r="D46" t="s">
        <v>157</v>
      </c>
      <c r="E46" t="s">
        <v>242</v>
      </c>
      <c r="F46" t="s">
        <v>159</v>
      </c>
      <c r="G46" t="s">
        <v>160</v>
      </c>
      <c r="I46" t="s">
        <v>139</v>
      </c>
      <c r="J46" t="s">
        <v>139</v>
      </c>
      <c r="M46" t="s">
        <v>139</v>
      </c>
    </row>
    <row r="47" spans="1:14" x14ac:dyDescent="0.45">
      <c r="A47" s="5" t="s">
        <v>259</v>
      </c>
      <c r="B47" s="5" t="s">
        <v>140</v>
      </c>
      <c r="C47" s="5" t="s">
        <v>260</v>
      </c>
      <c r="D47" s="5" t="s">
        <v>157</v>
      </c>
      <c r="E47" s="5" t="s">
        <v>242</v>
      </c>
      <c r="F47" s="5" t="s">
        <v>159</v>
      </c>
      <c r="G47" s="5" t="s">
        <v>160</v>
      </c>
      <c r="H47" s="5"/>
      <c r="I47" s="5"/>
      <c r="J47" s="5"/>
      <c r="K47" s="5"/>
      <c r="L47" s="5"/>
      <c r="M47" s="5" t="s">
        <v>139</v>
      </c>
      <c r="N47" s="5"/>
    </row>
    <row r="48" spans="1:14" x14ac:dyDescent="0.45">
      <c r="A48" t="s">
        <v>261</v>
      </c>
      <c r="B48" t="s">
        <v>224</v>
      </c>
      <c r="C48" t="s">
        <v>262</v>
      </c>
      <c r="D48" t="s">
        <v>237</v>
      </c>
      <c r="E48" t="s">
        <v>263</v>
      </c>
      <c r="F48" t="s">
        <v>264</v>
      </c>
      <c r="G48" t="s">
        <v>138</v>
      </c>
      <c r="H48" t="s">
        <v>265</v>
      </c>
      <c r="M48" t="s">
        <v>139</v>
      </c>
    </row>
    <row r="49" spans="1:14" x14ac:dyDescent="0.45">
      <c r="A49" s="5" t="s">
        <v>266</v>
      </c>
      <c r="B49" s="5" t="s">
        <v>167</v>
      </c>
      <c r="C49" s="5" t="s">
        <v>267</v>
      </c>
      <c r="D49" s="5" t="s">
        <v>226</v>
      </c>
      <c r="E49" s="5" t="s">
        <v>268</v>
      </c>
      <c r="F49" s="5" t="s">
        <v>269</v>
      </c>
      <c r="G49" s="5" t="s">
        <v>138</v>
      </c>
      <c r="H49" s="5" t="s">
        <v>270</v>
      </c>
      <c r="I49" s="5"/>
      <c r="J49" s="5"/>
      <c r="K49" s="5"/>
      <c r="L49" s="5"/>
      <c r="M49" s="5" t="s">
        <v>139</v>
      </c>
      <c r="N49" s="5"/>
    </row>
    <row r="50" spans="1:14" x14ac:dyDescent="0.45">
      <c r="A50" s="6" t="s">
        <v>271</v>
      </c>
      <c r="B50" s="7"/>
      <c r="C50" s="7"/>
      <c r="D50" s="7"/>
      <c r="E50" s="7"/>
      <c r="F50" s="7"/>
      <c r="G50" s="7"/>
      <c r="H50" s="7"/>
      <c r="I50" s="7"/>
      <c r="J50" s="7"/>
      <c r="K50" s="7"/>
      <c r="L50" s="7"/>
      <c r="M50" s="7"/>
      <c r="N50" s="7"/>
    </row>
    <row r="51" spans="1:14" x14ac:dyDescent="0.45">
      <c r="A51" t="s">
        <v>272</v>
      </c>
      <c r="B51" t="s">
        <v>224</v>
      </c>
      <c r="C51" t="s">
        <v>273</v>
      </c>
      <c r="D51" t="s">
        <v>274</v>
      </c>
      <c r="E51" t="s">
        <v>275</v>
      </c>
      <c r="F51" t="s">
        <v>276</v>
      </c>
      <c r="G51" t="s">
        <v>145</v>
      </c>
      <c r="M51" t="s">
        <v>139</v>
      </c>
    </row>
    <row r="52" spans="1:14" x14ac:dyDescent="0.45">
      <c r="A52" s="5" t="s">
        <v>277</v>
      </c>
      <c r="B52" s="5" t="s">
        <v>224</v>
      </c>
      <c r="C52" s="5" t="s">
        <v>273</v>
      </c>
      <c r="D52" s="5" t="s">
        <v>274</v>
      </c>
      <c r="E52" s="5" t="s">
        <v>275</v>
      </c>
      <c r="F52" s="5" t="s">
        <v>278</v>
      </c>
      <c r="G52" s="5" t="s">
        <v>145</v>
      </c>
      <c r="H52" s="5"/>
      <c r="I52" s="5"/>
      <c r="J52" s="5"/>
      <c r="K52" s="5"/>
      <c r="L52" s="5"/>
      <c r="M52" s="5" t="s">
        <v>139</v>
      </c>
      <c r="N52" s="5"/>
    </row>
    <row r="53" spans="1:14" x14ac:dyDescent="0.45">
      <c r="A53" t="s">
        <v>279</v>
      </c>
      <c r="B53" t="s">
        <v>280</v>
      </c>
      <c r="C53" t="s">
        <v>273</v>
      </c>
      <c r="D53" t="s">
        <v>169</v>
      </c>
      <c r="E53" t="s">
        <v>281</v>
      </c>
      <c r="F53" t="s">
        <v>282</v>
      </c>
      <c r="G53" t="s">
        <v>145</v>
      </c>
      <c r="M53" t="s">
        <v>139</v>
      </c>
    </row>
    <row r="54" spans="1:14" x14ac:dyDescent="0.45">
      <c r="A54" s="5" t="s">
        <v>283</v>
      </c>
      <c r="B54" s="5" t="s">
        <v>280</v>
      </c>
      <c r="C54" s="5" t="s">
        <v>273</v>
      </c>
      <c r="D54" s="5" t="s">
        <v>169</v>
      </c>
      <c r="E54" s="5" t="s">
        <v>284</v>
      </c>
      <c r="F54" s="5" t="s">
        <v>285</v>
      </c>
      <c r="G54" s="5" t="s">
        <v>145</v>
      </c>
      <c r="H54" s="5"/>
      <c r="I54" s="5"/>
      <c r="J54" s="5"/>
      <c r="K54" s="5"/>
      <c r="L54" s="5"/>
      <c r="M54" s="5" t="s">
        <v>139</v>
      </c>
      <c r="N54" s="5"/>
    </row>
    <row r="55" spans="1:14" x14ac:dyDescent="0.45">
      <c r="A55" t="s">
        <v>286</v>
      </c>
      <c r="B55" t="s">
        <v>280</v>
      </c>
      <c r="C55" t="s">
        <v>273</v>
      </c>
      <c r="D55" t="s">
        <v>169</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237</v>
      </c>
      <c r="E59" s="5" t="s">
        <v>298</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237</v>
      </c>
      <c r="E62" t="s">
        <v>298</v>
      </c>
      <c r="F62" t="s">
        <v>309</v>
      </c>
      <c r="G62" t="s">
        <v>138</v>
      </c>
      <c r="H62" t="s">
        <v>310</v>
      </c>
      <c r="I62" t="s">
        <v>139</v>
      </c>
      <c r="J62" t="s">
        <v>139</v>
      </c>
      <c r="M62" t="s">
        <v>139</v>
      </c>
    </row>
    <row r="63" spans="1:14" x14ac:dyDescent="0.45">
      <c r="A63" s="5" t="s">
        <v>311</v>
      </c>
      <c r="B63" s="5" t="s">
        <v>140</v>
      </c>
      <c r="C63" s="5" t="s">
        <v>312</v>
      </c>
      <c r="D63" s="5" t="s">
        <v>135</v>
      </c>
      <c r="E63" s="5" t="s">
        <v>313</v>
      </c>
      <c r="F63" s="5" t="s">
        <v>159</v>
      </c>
      <c r="G63" s="5" t="s">
        <v>160</v>
      </c>
      <c r="H63" s="5"/>
      <c r="I63" s="5" t="s">
        <v>139</v>
      </c>
      <c r="J63" s="5" t="s">
        <v>139</v>
      </c>
      <c r="K63" s="5"/>
      <c r="L63" s="5"/>
      <c r="M63" s="5" t="s">
        <v>139</v>
      </c>
      <c r="N63" s="5"/>
    </row>
    <row r="64" spans="1:14" x14ac:dyDescent="0.45">
      <c r="A64" t="s">
        <v>314</v>
      </c>
      <c r="B64" t="s">
        <v>140</v>
      </c>
      <c r="C64" t="s">
        <v>315</v>
      </c>
      <c r="D64" t="s">
        <v>135</v>
      </c>
      <c r="E64" t="s">
        <v>316</v>
      </c>
      <c r="F64" t="s">
        <v>159</v>
      </c>
      <c r="G64" t="s">
        <v>160</v>
      </c>
      <c r="J64" t="s">
        <v>139</v>
      </c>
      <c r="M64" t="s">
        <v>139</v>
      </c>
    </row>
    <row r="65" spans="1:14" x14ac:dyDescent="0.45">
      <c r="A65" s="5" t="s">
        <v>317</v>
      </c>
      <c r="B65" s="5" t="s">
        <v>224</v>
      </c>
      <c r="C65" s="5" t="s">
        <v>318</v>
      </c>
      <c r="D65" s="5" t="s">
        <v>237</v>
      </c>
      <c r="E65" s="5" t="s">
        <v>298</v>
      </c>
      <c r="F65" s="5" t="s">
        <v>319</v>
      </c>
      <c r="G65" s="5" t="s">
        <v>138</v>
      </c>
      <c r="H65" s="5"/>
      <c r="I65" s="5" t="s">
        <v>139</v>
      </c>
      <c r="J65" s="5" t="s">
        <v>139</v>
      </c>
      <c r="K65" s="5"/>
      <c r="L65" s="5"/>
      <c r="M65" s="5" t="s">
        <v>139</v>
      </c>
      <c r="N65" s="5"/>
    </row>
    <row r="66" spans="1:14" x14ac:dyDescent="0.45">
      <c r="A66" t="s">
        <v>320</v>
      </c>
      <c r="B66" t="s">
        <v>140</v>
      </c>
      <c r="C66" t="s">
        <v>321</v>
      </c>
      <c r="D66" t="s">
        <v>135</v>
      </c>
      <c r="E66" t="s">
        <v>322</v>
      </c>
      <c r="F66" t="s">
        <v>159</v>
      </c>
      <c r="G66" t="s">
        <v>160</v>
      </c>
      <c r="M66" t="s">
        <v>139</v>
      </c>
    </row>
    <row r="67" spans="1:14" x14ac:dyDescent="0.45">
      <c r="A67" s="5" t="s">
        <v>323</v>
      </c>
      <c r="B67" s="5" t="s">
        <v>140</v>
      </c>
      <c r="C67" s="5" t="s">
        <v>324</v>
      </c>
      <c r="D67" s="5" t="s">
        <v>135</v>
      </c>
      <c r="E67" s="5" t="s">
        <v>325</v>
      </c>
      <c r="F67" s="5" t="s">
        <v>159</v>
      </c>
      <c r="G67" s="5" t="s">
        <v>160</v>
      </c>
      <c r="H67" s="5"/>
      <c r="I67" s="5"/>
      <c r="J67" s="5"/>
      <c r="K67" s="5"/>
      <c r="L67" s="5"/>
      <c r="M67" s="5" t="s">
        <v>139</v>
      </c>
      <c r="N67" s="5"/>
    </row>
    <row r="68" spans="1:14" x14ac:dyDescent="0.45">
      <c r="A68" t="s">
        <v>326</v>
      </c>
      <c r="B68" t="s">
        <v>140</v>
      </c>
      <c r="C68" t="s">
        <v>327</v>
      </c>
      <c r="D68" t="s">
        <v>135</v>
      </c>
      <c r="E68" t="s">
        <v>328</v>
      </c>
      <c r="F68" t="s">
        <v>159</v>
      </c>
      <c r="G68" t="s">
        <v>160</v>
      </c>
      <c r="I68" t="s">
        <v>139</v>
      </c>
      <c r="J68" t="s">
        <v>139</v>
      </c>
      <c r="M68" t="s">
        <v>139</v>
      </c>
    </row>
    <row r="69" spans="1:14" x14ac:dyDescent="0.45">
      <c r="A69" s="6" t="s">
        <v>329</v>
      </c>
      <c r="B69" s="7"/>
      <c r="C69" s="7"/>
      <c r="D69" s="7"/>
      <c r="E69" s="7"/>
      <c r="F69" s="7"/>
      <c r="G69" s="7"/>
      <c r="H69" s="7"/>
      <c r="I69" s="7"/>
      <c r="J69" s="7"/>
      <c r="K69" s="7"/>
      <c r="L69" s="7"/>
      <c r="M69" s="7"/>
      <c r="N69" s="7"/>
    </row>
    <row r="70" spans="1:14" x14ac:dyDescent="0.45">
      <c r="A70" s="5" t="s">
        <v>330</v>
      </c>
      <c r="B70" s="5" t="s">
        <v>133</v>
      </c>
      <c r="C70" s="5" t="s">
        <v>331</v>
      </c>
      <c r="D70" s="5" t="s">
        <v>237</v>
      </c>
      <c r="E70" s="5" t="s">
        <v>332</v>
      </c>
      <c r="F70" s="5" t="s">
        <v>237</v>
      </c>
      <c r="G70" s="5" t="s">
        <v>138</v>
      </c>
      <c r="H70" s="5"/>
      <c r="I70" s="5" t="s">
        <v>139</v>
      </c>
      <c r="J70" s="5" t="s">
        <v>139</v>
      </c>
      <c r="K70" s="5"/>
      <c r="L70" s="5"/>
      <c r="M70" s="5" t="s">
        <v>139</v>
      </c>
      <c r="N70" s="5"/>
    </row>
    <row r="71" spans="1:14" x14ac:dyDescent="0.45">
      <c r="A71" t="s">
        <v>333</v>
      </c>
      <c r="B71" t="s">
        <v>140</v>
      </c>
      <c r="C71" t="s">
        <v>334</v>
      </c>
      <c r="D71" t="s">
        <v>335</v>
      </c>
      <c r="E71" t="s">
        <v>336</v>
      </c>
      <c r="F71" t="s">
        <v>159</v>
      </c>
      <c r="G71" t="s">
        <v>160</v>
      </c>
      <c r="I71" t="s">
        <v>139</v>
      </c>
      <c r="J71" t="s">
        <v>139</v>
      </c>
      <c r="M71" t="s">
        <v>139</v>
      </c>
    </row>
    <row r="72" spans="1:14" x14ac:dyDescent="0.45">
      <c r="A72" s="5" t="s">
        <v>337</v>
      </c>
      <c r="B72" s="5" t="s">
        <v>140</v>
      </c>
      <c r="C72" s="5" t="s">
        <v>338</v>
      </c>
      <c r="D72" s="5" t="s">
        <v>335</v>
      </c>
      <c r="E72" s="5" t="s">
        <v>339</v>
      </c>
      <c r="F72" s="5" t="s">
        <v>159</v>
      </c>
      <c r="G72" s="5" t="s">
        <v>160</v>
      </c>
      <c r="H72" s="5"/>
      <c r="I72" s="5" t="s">
        <v>139</v>
      </c>
      <c r="J72" s="5" t="s">
        <v>139</v>
      </c>
      <c r="K72" s="5"/>
      <c r="L72" s="5"/>
      <c r="M72" s="5" t="s">
        <v>139</v>
      </c>
      <c r="N72" s="5"/>
    </row>
    <row r="73" spans="1:14" x14ac:dyDescent="0.45">
      <c r="A73" t="s">
        <v>340</v>
      </c>
      <c r="B73" t="s">
        <v>140</v>
      </c>
      <c r="C73" t="s">
        <v>341</v>
      </c>
      <c r="D73" t="s">
        <v>335</v>
      </c>
      <c r="E73" t="s">
        <v>342</v>
      </c>
      <c r="F73" t="s">
        <v>159</v>
      </c>
      <c r="G73" t="s">
        <v>160</v>
      </c>
      <c r="I73" t="s">
        <v>139</v>
      </c>
      <c r="J73" t="s">
        <v>139</v>
      </c>
      <c r="M73" t="s">
        <v>139</v>
      </c>
    </row>
    <row r="74" spans="1:14" x14ac:dyDescent="0.45">
      <c r="A74" s="5" t="s">
        <v>343</v>
      </c>
      <c r="B74" s="5" t="s">
        <v>140</v>
      </c>
      <c r="C74" s="5" t="s">
        <v>344</v>
      </c>
      <c r="D74" s="5" t="s">
        <v>135</v>
      </c>
      <c r="E74" s="5" t="s">
        <v>345</v>
      </c>
      <c r="F74" s="5" t="s">
        <v>159</v>
      </c>
      <c r="G74" s="5" t="s">
        <v>138</v>
      </c>
      <c r="H74" s="5"/>
      <c r="I74" s="5" t="s">
        <v>139</v>
      </c>
      <c r="J74" s="5" t="s">
        <v>139</v>
      </c>
      <c r="K74" s="5"/>
      <c r="L74" s="5"/>
      <c r="M74" s="5" t="s">
        <v>139</v>
      </c>
      <c r="N74" s="5"/>
    </row>
    <row r="75" spans="1:14" x14ac:dyDescent="0.45">
      <c r="A75" t="s">
        <v>346</v>
      </c>
      <c r="B75" t="s">
        <v>140</v>
      </c>
      <c r="C75" t="s">
        <v>347</v>
      </c>
      <c r="D75" t="s">
        <v>135</v>
      </c>
      <c r="E75" t="s">
        <v>345</v>
      </c>
      <c r="F75" t="s">
        <v>159</v>
      </c>
      <c r="G75" t="s">
        <v>138</v>
      </c>
      <c r="I75" t="s">
        <v>139</v>
      </c>
      <c r="J75" t="s">
        <v>139</v>
      </c>
      <c r="M75" t="s">
        <v>139</v>
      </c>
    </row>
    <row r="76" spans="1:14" x14ac:dyDescent="0.45">
      <c r="A76" s="5" t="s">
        <v>348</v>
      </c>
      <c r="B76" s="5" t="s">
        <v>140</v>
      </c>
      <c r="C76" s="5" t="s">
        <v>349</v>
      </c>
      <c r="D76" s="5" t="s">
        <v>335</v>
      </c>
      <c r="E76" s="5" t="s">
        <v>350</v>
      </c>
      <c r="F76" s="5" t="s">
        <v>159</v>
      </c>
      <c r="G76" s="5" t="s">
        <v>160</v>
      </c>
      <c r="H76" s="5"/>
      <c r="I76" s="5" t="s">
        <v>139</v>
      </c>
      <c r="J76" s="5" t="s">
        <v>139</v>
      </c>
      <c r="K76" s="5"/>
      <c r="L76" s="5"/>
      <c r="M76" s="5" t="s">
        <v>139</v>
      </c>
      <c r="N76" s="5"/>
    </row>
    <row r="77" spans="1:14" x14ac:dyDescent="0.45">
      <c r="A77" t="s">
        <v>351</v>
      </c>
      <c r="B77" t="s">
        <v>224</v>
      </c>
      <c r="C77" t="s">
        <v>352</v>
      </c>
      <c r="D77" t="s">
        <v>237</v>
      </c>
      <c r="E77" t="s">
        <v>353</v>
      </c>
      <c r="F77" t="s">
        <v>237</v>
      </c>
      <c r="G77" t="s">
        <v>138</v>
      </c>
      <c r="I77" t="s">
        <v>139</v>
      </c>
      <c r="J77" t="s">
        <v>139</v>
      </c>
      <c r="M77" t="s">
        <v>139</v>
      </c>
    </row>
    <row r="78" spans="1:14" x14ac:dyDescent="0.45">
      <c r="A78" s="5" t="s">
        <v>354</v>
      </c>
      <c r="B78" s="5" t="s">
        <v>140</v>
      </c>
      <c r="C78" s="5" t="s">
        <v>355</v>
      </c>
      <c r="D78" s="5" t="s">
        <v>335</v>
      </c>
      <c r="E78" s="5" t="s">
        <v>356</v>
      </c>
      <c r="F78" s="5" t="s">
        <v>159</v>
      </c>
      <c r="G78" s="5" t="s">
        <v>160</v>
      </c>
      <c r="H78" s="5" t="s">
        <v>357</v>
      </c>
      <c r="I78" s="5" t="s">
        <v>139</v>
      </c>
      <c r="J78" s="5" t="s">
        <v>139</v>
      </c>
      <c r="K78" s="5"/>
      <c r="L78" s="5"/>
      <c r="M78" s="5" t="s">
        <v>139</v>
      </c>
      <c r="N78" s="5"/>
    </row>
    <row r="79" spans="1:14" x14ac:dyDescent="0.45">
      <c r="A79" s="6" t="s">
        <v>358</v>
      </c>
      <c r="B79" s="7"/>
      <c r="C79" s="7"/>
      <c r="D79" s="7"/>
      <c r="E79" s="7"/>
      <c r="F79" s="7"/>
      <c r="G79" s="7"/>
      <c r="H79" s="7"/>
      <c r="I79" s="7"/>
      <c r="J79" s="7"/>
      <c r="K79" s="7"/>
      <c r="L79" s="7"/>
      <c r="M79" s="7"/>
      <c r="N79" s="7"/>
    </row>
    <row r="80" spans="1:14" x14ac:dyDescent="0.45">
      <c r="A80" t="s">
        <v>359</v>
      </c>
      <c r="B80" t="s">
        <v>140</v>
      </c>
      <c r="C80" t="s">
        <v>360</v>
      </c>
      <c r="D80" t="s">
        <v>237</v>
      </c>
      <c r="E80" t="s">
        <v>361</v>
      </c>
      <c r="F80" t="s">
        <v>362</v>
      </c>
      <c r="G80" t="s">
        <v>363</v>
      </c>
      <c r="J80" t="s">
        <v>139</v>
      </c>
      <c r="K80" t="s">
        <v>139</v>
      </c>
      <c r="M80" t="s">
        <v>139</v>
      </c>
    </row>
    <row r="81" spans="1:14" x14ac:dyDescent="0.45">
      <c r="A81" s="5" t="s">
        <v>364</v>
      </c>
      <c r="B81" s="5" t="s">
        <v>133</v>
      </c>
      <c r="C81" s="5" t="s">
        <v>365</v>
      </c>
      <c r="D81" s="5" t="s">
        <v>237</v>
      </c>
      <c r="E81" s="5" t="s">
        <v>366</v>
      </c>
      <c r="F81" s="5" t="s">
        <v>367</v>
      </c>
      <c r="G81" s="5" t="s">
        <v>138</v>
      </c>
      <c r="H81" s="5"/>
      <c r="I81" s="5"/>
      <c r="J81" s="5" t="s">
        <v>139</v>
      </c>
      <c r="K81" s="5"/>
      <c r="L81" s="5"/>
      <c r="M81" s="5" t="s">
        <v>139</v>
      </c>
      <c r="N81" s="5"/>
    </row>
    <row r="82" spans="1:14" x14ac:dyDescent="0.45">
      <c r="A82" t="s">
        <v>368</v>
      </c>
      <c r="B82" t="s">
        <v>140</v>
      </c>
      <c r="C82" t="s">
        <v>369</v>
      </c>
      <c r="D82" t="s">
        <v>237</v>
      </c>
      <c r="E82" t="s">
        <v>370</v>
      </c>
      <c r="F82" t="s">
        <v>371</v>
      </c>
      <c r="G82" t="s">
        <v>138</v>
      </c>
      <c r="J82" t="s">
        <v>139</v>
      </c>
      <c r="M82" t="s">
        <v>139</v>
      </c>
    </row>
    <row r="83" spans="1:14" x14ac:dyDescent="0.45">
      <c r="A83" s="5" t="s">
        <v>372</v>
      </c>
      <c r="B83" s="5" t="s">
        <v>133</v>
      </c>
      <c r="C83" s="5" t="s">
        <v>373</v>
      </c>
      <c r="D83" s="5" t="s">
        <v>237</v>
      </c>
      <c r="E83" s="5" t="s">
        <v>374</v>
      </c>
      <c r="F83" s="5" t="s">
        <v>375</v>
      </c>
      <c r="G83" s="5" t="s">
        <v>138</v>
      </c>
      <c r="H83" s="5"/>
      <c r="I83" s="5"/>
      <c r="J83" s="5"/>
      <c r="K83" s="5"/>
      <c r="L83" s="5"/>
      <c r="M83" s="5" t="s">
        <v>139</v>
      </c>
      <c r="N83" s="5"/>
    </row>
  </sheetData>
  <mergeCells count="12">
    <mergeCell ref="B4:N4"/>
    <mergeCell ref="A7:N7"/>
    <mergeCell ref="B3:N3"/>
    <mergeCell ref="B2:N2"/>
    <mergeCell ref="A1:N1"/>
    <mergeCell ref="A56:N56"/>
    <mergeCell ref="B5:N5"/>
    <mergeCell ref="A31:N31"/>
    <mergeCell ref="A79:N79"/>
    <mergeCell ref="A69:N69"/>
    <mergeCell ref="A12:N12"/>
    <mergeCell ref="A50:N50"/>
  </mergeCells>
  <dataValidations count="1">
    <dataValidation type="list" allowBlank="1" errorTitle="Invalid Review Status" error="Choose a review status from the list." sqref="N2:N83" xr:uid="{00000000-0002-0000-05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84"/>
  <sheetViews>
    <sheetView workbookViewId="0">
      <pane ySplit="6" topLeftCell="A7" activePane="bottomLeft" state="frozen"/>
      <selection pane="bottomLeft"/>
    </sheetView>
  </sheetViews>
  <sheetFormatPr defaultRowHeight="14.25" x14ac:dyDescent="0.45"/>
  <cols>
    <col min="1" max="1" width="50" customWidth="1"/>
    <col min="2" max="2" width="21"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379</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27</v>
      </c>
      <c r="C3" s="7"/>
      <c r="D3" s="7"/>
      <c r="E3" s="7"/>
      <c r="F3" s="7"/>
      <c r="G3" s="7"/>
      <c r="H3" s="7"/>
      <c r="I3" s="7"/>
      <c r="J3" s="7"/>
      <c r="K3" s="7"/>
      <c r="L3" s="7"/>
      <c r="M3" s="7"/>
      <c r="N3" s="7"/>
    </row>
    <row r="4" spans="1:14" x14ac:dyDescent="0.45">
      <c r="A4" s="4" t="s">
        <v>20</v>
      </c>
      <c r="B4" s="7" t="s">
        <v>40</v>
      </c>
      <c r="C4" s="7"/>
      <c r="D4" s="7"/>
      <c r="E4" s="7"/>
      <c r="F4" s="7"/>
      <c r="G4" s="7"/>
      <c r="H4" s="7"/>
      <c r="I4" s="7"/>
      <c r="J4" s="7"/>
      <c r="K4" s="7"/>
      <c r="L4" s="7"/>
      <c r="M4" s="7"/>
      <c r="N4" s="7"/>
    </row>
    <row r="5" spans="1:14" x14ac:dyDescent="0.45">
      <c r="A5" s="4" t="s">
        <v>21</v>
      </c>
      <c r="B5" s="7" t="s">
        <v>41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388</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L10" t="s">
        <v>139</v>
      </c>
      <c r="M10" t="s">
        <v>139</v>
      </c>
    </row>
    <row r="11" spans="1:14" x14ac:dyDescent="0.45">
      <c r="A11" s="5" t="s">
        <v>149</v>
      </c>
      <c r="B11" s="5" t="s">
        <v>140</v>
      </c>
      <c r="C11" s="5" t="s">
        <v>389</v>
      </c>
      <c r="D11" s="5" t="s">
        <v>135</v>
      </c>
      <c r="E11" s="5" t="s">
        <v>390</v>
      </c>
      <c r="F11" s="5" t="s">
        <v>148</v>
      </c>
      <c r="G11" s="5" t="s">
        <v>138</v>
      </c>
      <c r="H11" s="5" t="s">
        <v>391</v>
      </c>
      <c r="I11" s="5" t="s">
        <v>139</v>
      </c>
      <c r="J11" s="5" t="s">
        <v>139</v>
      </c>
      <c r="K11" s="5"/>
      <c r="L11" s="5"/>
      <c r="M11" s="5" t="s">
        <v>139</v>
      </c>
      <c r="N11" s="5"/>
    </row>
    <row r="12" spans="1:14" x14ac:dyDescent="0.45">
      <c r="A12" s="6" t="s">
        <v>154</v>
      </c>
      <c r="B12" s="7"/>
      <c r="C12" s="7"/>
      <c r="D12" s="7"/>
      <c r="E12" s="7"/>
      <c r="F12" s="7"/>
      <c r="G12" s="7"/>
      <c r="H12" s="7"/>
      <c r="I12" s="7"/>
      <c r="J12" s="7"/>
      <c r="K12" s="7"/>
      <c r="L12" s="7"/>
      <c r="M12" s="7"/>
      <c r="N12" s="7"/>
    </row>
    <row r="13" spans="1:14" x14ac:dyDescent="0.45">
      <c r="A13" t="s">
        <v>155</v>
      </c>
      <c r="B13" t="s">
        <v>140</v>
      </c>
      <c r="C13" t="s">
        <v>156</v>
      </c>
      <c r="D13" t="s">
        <v>157</v>
      </c>
      <c r="E13" t="s">
        <v>158</v>
      </c>
      <c r="F13" t="s">
        <v>159</v>
      </c>
      <c r="G13" t="s">
        <v>160</v>
      </c>
      <c r="J13" t="s">
        <v>139</v>
      </c>
      <c r="L13" t="s">
        <v>139</v>
      </c>
      <c r="M13" t="s">
        <v>139</v>
      </c>
    </row>
    <row r="14" spans="1:14" x14ac:dyDescent="0.45">
      <c r="A14" s="5" t="s">
        <v>161</v>
      </c>
      <c r="B14" s="5" t="s">
        <v>140</v>
      </c>
      <c r="C14" s="5" t="s">
        <v>156</v>
      </c>
      <c r="D14" s="5" t="s">
        <v>157</v>
      </c>
      <c r="E14" s="5" t="s">
        <v>162</v>
      </c>
      <c r="F14" s="5" t="s">
        <v>159</v>
      </c>
      <c r="G14" s="5" t="s">
        <v>160</v>
      </c>
      <c r="H14" s="5"/>
      <c r="I14" s="5"/>
      <c r="J14" s="5" t="s">
        <v>139</v>
      </c>
      <c r="K14" s="5"/>
      <c r="L14" s="5" t="s">
        <v>139</v>
      </c>
      <c r="M14" s="5" t="s">
        <v>139</v>
      </c>
      <c r="N14" s="5"/>
    </row>
    <row r="15" spans="1:14" x14ac:dyDescent="0.45">
      <c r="A15" t="s">
        <v>163</v>
      </c>
      <c r="B15" t="s">
        <v>140</v>
      </c>
      <c r="C15" t="s">
        <v>164</v>
      </c>
      <c r="D15" t="s">
        <v>157</v>
      </c>
      <c r="E15" t="s">
        <v>392</v>
      </c>
      <c r="F15" t="s">
        <v>159</v>
      </c>
      <c r="G15" t="s">
        <v>160</v>
      </c>
      <c r="M15" t="s">
        <v>139</v>
      </c>
    </row>
    <row r="16" spans="1:14" x14ac:dyDescent="0.45">
      <c r="A16" s="5" t="s">
        <v>166</v>
      </c>
      <c r="B16" s="5" t="s">
        <v>167</v>
      </c>
      <c r="C16" s="5" t="s">
        <v>168</v>
      </c>
      <c r="D16" s="5" t="s">
        <v>381</v>
      </c>
      <c r="E16" s="5" t="s">
        <v>209</v>
      </c>
      <c r="F16" s="5" t="s">
        <v>171</v>
      </c>
      <c r="G16" s="5" t="s">
        <v>138</v>
      </c>
      <c r="H16" s="5"/>
      <c r="I16" s="5"/>
      <c r="J16" s="5"/>
      <c r="K16" s="5"/>
      <c r="L16" s="5" t="s">
        <v>139</v>
      </c>
      <c r="M16" s="5" t="s">
        <v>139</v>
      </c>
      <c r="N16" s="5"/>
    </row>
    <row r="17" spans="1:14" x14ac:dyDescent="0.45">
      <c r="A17" t="s">
        <v>172</v>
      </c>
      <c r="B17" t="s">
        <v>133</v>
      </c>
      <c r="C17" t="s">
        <v>168</v>
      </c>
      <c r="D17" t="s">
        <v>381</v>
      </c>
      <c r="E17" t="s">
        <v>209</v>
      </c>
      <c r="F17" t="s">
        <v>173</v>
      </c>
      <c r="G17" t="s">
        <v>138</v>
      </c>
      <c r="L17" t="s">
        <v>139</v>
      </c>
      <c r="M17" t="s">
        <v>139</v>
      </c>
    </row>
    <row r="18" spans="1:14" x14ac:dyDescent="0.45">
      <c r="A18" s="5" t="s">
        <v>174</v>
      </c>
      <c r="B18" s="5" t="s">
        <v>167</v>
      </c>
      <c r="C18" s="5" t="s">
        <v>175</v>
      </c>
      <c r="D18" s="5" t="s">
        <v>381</v>
      </c>
      <c r="E18" s="5" t="s">
        <v>393</v>
      </c>
      <c r="F18" s="5" t="s">
        <v>177</v>
      </c>
      <c r="G18" s="5" t="s">
        <v>138</v>
      </c>
      <c r="H18" s="5"/>
      <c r="I18" s="5"/>
      <c r="J18" s="5"/>
      <c r="K18" s="5"/>
      <c r="L18" s="5" t="s">
        <v>139</v>
      </c>
      <c r="M18" s="5" t="s">
        <v>139</v>
      </c>
      <c r="N18" s="5"/>
    </row>
    <row r="19" spans="1:14" x14ac:dyDescent="0.45">
      <c r="A19" t="s">
        <v>178</v>
      </c>
      <c r="B19" t="s">
        <v>167</v>
      </c>
      <c r="C19" t="s">
        <v>179</v>
      </c>
      <c r="D19" t="s">
        <v>394</v>
      </c>
      <c r="E19" t="s">
        <v>395</v>
      </c>
      <c r="F19" t="s">
        <v>396</v>
      </c>
      <c r="G19" t="s">
        <v>397</v>
      </c>
      <c r="K19" t="s">
        <v>139</v>
      </c>
      <c r="L19" t="s">
        <v>139</v>
      </c>
      <c r="M19" t="s">
        <v>139</v>
      </c>
    </row>
    <row r="20" spans="1:14" x14ac:dyDescent="0.45">
      <c r="A20" s="5" t="s">
        <v>181</v>
      </c>
      <c r="B20" s="5" t="s">
        <v>167</v>
      </c>
      <c r="C20" s="5" t="s">
        <v>179</v>
      </c>
      <c r="D20" s="5" t="s">
        <v>394</v>
      </c>
      <c r="E20" s="5" t="s">
        <v>395</v>
      </c>
      <c r="F20" s="5" t="s">
        <v>398</v>
      </c>
      <c r="G20" s="5" t="s">
        <v>397</v>
      </c>
      <c r="H20" s="5"/>
      <c r="I20" s="5"/>
      <c r="J20" s="5"/>
      <c r="K20" s="5" t="s">
        <v>139</v>
      </c>
      <c r="L20" s="5" t="s">
        <v>139</v>
      </c>
      <c r="M20" s="5" t="s">
        <v>139</v>
      </c>
      <c r="N20" s="5"/>
    </row>
    <row r="21" spans="1:14" x14ac:dyDescent="0.45">
      <c r="A21" t="s">
        <v>182</v>
      </c>
      <c r="B21" t="s">
        <v>133</v>
      </c>
      <c r="C21" t="s">
        <v>183</v>
      </c>
      <c r="D21" t="s">
        <v>381</v>
      </c>
      <c r="E21" t="s">
        <v>399</v>
      </c>
      <c r="F21" t="s">
        <v>185</v>
      </c>
      <c r="G21" t="s">
        <v>182</v>
      </c>
      <c r="H21" t="s">
        <v>186</v>
      </c>
      <c r="J21" t="s">
        <v>139</v>
      </c>
      <c r="L21" t="s">
        <v>139</v>
      </c>
      <c r="M21" t="s">
        <v>139</v>
      </c>
    </row>
    <row r="22" spans="1:14" x14ac:dyDescent="0.45">
      <c r="A22" s="5" t="s">
        <v>187</v>
      </c>
      <c r="B22" s="5" t="s">
        <v>140</v>
      </c>
      <c r="C22" s="5" t="s">
        <v>188</v>
      </c>
      <c r="D22" s="5" t="s">
        <v>157</v>
      </c>
      <c r="E22" s="5" t="s">
        <v>189</v>
      </c>
      <c r="F22" s="5" t="s">
        <v>159</v>
      </c>
      <c r="G22" s="5" t="s">
        <v>160</v>
      </c>
      <c r="H22" s="5"/>
      <c r="I22" s="5"/>
      <c r="J22" s="5"/>
      <c r="K22" s="5"/>
      <c r="L22" s="5" t="s">
        <v>139</v>
      </c>
      <c r="M22" s="5" t="s">
        <v>139</v>
      </c>
      <c r="N22" s="5"/>
    </row>
    <row r="23" spans="1:14" x14ac:dyDescent="0.45">
      <c r="A23" t="s">
        <v>190</v>
      </c>
      <c r="B23" t="s">
        <v>140</v>
      </c>
      <c r="C23" t="s">
        <v>191</v>
      </c>
      <c r="D23" t="s">
        <v>157</v>
      </c>
      <c r="E23" t="s">
        <v>192</v>
      </c>
      <c r="F23" t="s">
        <v>159</v>
      </c>
      <c r="G23" t="s">
        <v>160</v>
      </c>
      <c r="L23" t="s">
        <v>139</v>
      </c>
      <c r="M23" t="s">
        <v>139</v>
      </c>
    </row>
    <row r="24" spans="1:14" x14ac:dyDescent="0.45">
      <c r="A24" s="5" t="s">
        <v>193</v>
      </c>
      <c r="B24" s="5" t="s">
        <v>140</v>
      </c>
      <c r="C24" s="5" t="s">
        <v>194</v>
      </c>
      <c r="D24" s="5" t="s">
        <v>157</v>
      </c>
      <c r="E24" s="5" t="s">
        <v>195</v>
      </c>
      <c r="F24" s="5" t="s">
        <v>159</v>
      </c>
      <c r="G24" s="5" t="s">
        <v>160</v>
      </c>
      <c r="H24" s="5"/>
      <c r="I24" s="5"/>
      <c r="J24" s="5"/>
      <c r="K24" s="5"/>
      <c r="L24" s="5" t="s">
        <v>139</v>
      </c>
      <c r="M24" s="5" t="s">
        <v>139</v>
      </c>
      <c r="N24" s="5"/>
    </row>
    <row r="25" spans="1:14" x14ac:dyDescent="0.45">
      <c r="A25" t="s">
        <v>196</v>
      </c>
      <c r="B25" t="s">
        <v>140</v>
      </c>
      <c r="C25" t="s">
        <v>197</v>
      </c>
      <c r="D25" t="s">
        <v>157</v>
      </c>
      <c r="E25" t="s">
        <v>198</v>
      </c>
      <c r="F25" t="s">
        <v>159</v>
      </c>
      <c r="G25" t="s">
        <v>160</v>
      </c>
      <c r="L25" t="s">
        <v>139</v>
      </c>
      <c r="M25" t="s">
        <v>139</v>
      </c>
    </row>
    <row r="26" spans="1:14" x14ac:dyDescent="0.45">
      <c r="A26" s="5" t="s">
        <v>199</v>
      </c>
      <c r="B26" s="5" t="s">
        <v>140</v>
      </c>
      <c r="C26" s="5" t="s">
        <v>200</v>
      </c>
      <c r="D26" s="5" t="s">
        <v>157</v>
      </c>
      <c r="E26" s="5" t="s">
        <v>201</v>
      </c>
      <c r="F26" s="5" t="s">
        <v>159</v>
      </c>
      <c r="G26" s="5" t="s">
        <v>160</v>
      </c>
      <c r="H26" s="5"/>
      <c r="I26" s="5"/>
      <c r="J26" s="5"/>
      <c r="K26" s="5"/>
      <c r="L26" s="5" t="s">
        <v>139</v>
      </c>
      <c r="M26" s="5" t="s">
        <v>139</v>
      </c>
      <c r="N26" s="5"/>
    </row>
    <row r="27" spans="1:14" x14ac:dyDescent="0.45">
      <c r="A27" t="s">
        <v>202</v>
      </c>
      <c r="B27" t="s">
        <v>140</v>
      </c>
      <c r="C27" t="s">
        <v>203</v>
      </c>
      <c r="D27" t="s">
        <v>157</v>
      </c>
      <c r="E27" t="s">
        <v>204</v>
      </c>
      <c r="F27" t="s">
        <v>159</v>
      </c>
      <c r="G27" t="s">
        <v>160</v>
      </c>
      <c r="L27" t="s">
        <v>139</v>
      </c>
      <c r="M27" t="s">
        <v>139</v>
      </c>
    </row>
    <row r="28" spans="1:14" x14ac:dyDescent="0.45">
      <c r="A28" s="5" t="s">
        <v>205</v>
      </c>
      <c r="B28" s="5" t="s">
        <v>140</v>
      </c>
      <c r="C28" s="5" t="s">
        <v>206</v>
      </c>
      <c r="D28" s="5" t="s">
        <v>157</v>
      </c>
      <c r="E28" s="5" t="s">
        <v>204</v>
      </c>
      <c r="F28" s="5" t="s">
        <v>159</v>
      </c>
      <c r="G28" s="5" t="s">
        <v>160</v>
      </c>
      <c r="H28" s="5"/>
      <c r="I28" s="5"/>
      <c r="J28" s="5" t="s">
        <v>139</v>
      </c>
      <c r="K28" s="5" t="s">
        <v>139</v>
      </c>
      <c r="L28" s="5"/>
      <c r="M28" s="5" t="s">
        <v>139</v>
      </c>
      <c r="N28" s="5"/>
    </row>
    <row r="29" spans="1:14" x14ac:dyDescent="0.45">
      <c r="A29" t="s">
        <v>207</v>
      </c>
      <c r="B29" t="s">
        <v>133</v>
      </c>
      <c r="C29" t="s">
        <v>208</v>
      </c>
      <c r="D29" t="s">
        <v>381</v>
      </c>
      <c r="E29" t="s">
        <v>209</v>
      </c>
      <c r="F29" t="s">
        <v>210</v>
      </c>
      <c r="G29" t="s">
        <v>138</v>
      </c>
      <c r="H29" t="s">
        <v>211</v>
      </c>
      <c r="J29" t="s">
        <v>139</v>
      </c>
      <c r="L29" t="s">
        <v>139</v>
      </c>
      <c r="M29" t="s">
        <v>139</v>
      </c>
    </row>
    <row r="30" spans="1:14" x14ac:dyDescent="0.45">
      <c r="A30" s="5" t="s">
        <v>212</v>
      </c>
      <c r="B30" s="5" t="s">
        <v>140</v>
      </c>
      <c r="C30" s="5" t="s">
        <v>213</v>
      </c>
      <c r="D30" s="5" t="s">
        <v>214</v>
      </c>
      <c r="E30" s="5" t="s">
        <v>215</v>
      </c>
      <c r="F30" s="5" t="s">
        <v>400</v>
      </c>
      <c r="G30" s="5" t="s">
        <v>138</v>
      </c>
      <c r="H30" s="5"/>
      <c r="I30" s="5"/>
      <c r="J30" s="5" t="s">
        <v>139</v>
      </c>
      <c r="K30" s="5"/>
      <c r="L30" s="5" t="s">
        <v>139</v>
      </c>
      <c r="M30" s="5" t="s">
        <v>139</v>
      </c>
      <c r="N30" s="5"/>
    </row>
    <row r="31" spans="1:14" x14ac:dyDescent="0.45">
      <c r="A31" s="6" t="s">
        <v>216</v>
      </c>
      <c r="B31" s="7"/>
      <c r="C31" s="7"/>
      <c r="D31" s="7"/>
      <c r="E31" s="7"/>
      <c r="F31" s="7"/>
      <c r="G31" s="7"/>
      <c r="H31" s="7"/>
      <c r="I31" s="7"/>
      <c r="J31" s="7"/>
      <c r="K31" s="7"/>
      <c r="L31" s="7"/>
      <c r="M31" s="7"/>
      <c r="N31" s="7"/>
    </row>
    <row r="32" spans="1:14" x14ac:dyDescent="0.45">
      <c r="A32" t="s">
        <v>217</v>
      </c>
      <c r="B32" t="s">
        <v>140</v>
      </c>
      <c r="C32" t="s">
        <v>218</v>
      </c>
      <c r="D32" t="s">
        <v>157</v>
      </c>
      <c r="E32" t="s">
        <v>219</v>
      </c>
      <c r="F32" t="s">
        <v>159</v>
      </c>
      <c r="G32" t="s">
        <v>160</v>
      </c>
      <c r="I32" t="s">
        <v>139</v>
      </c>
      <c r="J32" t="s">
        <v>139</v>
      </c>
      <c r="M32" t="s">
        <v>139</v>
      </c>
    </row>
    <row r="33" spans="1:14" x14ac:dyDescent="0.45">
      <c r="A33" s="5" t="s">
        <v>220</v>
      </c>
      <c r="B33" s="5" t="s">
        <v>140</v>
      </c>
      <c r="C33" s="5" t="s">
        <v>221</v>
      </c>
      <c r="D33" s="5" t="s">
        <v>157</v>
      </c>
      <c r="E33" s="5" t="s">
        <v>222</v>
      </c>
      <c r="F33" s="5" t="s">
        <v>159</v>
      </c>
      <c r="G33" s="5" t="s">
        <v>160</v>
      </c>
      <c r="H33" s="5"/>
      <c r="I33" s="5" t="s">
        <v>139</v>
      </c>
      <c r="J33" s="5" t="s">
        <v>139</v>
      </c>
      <c r="K33" s="5"/>
      <c r="L33" s="5" t="s">
        <v>139</v>
      </c>
      <c r="M33" s="5" t="s">
        <v>139</v>
      </c>
      <c r="N33" s="5"/>
    </row>
    <row r="34" spans="1:14" x14ac:dyDescent="0.45">
      <c r="A34" t="s">
        <v>223</v>
      </c>
      <c r="B34" t="s">
        <v>224</v>
      </c>
      <c r="C34" t="s">
        <v>225</v>
      </c>
      <c r="D34" t="s">
        <v>401</v>
      </c>
      <c r="E34" t="s">
        <v>227</v>
      </c>
      <c r="F34" t="s">
        <v>228</v>
      </c>
      <c r="G34" t="s">
        <v>138</v>
      </c>
      <c r="L34" t="s">
        <v>139</v>
      </c>
      <c r="M34" t="s">
        <v>139</v>
      </c>
    </row>
    <row r="35" spans="1:14" x14ac:dyDescent="0.45">
      <c r="A35" s="5" t="s">
        <v>229</v>
      </c>
      <c r="B35" s="5" t="s">
        <v>167</v>
      </c>
      <c r="C35" s="5" t="s">
        <v>225</v>
      </c>
      <c r="D35" s="5" t="s">
        <v>401</v>
      </c>
      <c r="E35" s="5" t="s">
        <v>227</v>
      </c>
      <c r="F35" s="5" t="s">
        <v>230</v>
      </c>
      <c r="G35" s="5" t="s">
        <v>138</v>
      </c>
      <c r="H35" s="5"/>
      <c r="I35" s="5"/>
      <c r="J35" s="5"/>
      <c r="K35" s="5"/>
      <c r="L35" s="5" t="s">
        <v>139</v>
      </c>
      <c r="M35" s="5" t="s">
        <v>139</v>
      </c>
      <c r="N35" s="5"/>
    </row>
    <row r="36" spans="1:14" x14ac:dyDescent="0.45">
      <c r="A36" t="s">
        <v>231</v>
      </c>
      <c r="B36" t="s">
        <v>167</v>
      </c>
      <c r="C36" t="s">
        <v>225</v>
      </c>
      <c r="D36" t="s">
        <v>401</v>
      </c>
      <c r="E36" t="s">
        <v>227</v>
      </c>
      <c r="F36" t="s">
        <v>232</v>
      </c>
      <c r="G36" t="s">
        <v>138</v>
      </c>
      <c r="L36" t="s">
        <v>139</v>
      </c>
      <c r="M36" t="s">
        <v>139</v>
      </c>
    </row>
    <row r="37" spans="1:14" x14ac:dyDescent="0.45">
      <c r="A37" s="5" t="s">
        <v>233</v>
      </c>
      <c r="B37" s="5" t="s">
        <v>224</v>
      </c>
      <c r="C37" s="5" t="s">
        <v>225</v>
      </c>
      <c r="D37" s="5" t="s">
        <v>401</v>
      </c>
      <c r="E37" s="5" t="s">
        <v>227</v>
      </c>
      <c r="F37" s="5" t="s">
        <v>234</v>
      </c>
      <c r="G37" s="5" t="s">
        <v>138</v>
      </c>
      <c r="H37" s="5"/>
      <c r="I37" s="5"/>
      <c r="J37" s="5"/>
      <c r="K37" s="5"/>
      <c r="L37" s="5" t="s">
        <v>139</v>
      </c>
      <c r="M37" s="5" t="s">
        <v>139</v>
      </c>
      <c r="N37" s="5"/>
    </row>
    <row r="38" spans="1:14" x14ac:dyDescent="0.45">
      <c r="A38" t="s">
        <v>235</v>
      </c>
      <c r="B38" t="s">
        <v>133</v>
      </c>
      <c r="C38" t="s">
        <v>236</v>
      </c>
      <c r="D38" t="s">
        <v>381</v>
      </c>
      <c r="E38" t="s">
        <v>402</v>
      </c>
      <c r="F38" t="s">
        <v>239</v>
      </c>
      <c r="G38" t="s">
        <v>145</v>
      </c>
      <c r="I38" t="s">
        <v>139</v>
      </c>
      <c r="J38" t="s">
        <v>139</v>
      </c>
      <c r="K38" t="s">
        <v>139</v>
      </c>
      <c r="L38" t="s">
        <v>139</v>
      </c>
      <c r="M38" t="s">
        <v>139</v>
      </c>
    </row>
    <row r="39" spans="1:14" x14ac:dyDescent="0.45">
      <c r="A39" s="5" t="s">
        <v>240</v>
      </c>
      <c r="B39" s="5" t="s">
        <v>140</v>
      </c>
      <c r="C39" s="5" t="s">
        <v>241</v>
      </c>
      <c r="D39" s="5" t="s">
        <v>157</v>
      </c>
      <c r="E39" s="5" t="s">
        <v>242</v>
      </c>
      <c r="F39" s="5" t="s">
        <v>159</v>
      </c>
      <c r="G39" s="5" t="s">
        <v>160</v>
      </c>
      <c r="H39" s="5"/>
      <c r="I39" s="5"/>
      <c r="J39" s="5" t="s">
        <v>139</v>
      </c>
      <c r="K39" s="5" t="s">
        <v>139</v>
      </c>
      <c r="L39" s="5" t="s">
        <v>139</v>
      </c>
      <c r="M39" s="5" t="s">
        <v>139</v>
      </c>
      <c r="N39" s="5"/>
    </row>
    <row r="40" spans="1:14" x14ac:dyDescent="0.45">
      <c r="A40" t="s">
        <v>243</v>
      </c>
      <c r="B40" t="s">
        <v>140</v>
      </c>
      <c r="C40" t="s">
        <v>244</v>
      </c>
      <c r="D40" t="s">
        <v>157</v>
      </c>
      <c r="E40" t="s">
        <v>242</v>
      </c>
      <c r="F40" t="s">
        <v>159</v>
      </c>
      <c r="G40" t="s">
        <v>160</v>
      </c>
      <c r="J40" t="s">
        <v>139</v>
      </c>
      <c r="L40" t="s">
        <v>139</v>
      </c>
      <c r="M40" t="s">
        <v>139</v>
      </c>
    </row>
    <row r="41" spans="1:14" x14ac:dyDescent="0.45">
      <c r="A41" s="5" t="s">
        <v>245</v>
      </c>
      <c r="B41" s="5" t="s">
        <v>140</v>
      </c>
      <c r="C41" s="5" t="s">
        <v>246</v>
      </c>
      <c r="D41" s="5" t="s">
        <v>157</v>
      </c>
      <c r="E41" s="5" t="s">
        <v>247</v>
      </c>
      <c r="F41" s="5" t="s">
        <v>159</v>
      </c>
      <c r="G41" s="5" t="s">
        <v>160</v>
      </c>
      <c r="H41" s="5"/>
      <c r="I41" s="5"/>
      <c r="J41" s="5"/>
      <c r="K41" s="5"/>
      <c r="L41" s="5" t="s">
        <v>139</v>
      </c>
      <c r="M41" s="5" t="s">
        <v>139</v>
      </c>
      <c r="N41" s="5"/>
    </row>
    <row r="42" spans="1:14" x14ac:dyDescent="0.45">
      <c r="A42" t="s">
        <v>248</v>
      </c>
      <c r="B42" t="s">
        <v>140</v>
      </c>
      <c r="C42" t="s">
        <v>249</v>
      </c>
      <c r="D42" t="s">
        <v>157</v>
      </c>
      <c r="E42" t="s">
        <v>247</v>
      </c>
      <c r="F42" t="s">
        <v>159</v>
      </c>
      <c r="G42" t="s">
        <v>160</v>
      </c>
      <c r="J42" t="s">
        <v>139</v>
      </c>
      <c r="K42" t="s">
        <v>139</v>
      </c>
      <c r="L42" t="s">
        <v>139</v>
      </c>
      <c r="M42" t="s">
        <v>139</v>
      </c>
    </row>
    <row r="43" spans="1:14" x14ac:dyDescent="0.45">
      <c r="A43" s="5" t="s">
        <v>250</v>
      </c>
      <c r="B43" s="5" t="s">
        <v>140</v>
      </c>
      <c r="C43" s="5" t="s">
        <v>251</v>
      </c>
      <c r="D43" s="5" t="s">
        <v>157</v>
      </c>
      <c r="E43" s="5" t="s">
        <v>252</v>
      </c>
      <c r="F43" s="5" t="s">
        <v>159</v>
      </c>
      <c r="G43" s="5" t="s">
        <v>160</v>
      </c>
      <c r="H43" s="5"/>
      <c r="I43" s="5"/>
      <c r="J43" s="5" t="s">
        <v>139</v>
      </c>
      <c r="K43" s="5"/>
      <c r="L43" s="5" t="s">
        <v>139</v>
      </c>
      <c r="M43" s="5" t="s">
        <v>139</v>
      </c>
      <c r="N43" s="5"/>
    </row>
    <row r="44" spans="1:14" x14ac:dyDescent="0.45">
      <c r="A44" t="s">
        <v>253</v>
      </c>
      <c r="B44" t="s">
        <v>140</v>
      </c>
      <c r="C44" t="s">
        <v>251</v>
      </c>
      <c r="D44" t="s">
        <v>157</v>
      </c>
      <c r="E44" t="s">
        <v>252</v>
      </c>
      <c r="F44" t="s">
        <v>159</v>
      </c>
      <c r="G44" t="s">
        <v>160</v>
      </c>
      <c r="J44" t="s">
        <v>139</v>
      </c>
      <c r="L44" t="s">
        <v>139</v>
      </c>
      <c r="M44" t="s">
        <v>139</v>
      </c>
    </row>
    <row r="45" spans="1:14" x14ac:dyDescent="0.45">
      <c r="A45" s="5" t="s">
        <v>254</v>
      </c>
      <c r="B45" s="5" t="s">
        <v>140</v>
      </c>
      <c r="C45" s="5" t="s">
        <v>255</v>
      </c>
      <c r="D45" s="5" t="s">
        <v>157</v>
      </c>
      <c r="E45" s="5" t="s">
        <v>256</v>
      </c>
      <c r="F45" s="5" t="s">
        <v>159</v>
      </c>
      <c r="G45" s="5" t="s">
        <v>160</v>
      </c>
      <c r="H45" s="5"/>
      <c r="I45" s="5" t="s">
        <v>139</v>
      </c>
      <c r="J45" s="5"/>
      <c r="K45" s="5"/>
      <c r="L45" s="5" t="s">
        <v>139</v>
      </c>
      <c r="M45" s="5" t="s">
        <v>139</v>
      </c>
      <c r="N45" s="5"/>
    </row>
    <row r="46" spans="1:14" x14ac:dyDescent="0.45">
      <c r="A46" t="s">
        <v>257</v>
      </c>
      <c r="B46" t="s">
        <v>140</v>
      </c>
      <c r="C46" t="s">
        <v>258</v>
      </c>
      <c r="D46" t="s">
        <v>157</v>
      </c>
      <c r="E46" t="s">
        <v>242</v>
      </c>
      <c r="F46" t="s">
        <v>159</v>
      </c>
      <c r="G46" t="s">
        <v>160</v>
      </c>
      <c r="I46" t="s">
        <v>139</v>
      </c>
      <c r="J46" t="s">
        <v>139</v>
      </c>
      <c r="L46" t="s">
        <v>139</v>
      </c>
      <c r="M46" t="s">
        <v>139</v>
      </c>
    </row>
    <row r="47" spans="1:14" x14ac:dyDescent="0.45">
      <c r="A47" s="5" t="s">
        <v>259</v>
      </c>
      <c r="B47" s="5" t="s">
        <v>140</v>
      </c>
      <c r="C47" s="5" t="s">
        <v>260</v>
      </c>
      <c r="D47" s="5" t="s">
        <v>157</v>
      </c>
      <c r="E47" s="5" t="s">
        <v>242</v>
      </c>
      <c r="F47" s="5" t="s">
        <v>159</v>
      </c>
      <c r="G47" s="5" t="s">
        <v>160</v>
      </c>
      <c r="H47" s="5"/>
      <c r="I47" s="5"/>
      <c r="J47" s="5"/>
      <c r="K47" s="5"/>
      <c r="L47" s="5" t="s">
        <v>139</v>
      </c>
      <c r="M47" s="5" t="s">
        <v>139</v>
      </c>
      <c r="N47" s="5"/>
    </row>
    <row r="48" spans="1:14" x14ac:dyDescent="0.45">
      <c r="A48" t="s">
        <v>261</v>
      </c>
      <c r="B48" t="s">
        <v>224</v>
      </c>
      <c r="C48" t="s">
        <v>262</v>
      </c>
      <c r="D48" t="s">
        <v>381</v>
      </c>
      <c r="E48" t="s">
        <v>263</v>
      </c>
      <c r="F48" t="s">
        <v>264</v>
      </c>
      <c r="G48" t="s">
        <v>138</v>
      </c>
      <c r="H48" t="s">
        <v>265</v>
      </c>
      <c r="L48" t="s">
        <v>139</v>
      </c>
      <c r="M48" t="s">
        <v>139</v>
      </c>
    </row>
    <row r="49" spans="1:14" x14ac:dyDescent="0.45">
      <c r="A49" s="5" t="s">
        <v>266</v>
      </c>
      <c r="B49" s="5" t="s">
        <v>167</v>
      </c>
      <c r="C49" s="5" t="s">
        <v>267</v>
      </c>
      <c r="D49" s="5" t="s">
        <v>401</v>
      </c>
      <c r="E49" s="5" t="s">
        <v>268</v>
      </c>
      <c r="F49" s="5" t="s">
        <v>269</v>
      </c>
      <c r="G49" s="5" t="s">
        <v>138</v>
      </c>
      <c r="H49" s="5" t="s">
        <v>270</v>
      </c>
      <c r="I49" s="5"/>
      <c r="J49" s="5"/>
      <c r="K49" s="5"/>
      <c r="L49" s="5" t="s">
        <v>139</v>
      </c>
      <c r="M49" s="5" t="s">
        <v>139</v>
      </c>
      <c r="N49" s="5"/>
    </row>
    <row r="50" spans="1:14" x14ac:dyDescent="0.45">
      <c r="A50" s="6" t="s">
        <v>271</v>
      </c>
      <c r="B50" s="7"/>
      <c r="C50" s="7"/>
      <c r="D50" s="7"/>
      <c r="E50" s="7"/>
      <c r="F50" s="7"/>
      <c r="G50" s="7"/>
      <c r="H50" s="7"/>
      <c r="I50" s="7"/>
      <c r="J50" s="7"/>
      <c r="K50" s="7"/>
      <c r="L50" s="7"/>
      <c r="M50" s="7"/>
      <c r="N50" s="7"/>
    </row>
    <row r="51" spans="1:14" x14ac:dyDescent="0.45">
      <c r="A51" t="s">
        <v>272</v>
      </c>
      <c r="B51" t="s">
        <v>224</v>
      </c>
      <c r="C51" t="s">
        <v>273</v>
      </c>
      <c r="D51" t="s">
        <v>403</v>
      </c>
      <c r="E51" t="s">
        <v>275</v>
      </c>
      <c r="F51" t="s">
        <v>276</v>
      </c>
      <c r="G51" t="s">
        <v>145</v>
      </c>
      <c r="H51" t="s">
        <v>404</v>
      </c>
      <c r="L51" t="s">
        <v>139</v>
      </c>
      <c r="M51" t="s">
        <v>139</v>
      </c>
    </row>
    <row r="52" spans="1:14" x14ac:dyDescent="0.45">
      <c r="A52" s="5" t="s">
        <v>277</v>
      </c>
      <c r="B52" s="5" t="s">
        <v>224</v>
      </c>
      <c r="C52" s="5" t="s">
        <v>273</v>
      </c>
      <c r="D52" s="5" t="s">
        <v>403</v>
      </c>
      <c r="E52" s="5" t="s">
        <v>275</v>
      </c>
      <c r="F52" s="5" t="s">
        <v>278</v>
      </c>
      <c r="G52" s="5" t="s">
        <v>145</v>
      </c>
      <c r="H52" s="5" t="s">
        <v>404</v>
      </c>
      <c r="I52" s="5"/>
      <c r="J52" s="5"/>
      <c r="K52" s="5"/>
      <c r="L52" s="5" t="s">
        <v>139</v>
      </c>
      <c r="M52" s="5" t="s">
        <v>139</v>
      </c>
      <c r="N52" s="5"/>
    </row>
    <row r="53" spans="1:14" x14ac:dyDescent="0.45">
      <c r="A53" t="s">
        <v>405</v>
      </c>
      <c r="B53" t="s">
        <v>280</v>
      </c>
      <c r="C53" t="s">
        <v>273</v>
      </c>
      <c r="D53" t="s">
        <v>381</v>
      </c>
      <c r="E53" t="s">
        <v>406</v>
      </c>
      <c r="F53" t="s">
        <v>407</v>
      </c>
      <c r="G53" t="s">
        <v>145</v>
      </c>
      <c r="M53" t="s">
        <v>139</v>
      </c>
    </row>
    <row r="54" spans="1:14" x14ac:dyDescent="0.45">
      <c r="A54" s="5" t="s">
        <v>279</v>
      </c>
      <c r="B54" s="5" t="s">
        <v>280</v>
      </c>
      <c r="C54" s="5" t="s">
        <v>273</v>
      </c>
      <c r="D54" s="5" t="s">
        <v>381</v>
      </c>
      <c r="E54" s="5" t="s">
        <v>281</v>
      </c>
      <c r="F54" s="5" t="s">
        <v>282</v>
      </c>
      <c r="G54" s="5" t="s">
        <v>145</v>
      </c>
      <c r="H54" s="5"/>
      <c r="I54" s="5"/>
      <c r="J54" s="5"/>
      <c r="K54" s="5"/>
      <c r="L54" s="5" t="s">
        <v>139</v>
      </c>
      <c r="M54" s="5" t="s">
        <v>139</v>
      </c>
      <c r="N54" s="5"/>
    </row>
    <row r="55" spans="1:14" x14ac:dyDescent="0.45">
      <c r="A55" t="s">
        <v>283</v>
      </c>
      <c r="B55" t="s">
        <v>280</v>
      </c>
      <c r="C55" t="s">
        <v>273</v>
      </c>
      <c r="D55" t="s">
        <v>381</v>
      </c>
      <c r="E55" t="s">
        <v>284</v>
      </c>
      <c r="F55" t="s">
        <v>285</v>
      </c>
      <c r="G55" t="s">
        <v>145</v>
      </c>
      <c r="L55" t="s">
        <v>139</v>
      </c>
      <c r="M55" t="s">
        <v>139</v>
      </c>
    </row>
    <row r="56" spans="1:14" x14ac:dyDescent="0.45">
      <c r="A56" s="5" t="s">
        <v>286</v>
      </c>
      <c r="B56" s="5" t="s">
        <v>280</v>
      </c>
      <c r="C56" s="5" t="s">
        <v>273</v>
      </c>
      <c r="D56" s="5" t="s">
        <v>381</v>
      </c>
      <c r="E56" s="5" t="s">
        <v>287</v>
      </c>
      <c r="F56" s="5" t="s">
        <v>288</v>
      </c>
      <c r="G56" s="5" t="s">
        <v>145</v>
      </c>
      <c r="H56" s="5"/>
      <c r="I56" s="5"/>
      <c r="J56" s="5"/>
      <c r="K56" s="5"/>
      <c r="L56" s="5" t="s">
        <v>139</v>
      </c>
      <c r="M56" s="5" t="s">
        <v>139</v>
      </c>
      <c r="N56" s="5"/>
    </row>
    <row r="57" spans="1:14" x14ac:dyDescent="0.45">
      <c r="A57" t="s">
        <v>408</v>
      </c>
      <c r="B57" t="s">
        <v>140</v>
      </c>
      <c r="C57" t="s">
        <v>409</v>
      </c>
      <c r="D57" t="s">
        <v>410</v>
      </c>
      <c r="E57" t="s">
        <v>411</v>
      </c>
      <c r="F57" t="s">
        <v>412</v>
      </c>
      <c r="G57" t="s">
        <v>145</v>
      </c>
      <c r="M57" t="s">
        <v>139</v>
      </c>
    </row>
    <row r="58" spans="1:14" x14ac:dyDescent="0.45">
      <c r="A58" s="6" t="s">
        <v>289</v>
      </c>
      <c r="B58" s="7"/>
      <c r="C58" s="7"/>
      <c r="D58" s="7"/>
      <c r="E58" s="7"/>
      <c r="F58" s="7"/>
      <c r="G58" s="7"/>
      <c r="H58" s="7"/>
      <c r="I58" s="7"/>
      <c r="J58" s="7"/>
      <c r="K58" s="7"/>
      <c r="L58" s="7"/>
      <c r="M58" s="7"/>
      <c r="N58" s="7"/>
    </row>
    <row r="59" spans="1:14" x14ac:dyDescent="0.45">
      <c r="A59" s="5" t="s">
        <v>290</v>
      </c>
      <c r="B59" s="5" t="s">
        <v>140</v>
      </c>
      <c r="C59" s="5" t="s">
        <v>291</v>
      </c>
      <c r="D59" s="5" t="s">
        <v>292</v>
      </c>
      <c r="E59" s="5" t="s">
        <v>293</v>
      </c>
      <c r="F59" s="5" t="s">
        <v>159</v>
      </c>
      <c r="G59" s="5" t="s">
        <v>160</v>
      </c>
      <c r="H59" s="5"/>
      <c r="I59" s="5" t="s">
        <v>139</v>
      </c>
      <c r="J59" s="5" t="s">
        <v>139</v>
      </c>
      <c r="K59" s="5"/>
      <c r="L59" s="5" t="s">
        <v>139</v>
      </c>
      <c r="M59" s="5" t="s">
        <v>139</v>
      </c>
      <c r="N59" s="5"/>
    </row>
    <row r="60" spans="1:14" x14ac:dyDescent="0.45">
      <c r="A60" t="s">
        <v>294</v>
      </c>
      <c r="B60" t="s">
        <v>140</v>
      </c>
      <c r="C60" t="s">
        <v>291</v>
      </c>
      <c r="D60" t="s">
        <v>292</v>
      </c>
      <c r="E60" t="s">
        <v>295</v>
      </c>
      <c r="F60" t="s">
        <v>159</v>
      </c>
      <c r="G60" t="s">
        <v>160</v>
      </c>
      <c r="I60" t="s">
        <v>139</v>
      </c>
      <c r="J60" t="s">
        <v>139</v>
      </c>
      <c r="L60" t="s">
        <v>139</v>
      </c>
      <c r="M60" t="s">
        <v>139</v>
      </c>
    </row>
    <row r="61" spans="1:14" x14ac:dyDescent="0.45">
      <c r="A61" s="5" t="s">
        <v>296</v>
      </c>
      <c r="B61" s="5" t="s">
        <v>133</v>
      </c>
      <c r="C61" s="5" t="s">
        <v>297</v>
      </c>
      <c r="D61" s="5" t="s">
        <v>381</v>
      </c>
      <c r="E61" s="5" t="s">
        <v>413</v>
      </c>
      <c r="F61" s="5" t="s">
        <v>299</v>
      </c>
      <c r="G61" s="5" t="s">
        <v>138</v>
      </c>
      <c r="H61" s="5"/>
      <c r="I61" s="5" t="s">
        <v>139</v>
      </c>
      <c r="J61" s="5" t="s">
        <v>139</v>
      </c>
      <c r="K61" s="5" t="s">
        <v>139</v>
      </c>
      <c r="L61" s="5" t="s">
        <v>139</v>
      </c>
      <c r="M61" s="5" t="s">
        <v>139</v>
      </c>
      <c r="N61" s="5"/>
    </row>
    <row r="62" spans="1:14" x14ac:dyDescent="0.45">
      <c r="A62" t="s">
        <v>300</v>
      </c>
      <c r="B62" t="s">
        <v>140</v>
      </c>
      <c r="C62" t="s">
        <v>301</v>
      </c>
      <c r="D62" t="s">
        <v>135</v>
      </c>
      <c r="E62" t="s">
        <v>302</v>
      </c>
      <c r="F62" t="s">
        <v>159</v>
      </c>
      <c r="G62" t="s">
        <v>160</v>
      </c>
      <c r="J62" t="s">
        <v>139</v>
      </c>
      <c r="L62" t="s">
        <v>139</v>
      </c>
      <c r="M62" t="s">
        <v>139</v>
      </c>
    </row>
    <row r="63" spans="1:14" x14ac:dyDescent="0.45">
      <c r="A63" s="5" t="s">
        <v>303</v>
      </c>
      <c r="B63" s="5" t="s">
        <v>140</v>
      </c>
      <c r="C63" s="5" t="s">
        <v>304</v>
      </c>
      <c r="D63" s="5" t="s">
        <v>135</v>
      </c>
      <c r="E63" s="5" t="s">
        <v>305</v>
      </c>
      <c r="F63" s="5" t="s">
        <v>159</v>
      </c>
      <c r="G63" s="5" t="s">
        <v>160</v>
      </c>
      <c r="H63" s="5"/>
      <c r="I63" s="5"/>
      <c r="J63" s="5" t="s">
        <v>139</v>
      </c>
      <c r="K63" s="5"/>
      <c r="L63" s="5" t="s">
        <v>139</v>
      </c>
      <c r="M63" s="5" t="s">
        <v>139</v>
      </c>
      <c r="N63" s="5"/>
    </row>
    <row r="64" spans="1:14" x14ac:dyDescent="0.45">
      <c r="A64" t="s">
        <v>306</v>
      </c>
      <c r="B64" t="s">
        <v>307</v>
      </c>
      <c r="C64" t="s">
        <v>308</v>
      </c>
      <c r="D64" t="s">
        <v>414</v>
      </c>
      <c r="E64" t="s">
        <v>415</v>
      </c>
      <c r="F64" t="s">
        <v>309</v>
      </c>
      <c r="G64" t="s">
        <v>138</v>
      </c>
      <c r="H64" t="s">
        <v>416</v>
      </c>
      <c r="I64" t="s">
        <v>139</v>
      </c>
      <c r="J64" t="s">
        <v>139</v>
      </c>
      <c r="L64" t="s">
        <v>139</v>
      </c>
      <c r="M64" t="s">
        <v>139</v>
      </c>
    </row>
    <row r="65" spans="1:14" x14ac:dyDescent="0.45">
      <c r="A65" s="5" t="s">
        <v>314</v>
      </c>
      <c r="B65" s="5" t="s">
        <v>140</v>
      </c>
      <c r="C65" s="5" t="s">
        <v>315</v>
      </c>
      <c r="D65" s="5" t="s">
        <v>135</v>
      </c>
      <c r="E65" s="5" t="s">
        <v>316</v>
      </c>
      <c r="F65" s="5" t="s">
        <v>159</v>
      </c>
      <c r="G65" s="5" t="s">
        <v>160</v>
      </c>
      <c r="H65" s="5"/>
      <c r="I65" s="5"/>
      <c r="J65" s="5" t="s">
        <v>139</v>
      </c>
      <c r="K65" s="5"/>
      <c r="L65" s="5"/>
      <c r="M65" s="5" t="s">
        <v>139</v>
      </c>
      <c r="N65" s="5"/>
    </row>
    <row r="66" spans="1:14" x14ac:dyDescent="0.45">
      <c r="A66" t="s">
        <v>317</v>
      </c>
      <c r="B66" t="s">
        <v>224</v>
      </c>
      <c r="D66" t="s">
        <v>381</v>
      </c>
      <c r="F66" t="s">
        <v>319</v>
      </c>
      <c r="G66" t="s">
        <v>138</v>
      </c>
      <c r="H66" t="s">
        <v>417</v>
      </c>
      <c r="I66" t="s">
        <v>139</v>
      </c>
      <c r="J66" t="s">
        <v>139</v>
      </c>
      <c r="L66" t="s">
        <v>139</v>
      </c>
      <c r="M66" t="s">
        <v>139</v>
      </c>
    </row>
    <row r="67" spans="1:14" x14ac:dyDescent="0.45">
      <c r="A67" s="6" t="s">
        <v>329</v>
      </c>
      <c r="B67" s="7"/>
      <c r="C67" s="7"/>
      <c r="D67" s="7"/>
      <c r="E67" s="7"/>
      <c r="F67" s="7"/>
      <c r="G67" s="7"/>
      <c r="H67" s="7"/>
      <c r="I67" s="7"/>
      <c r="J67" s="7"/>
      <c r="K67" s="7"/>
      <c r="L67" s="7"/>
      <c r="M67" s="7"/>
      <c r="N67" s="7"/>
    </row>
    <row r="68" spans="1:14" x14ac:dyDescent="0.45">
      <c r="A68" s="5" t="s">
        <v>330</v>
      </c>
      <c r="B68" s="5" t="s">
        <v>307</v>
      </c>
      <c r="C68" s="5" t="s">
        <v>331</v>
      </c>
      <c r="D68" s="5" t="s">
        <v>381</v>
      </c>
      <c r="E68" s="5"/>
      <c r="F68" s="5" t="s">
        <v>418</v>
      </c>
      <c r="G68" s="5" t="s">
        <v>138</v>
      </c>
      <c r="H68" s="5" t="s">
        <v>419</v>
      </c>
      <c r="I68" s="5" t="s">
        <v>139</v>
      </c>
      <c r="J68" s="5" t="s">
        <v>139</v>
      </c>
      <c r="K68" s="5"/>
      <c r="L68" s="5" t="s">
        <v>139</v>
      </c>
      <c r="M68" s="5" t="s">
        <v>139</v>
      </c>
      <c r="N68" s="5"/>
    </row>
    <row r="69" spans="1:14" x14ac:dyDescent="0.45">
      <c r="A69" t="s">
        <v>333</v>
      </c>
      <c r="B69" t="s">
        <v>140</v>
      </c>
      <c r="C69" t="s">
        <v>334</v>
      </c>
      <c r="D69" t="s">
        <v>335</v>
      </c>
      <c r="E69" t="s">
        <v>336</v>
      </c>
      <c r="F69" t="s">
        <v>159</v>
      </c>
      <c r="G69" t="s">
        <v>160</v>
      </c>
      <c r="I69" t="s">
        <v>139</v>
      </c>
      <c r="J69" t="s">
        <v>139</v>
      </c>
      <c r="L69" t="s">
        <v>139</v>
      </c>
      <c r="M69" t="s">
        <v>139</v>
      </c>
    </row>
    <row r="70" spans="1:14" x14ac:dyDescent="0.45">
      <c r="A70" s="5" t="s">
        <v>337</v>
      </c>
      <c r="B70" s="5" t="s">
        <v>140</v>
      </c>
      <c r="C70" s="5" t="s">
        <v>338</v>
      </c>
      <c r="D70" s="5" t="s">
        <v>335</v>
      </c>
      <c r="E70" s="5" t="s">
        <v>339</v>
      </c>
      <c r="F70" s="5" t="s">
        <v>159</v>
      </c>
      <c r="G70" s="5" t="s">
        <v>160</v>
      </c>
      <c r="H70" s="5"/>
      <c r="I70" s="5" t="s">
        <v>139</v>
      </c>
      <c r="J70" s="5" t="s">
        <v>139</v>
      </c>
      <c r="K70" s="5"/>
      <c r="L70" s="5" t="s">
        <v>139</v>
      </c>
      <c r="M70" s="5" t="s">
        <v>139</v>
      </c>
      <c r="N70" s="5"/>
    </row>
    <row r="71" spans="1:14" x14ac:dyDescent="0.45">
      <c r="A71" t="s">
        <v>340</v>
      </c>
      <c r="B71" t="s">
        <v>140</v>
      </c>
      <c r="C71" t="s">
        <v>341</v>
      </c>
      <c r="D71" t="s">
        <v>335</v>
      </c>
      <c r="E71" t="s">
        <v>342</v>
      </c>
      <c r="F71" t="s">
        <v>159</v>
      </c>
      <c r="G71" t="s">
        <v>160</v>
      </c>
      <c r="I71" t="s">
        <v>139</v>
      </c>
      <c r="J71" t="s">
        <v>139</v>
      </c>
      <c r="L71" t="s">
        <v>139</v>
      </c>
      <c r="M71" t="s">
        <v>139</v>
      </c>
    </row>
    <row r="72" spans="1:14" x14ac:dyDescent="0.45">
      <c r="A72" s="5" t="s">
        <v>343</v>
      </c>
      <c r="B72" s="5" t="s">
        <v>140</v>
      </c>
      <c r="C72" s="5" t="s">
        <v>344</v>
      </c>
      <c r="D72" s="5" t="s">
        <v>135</v>
      </c>
      <c r="E72" s="5" t="s">
        <v>345</v>
      </c>
      <c r="F72" s="5" t="s">
        <v>159</v>
      </c>
      <c r="G72" s="5" t="s">
        <v>138</v>
      </c>
      <c r="H72" s="5"/>
      <c r="I72" s="5" t="s">
        <v>139</v>
      </c>
      <c r="J72" s="5" t="s">
        <v>139</v>
      </c>
      <c r="K72" s="5"/>
      <c r="L72" s="5" t="s">
        <v>139</v>
      </c>
      <c r="M72" s="5" t="s">
        <v>139</v>
      </c>
      <c r="N72" s="5"/>
    </row>
    <row r="73" spans="1:14" x14ac:dyDescent="0.45">
      <c r="A73" t="s">
        <v>346</v>
      </c>
      <c r="B73" t="s">
        <v>140</v>
      </c>
      <c r="C73" t="s">
        <v>347</v>
      </c>
      <c r="D73" t="s">
        <v>135</v>
      </c>
      <c r="E73" t="s">
        <v>345</v>
      </c>
      <c r="F73" t="s">
        <v>159</v>
      </c>
      <c r="G73" t="s">
        <v>138</v>
      </c>
      <c r="I73" t="s">
        <v>139</v>
      </c>
      <c r="J73" t="s">
        <v>139</v>
      </c>
      <c r="L73" t="s">
        <v>139</v>
      </c>
      <c r="M73" t="s">
        <v>139</v>
      </c>
    </row>
    <row r="74" spans="1:14" x14ac:dyDescent="0.45">
      <c r="A74" s="5" t="s">
        <v>348</v>
      </c>
      <c r="B74" s="5" t="s">
        <v>140</v>
      </c>
      <c r="C74" s="5" t="s">
        <v>349</v>
      </c>
      <c r="D74" s="5" t="s">
        <v>335</v>
      </c>
      <c r="E74" s="5" t="s">
        <v>350</v>
      </c>
      <c r="F74" s="5" t="s">
        <v>159</v>
      </c>
      <c r="G74" s="5" t="s">
        <v>160</v>
      </c>
      <c r="H74" s="5"/>
      <c r="I74" s="5" t="s">
        <v>139</v>
      </c>
      <c r="J74" s="5" t="s">
        <v>139</v>
      </c>
      <c r="K74" s="5"/>
      <c r="L74" s="5"/>
      <c r="M74" s="5" t="s">
        <v>139</v>
      </c>
      <c r="N74" s="5"/>
    </row>
    <row r="75" spans="1:14" x14ac:dyDescent="0.45">
      <c r="A75" t="s">
        <v>351</v>
      </c>
      <c r="B75" t="s">
        <v>307</v>
      </c>
      <c r="C75" t="s">
        <v>352</v>
      </c>
      <c r="D75" t="s">
        <v>381</v>
      </c>
      <c r="F75" t="s">
        <v>420</v>
      </c>
      <c r="G75" t="s">
        <v>138</v>
      </c>
      <c r="H75" t="s">
        <v>421</v>
      </c>
      <c r="I75" t="s">
        <v>139</v>
      </c>
      <c r="J75" t="s">
        <v>139</v>
      </c>
      <c r="L75" t="s">
        <v>139</v>
      </c>
      <c r="M75" t="s">
        <v>139</v>
      </c>
    </row>
    <row r="76" spans="1:14" x14ac:dyDescent="0.45">
      <c r="A76" s="5" t="s">
        <v>354</v>
      </c>
      <c r="B76" s="5" t="s">
        <v>140</v>
      </c>
      <c r="C76" s="5" t="s">
        <v>355</v>
      </c>
      <c r="D76" s="5" t="s">
        <v>335</v>
      </c>
      <c r="E76" s="5" t="s">
        <v>356</v>
      </c>
      <c r="F76" s="5" t="s">
        <v>159</v>
      </c>
      <c r="G76" s="5" t="s">
        <v>160</v>
      </c>
      <c r="H76" s="5" t="s">
        <v>357</v>
      </c>
      <c r="I76" s="5" t="s">
        <v>139</v>
      </c>
      <c r="J76" s="5" t="s">
        <v>139</v>
      </c>
      <c r="K76" s="5"/>
      <c r="L76" s="5" t="s">
        <v>139</v>
      </c>
      <c r="M76" s="5" t="s">
        <v>139</v>
      </c>
      <c r="N76" s="5"/>
    </row>
    <row r="77" spans="1:14" x14ac:dyDescent="0.45">
      <c r="A77" t="s">
        <v>422</v>
      </c>
      <c r="B77" t="s">
        <v>133</v>
      </c>
      <c r="C77" t="s">
        <v>423</v>
      </c>
      <c r="D77" t="s">
        <v>424</v>
      </c>
      <c r="E77" t="s">
        <v>425</v>
      </c>
      <c r="F77" t="s">
        <v>426</v>
      </c>
      <c r="G77" t="s">
        <v>145</v>
      </c>
      <c r="J77" t="s">
        <v>139</v>
      </c>
      <c r="L77" t="s">
        <v>139</v>
      </c>
      <c r="M77" t="s">
        <v>139</v>
      </c>
    </row>
    <row r="78" spans="1:14" x14ac:dyDescent="0.45">
      <c r="A78" s="6" t="s">
        <v>427</v>
      </c>
      <c r="B78" s="7"/>
      <c r="C78" s="7"/>
      <c r="D78" s="7"/>
      <c r="E78" s="7"/>
      <c r="F78" s="7"/>
      <c r="G78" s="7"/>
      <c r="H78" s="7"/>
      <c r="I78" s="7"/>
      <c r="J78" s="7"/>
      <c r="K78" s="7"/>
      <c r="L78" s="7"/>
      <c r="M78" s="7"/>
      <c r="N78" s="7"/>
    </row>
    <row r="79" spans="1:14" x14ac:dyDescent="0.45">
      <c r="A79" s="5" t="s">
        <v>428</v>
      </c>
      <c r="B79" s="5" t="s">
        <v>133</v>
      </c>
      <c r="C79" s="5" t="s">
        <v>429</v>
      </c>
      <c r="D79" s="5" t="s">
        <v>381</v>
      </c>
      <c r="E79" s="5" t="s">
        <v>430</v>
      </c>
      <c r="F79" s="5" t="s">
        <v>431</v>
      </c>
      <c r="G79" s="5" t="s">
        <v>145</v>
      </c>
      <c r="H79" s="5" t="s">
        <v>432</v>
      </c>
      <c r="I79" s="5" t="s">
        <v>139</v>
      </c>
      <c r="J79" s="5" t="s">
        <v>139</v>
      </c>
      <c r="K79" s="5"/>
      <c r="L79" s="5" t="s">
        <v>139</v>
      </c>
      <c r="M79" s="5" t="s">
        <v>139</v>
      </c>
      <c r="N79" s="5"/>
    </row>
    <row r="80" spans="1:14" x14ac:dyDescent="0.45">
      <c r="A80" t="s">
        <v>433</v>
      </c>
      <c r="B80" t="s">
        <v>140</v>
      </c>
      <c r="C80" t="s">
        <v>434</v>
      </c>
      <c r="D80" t="s">
        <v>435</v>
      </c>
      <c r="E80" t="s">
        <v>436</v>
      </c>
      <c r="F80" t="s">
        <v>159</v>
      </c>
      <c r="G80" t="s">
        <v>160</v>
      </c>
      <c r="J80" t="s">
        <v>139</v>
      </c>
      <c r="L80" t="s">
        <v>139</v>
      </c>
      <c r="M80" t="s">
        <v>139</v>
      </c>
    </row>
    <row r="81" spans="1:14" x14ac:dyDescent="0.45">
      <c r="A81" s="5" t="s">
        <v>437</v>
      </c>
      <c r="B81" s="5" t="s">
        <v>140</v>
      </c>
      <c r="C81" s="5" t="s">
        <v>438</v>
      </c>
      <c r="D81" s="5" t="s">
        <v>435</v>
      </c>
      <c r="E81" s="5" t="s">
        <v>436</v>
      </c>
      <c r="F81" s="5" t="s">
        <v>159</v>
      </c>
      <c r="G81" s="5" t="s">
        <v>160</v>
      </c>
      <c r="H81" s="5"/>
      <c r="I81" s="5" t="s">
        <v>139</v>
      </c>
      <c r="J81" s="5" t="s">
        <v>139</v>
      </c>
      <c r="K81" s="5"/>
      <c r="L81" s="5" t="s">
        <v>139</v>
      </c>
      <c r="M81" s="5" t="s">
        <v>139</v>
      </c>
      <c r="N81" s="5"/>
    </row>
    <row r="82" spans="1:14" x14ac:dyDescent="0.45">
      <c r="A82" t="s">
        <v>439</v>
      </c>
      <c r="B82" t="s">
        <v>140</v>
      </c>
      <c r="C82" t="s">
        <v>440</v>
      </c>
      <c r="D82" t="s">
        <v>435</v>
      </c>
      <c r="E82" t="s">
        <v>436</v>
      </c>
      <c r="F82" t="s">
        <v>159</v>
      </c>
      <c r="G82" t="s">
        <v>160</v>
      </c>
      <c r="I82" t="s">
        <v>139</v>
      </c>
      <c r="J82" t="s">
        <v>139</v>
      </c>
      <c r="L82" t="s">
        <v>139</v>
      </c>
      <c r="M82" t="s">
        <v>139</v>
      </c>
    </row>
    <row r="83" spans="1:14" x14ac:dyDescent="0.45">
      <c r="A83" s="5" t="s">
        <v>441</v>
      </c>
      <c r="B83" s="5" t="s">
        <v>224</v>
      </c>
      <c r="C83" s="5" t="s">
        <v>442</v>
      </c>
      <c r="D83" s="5" t="s">
        <v>381</v>
      </c>
      <c r="E83" s="5" t="s">
        <v>443</v>
      </c>
      <c r="F83" s="5" t="s">
        <v>444</v>
      </c>
      <c r="G83" s="5" t="s">
        <v>138</v>
      </c>
      <c r="H83" s="5"/>
      <c r="I83" s="5"/>
      <c r="J83" s="5"/>
      <c r="K83" s="5"/>
      <c r="L83" s="5" t="s">
        <v>139</v>
      </c>
      <c r="M83" s="5" t="s">
        <v>139</v>
      </c>
      <c r="N83" s="5"/>
    </row>
    <row r="84" spans="1:14" x14ac:dyDescent="0.45">
      <c r="A84" t="s">
        <v>445</v>
      </c>
      <c r="B84" t="s">
        <v>133</v>
      </c>
      <c r="C84" t="s">
        <v>446</v>
      </c>
      <c r="D84" t="s">
        <v>381</v>
      </c>
      <c r="E84" t="s">
        <v>447</v>
      </c>
      <c r="F84" t="s">
        <v>448</v>
      </c>
      <c r="G84" t="s">
        <v>449</v>
      </c>
      <c r="I84" t="s">
        <v>139</v>
      </c>
      <c r="J84" t="s">
        <v>139</v>
      </c>
      <c r="M84" t="s">
        <v>139</v>
      </c>
    </row>
  </sheetData>
  <mergeCells count="12">
    <mergeCell ref="A1:N1"/>
    <mergeCell ref="A78:N78"/>
    <mergeCell ref="B4:N4"/>
    <mergeCell ref="A7:N7"/>
    <mergeCell ref="B3:N3"/>
    <mergeCell ref="B2:N2"/>
    <mergeCell ref="A58:N58"/>
    <mergeCell ref="B5:N5"/>
    <mergeCell ref="A31:N31"/>
    <mergeCell ref="A67:N67"/>
    <mergeCell ref="A12:N12"/>
    <mergeCell ref="A50:N50"/>
  </mergeCells>
  <dataValidations count="1">
    <dataValidation type="list" allowBlank="1" errorTitle="Invalid Review Status" error="Choose a review status from the list." sqref="N2:N84" xr:uid="{00000000-0002-0000-06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86"/>
  <sheetViews>
    <sheetView workbookViewId="0">
      <pane ySplit="6" topLeftCell="A7" activePane="bottomLeft" state="frozen"/>
      <selection pane="bottomLeft"/>
    </sheetView>
  </sheetViews>
  <sheetFormatPr defaultRowHeight="14.25" x14ac:dyDescent="0.45"/>
  <cols>
    <col min="1" max="1" width="50" customWidth="1"/>
    <col min="2" max="2" width="21"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450</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27</v>
      </c>
      <c r="C3" s="7"/>
      <c r="D3" s="7"/>
      <c r="E3" s="7"/>
      <c r="F3" s="7"/>
      <c r="G3" s="7"/>
      <c r="H3" s="7"/>
      <c r="I3" s="7"/>
      <c r="J3" s="7"/>
      <c r="K3" s="7"/>
      <c r="L3" s="7"/>
      <c r="M3" s="7"/>
      <c r="N3" s="7"/>
    </row>
    <row r="4" spans="1:14" x14ac:dyDescent="0.45">
      <c r="A4" s="4" t="s">
        <v>20</v>
      </c>
      <c r="B4" s="7" t="s">
        <v>44</v>
      </c>
      <c r="C4" s="7"/>
      <c r="D4" s="7"/>
      <c r="E4" s="7"/>
      <c r="F4" s="7"/>
      <c r="G4" s="7"/>
      <c r="H4" s="7"/>
      <c r="I4" s="7"/>
      <c r="J4" s="7"/>
      <c r="K4" s="7"/>
      <c r="L4" s="7"/>
      <c r="M4" s="7"/>
      <c r="N4" s="7"/>
    </row>
    <row r="5" spans="1:14" x14ac:dyDescent="0.45">
      <c r="A5" s="4" t="s">
        <v>21</v>
      </c>
      <c r="B5" s="7" t="s">
        <v>41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388</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L10" t="s">
        <v>139</v>
      </c>
      <c r="M10" t="s">
        <v>139</v>
      </c>
    </row>
    <row r="11" spans="1:14" x14ac:dyDescent="0.45">
      <c r="A11" s="5" t="s">
        <v>149</v>
      </c>
      <c r="B11" s="5" t="s">
        <v>140</v>
      </c>
      <c r="C11" s="5" t="s">
        <v>389</v>
      </c>
      <c r="D11" s="5" t="s">
        <v>135</v>
      </c>
      <c r="E11" s="5" t="s">
        <v>390</v>
      </c>
      <c r="F11" s="5" t="s">
        <v>148</v>
      </c>
      <c r="G11" s="5" t="s">
        <v>138</v>
      </c>
      <c r="H11" s="5" t="s">
        <v>391</v>
      </c>
      <c r="I11" s="5" t="s">
        <v>139</v>
      </c>
      <c r="J11" s="5" t="s">
        <v>139</v>
      </c>
      <c r="K11" s="5"/>
      <c r="L11" s="5"/>
      <c r="M11" s="5" t="s">
        <v>139</v>
      </c>
      <c r="N11" s="5"/>
    </row>
    <row r="12" spans="1:14" x14ac:dyDescent="0.45">
      <c r="A12" s="6" t="s">
        <v>154</v>
      </c>
      <c r="B12" s="7"/>
      <c r="C12" s="7"/>
      <c r="D12" s="7"/>
      <c r="E12" s="7"/>
      <c r="F12" s="7"/>
      <c r="G12" s="7"/>
      <c r="H12" s="7"/>
      <c r="I12" s="7"/>
      <c r="J12" s="7"/>
      <c r="K12" s="7"/>
      <c r="L12" s="7"/>
      <c r="M12" s="7"/>
      <c r="N12" s="7"/>
    </row>
    <row r="13" spans="1:14" x14ac:dyDescent="0.45">
      <c r="A13" t="s">
        <v>155</v>
      </c>
      <c r="B13" t="s">
        <v>140</v>
      </c>
      <c r="C13" t="s">
        <v>156</v>
      </c>
      <c r="D13" t="s">
        <v>157</v>
      </c>
      <c r="E13" t="s">
        <v>158</v>
      </c>
      <c r="F13" t="s">
        <v>159</v>
      </c>
      <c r="G13" t="s">
        <v>160</v>
      </c>
      <c r="J13" t="s">
        <v>139</v>
      </c>
      <c r="L13" t="s">
        <v>139</v>
      </c>
      <c r="M13" t="s">
        <v>139</v>
      </c>
    </row>
    <row r="14" spans="1:14" x14ac:dyDescent="0.45">
      <c r="A14" s="5" t="s">
        <v>161</v>
      </c>
      <c r="B14" s="5" t="s">
        <v>140</v>
      </c>
      <c r="C14" s="5" t="s">
        <v>156</v>
      </c>
      <c r="D14" s="5" t="s">
        <v>157</v>
      </c>
      <c r="E14" s="5" t="s">
        <v>162</v>
      </c>
      <c r="F14" s="5" t="s">
        <v>159</v>
      </c>
      <c r="G14" s="5" t="s">
        <v>160</v>
      </c>
      <c r="H14" s="5"/>
      <c r="I14" s="5"/>
      <c r="J14" s="5" t="s">
        <v>139</v>
      </c>
      <c r="K14" s="5"/>
      <c r="L14" s="5" t="s">
        <v>139</v>
      </c>
      <c r="M14" s="5" t="s">
        <v>139</v>
      </c>
      <c r="N14" s="5"/>
    </row>
    <row r="15" spans="1:14" x14ac:dyDescent="0.45">
      <c r="A15" t="s">
        <v>163</v>
      </c>
      <c r="B15" t="s">
        <v>140</v>
      </c>
      <c r="C15" t="s">
        <v>164</v>
      </c>
      <c r="D15" t="s">
        <v>157</v>
      </c>
      <c r="E15" t="s">
        <v>392</v>
      </c>
      <c r="F15" t="s">
        <v>159</v>
      </c>
      <c r="G15" t="s">
        <v>160</v>
      </c>
      <c r="M15" t="s">
        <v>139</v>
      </c>
    </row>
    <row r="16" spans="1:14" x14ac:dyDescent="0.45">
      <c r="A16" s="5" t="s">
        <v>166</v>
      </c>
      <c r="B16" s="5" t="s">
        <v>167</v>
      </c>
      <c r="C16" s="5" t="s">
        <v>168</v>
      </c>
      <c r="D16" s="5" t="s">
        <v>381</v>
      </c>
      <c r="E16" s="5" t="s">
        <v>209</v>
      </c>
      <c r="F16" s="5" t="s">
        <v>171</v>
      </c>
      <c r="G16" s="5" t="s">
        <v>138</v>
      </c>
      <c r="H16" s="5"/>
      <c r="I16" s="5"/>
      <c r="J16" s="5"/>
      <c r="K16" s="5"/>
      <c r="L16" s="5" t="s">
        <v>139</v>
      </c>
      <c r="M16" s="5" t="s">
        <v>139</v>
      </c>
      <c r="N16" s="5"/>
    </row>
    <row r="17" spans="1:14" x14ac:dyDescent="0.45">
      <c r="A17" t="s">
        <v>172</v>
      </c>
      <c r="B17" t="s">
        <v>133</v>
      </c>
      <c r="C17" t="s">
        <v>168</v>
      </c>
      <c r="D17" t="s">
        <v>381</v>
      </c>
      <c r="E17" t="s">
        <v>209</v>
      </c>
      <c r="F17" t="s">
        <v>173</v>
      </c>
      <c r="G17" t="s">
        <v>138</v>
      </c>
      <c r="L17" t="s">
        <v>139</v>
      </c>
      <c r="M17" t="s">
        <v>139</v>
      </c>
    </row>
    <row r="18" spans="1:14" x14ac:dyDescent="0.45">
      <c r="A18" s="5" t="s">
        <v>174</v>
      </c>
      <c r="B18" s="5" t="s">
        <v>167</v>
      </c>
      <c r="C18" s="5" t="s">
        <v>175</v>
      </c>
      <c r="D18" s="5" t="s">
        <v>381</v>
      </c>
      <c r="E18" s="5" t="s">
        <v>393</v>
      </c>
      <c r="F18" s="5" t="s">
        <v>177</v>
      </c>
      <c r="G18" s="5" t="s">
        <v>138</v>
      </c>
      <c r="H18" s="5"/>
      <c r="I18" s="5"/>
      <c r="J18" s="5"/>
      <c r="K18" s="5"/>
      <c r="L18" s="5" t="s">
        <v>139</v>
      </c>
      <c r="M18" s="5" t="s">
        <v>139</v>
      </c>
      <c r="N18" s="5"/>
    </row>
    <row r="19" spans="1:14" x14ac:dyDescent="0.45">
      <c r="A19" t="s">
        <v>178</v>
      </c>
      <c r="B19" t="s">
        <v>167</v>
      </c>
      <c r="C19" t="s">
        <v>179</v>
      </c>
      <c r="D19" t="s">
        <v>394</v>
      </c>
      <c r="E19" t="s">
        <v>395</v>
      </c>
      <c r="F19" t="s">
        <v>396</v>
      </c>
      <c r="G19" t="s">
        <v>397</v>
      </c>
      <c r="K19" t="s">
        <v>139</v>
      </c>
      <c r="L19" t="s">
        <v>139</v>
      </c>
      <c r="M19" t="s">
        <v>139</v>
      </c>
    </row>
    <row r="20" spans="1:14" x14ac:dyDescent="0.45">
      <c r="A20" s="5" t="s">
        <v>181</v>
      </c>
      <c r="B20" s="5" t="s">
        <v>167</v>
      </c>
      <c r="C20" s="5" t="s">
        <v>179</v>
      </c>
      <c r="D20" s="5" t="s">
        <v>394</v>
      </c>
      <c r="E20" s="5" t="s">
        <v>395</v>
      </c>
      <c r="F20" s="5" t="s">
        <v>398</v>
      </c>
      <c r="G20" s="5" t="s">
        <v>397</v>
      </c>
      <c r="H20" s="5"/>
      <c r="I20" s="5"/>
      <c r="J20" s="5"/>
      <c r="K20" s="5" t="s">
        <v>139</v>
      </c>
      <c r="L20" s="5" t="s">
        <v>139</v>
      </c>
      <c r="M20" s="5" t="s">
        <v>139</v>
      </c>
      <c r="N20" s="5"/>
    </row>
    <row r="21" spans="1:14" x14ac:dyDescent="0.45">
      <c r="A21" t="s">
        <v>182</v>
      </c>
      <c r="B21" t="s">
        <v>133</v>
      </c>
      <c r="C21" t="s">
        <v>183</v>
      </c>
      <c r="D21" t="s">
        <v>381</v>
      </c>
      <c r="E21" t="s">
        <v>451</v>
      </c>
      <c r="F21" t="s">
        <v>185</v>
      </c>
      <c r="G21" t="s">
        <v>182</v>
      </c>
      <c r="H21" t="s">
        <v>186</v>
      </c>
      <c r="J21" t="s">
        <v>139</v>
      </c>
      <c r="L21" t="s">
        <v>139</v>
      </c>
      <c r="M21" t="s">
        <v>139</v>
      </c>
    </row>
    <row r="22" spans="1:14" x14ac:dyDescent="0.45">
      <c r="A22" s="5" t="s">
        <v>187</v>
      </c>
      <c r="B22" s="5" t="s">
        <v>140</v>
      </c>
      <c r="C22" s="5" t="s">
        <v>188</v>
      </c>
      <c r="D22" s="5" t="s">
        <v>157</v>
      </c>
      <c r="E22" s="5" t="s">
        <v>189</v>
      </c>
      <c r="F22" s="5" t="s">
        <v>159</v>
      </c>
      <c r="G22" s="5" t="s">
        <v>160</v>
      </c>
      <c r="H22" s="5"/>
      <c r="I22" s="5"/>
      <c r="J22" s="5"/>
      <c r="K22" s="5"/>
      <c r="L22" s="5" t="s">
        <v>139</v>
      </c>
      <c r="M22" s="5" t="s">
        <v>139</v>
      </c>
      <c r="N22" s="5"/>
    </row>
    <row r="23" spans="1:14" x14ac:dyDescent="0.45">
      <c r="A23" t="s">
        <v>190</v>
      </c>
      <c r="B23" t="s">
        <v>140</v>
      </c>
      <c r="C23" t="s">
        <v>191</v>
      </c>
      <c r="D23" t="s">
        <v>157</v>
      </c>
      <c r="E23" t="s">
        <v>192</v>
      </c>
      <c r="F23" t="s">
        <v>159</v>
      </c>
      <c r="G23" t="s">
        <v>160</v>
      </c>
      <c r="L23" t="s">
        <v>139</v>
      </c>
      <c r="M23" t="s">
        <v>139</v>
      </c>
    </row>
    <row r="24" spans="1:14" x14ac:dyDescent="0.45">
      <c r="A24" s="5" t="s">
        <v>193</v>
      </c>
      <c r="B24" s="5" t="s">
        <v>140</v>
      </c>
      <c r="C24" s="5" t="s">
        <v>194</v>
      </c>
      <c r="D24" s="5" t="s">
        <v>157</v>
      </c>
      <c r="E24" s="5" t="s">
        <v>195</v>
      </c>
      <c r="F24" s="5" t="s">
        <v>159</v>
      </c>
      <c r="G24" s="5" t="s">
        <v>160</v>
      </c>
      <c r="H24" s="5"/>
      <c r="I24" s="5"/>
      <c r="J24" s="5"/>
      <c r="K24" s="5"/>
      <c r="L24" s="5" t="s">
        <v>139</v>
      </c>
      <c r="M24" s="5" t="s">
        <v>139</v>
      </c>
      <c r="N24" s="5"/>
    </row>
    <row r="25" spans="1:14" x14ac:dyDescent="0.45">
      <c r="A25" t="s">
        <v>196</v>
      </c>
      <c r="B25" t="s">
        <v>140</v>
      </c>
      <c r="C25" t="s">
        <v>197</v>
      </c>
      <c r="D25" t="s">
        <v>157</v>
      </c>
      <c r="E25" t="s">
        <v>198</v>
      </c>
      <c r="F25" t="s">
        <v>159</v>
      </c>
      <c r="G25" t="s">
        <v>160</v>
      </c>
      <c r="L25" t="s">
        <v>139</v>
      </c>
      <c r="M25" t="s">
        <v>139</v>
      </c>
    </row>
    <row r="26" spans="1:14" x14ac:dyDescent="0.45">
      <c r="A26" s="5" t="s">
        <v>199</v>
      </c>
      <c r="B26" s="5" t="s">
        <v>140</v>
      </c>
      <c r="C26" s="5" t="s">
        <v>200</v>
      </c>
      <c r="D26" s="5" t="s">
        <v>157</v>
      </c>
      <c r="E26" s="5" t="s">
        <v>201</v>
      </c>
      <c r="F26" s="5" t="s">
        <v>159</v>
      </c>
      <c r="G26" s="5" t="s">
        <v>160</v>
      </c>
      <c r="H26" s="5"/>
      <c r="I26" s="5"/>
      <c r="J26" s="5"/>
      <c r="K26" s="5"/>
      <c r="L26" s="5" t="s">
        <v>139</v>
      </c>
      <c r="M26" s="5" t="s">
        <v>139</v>
      </c>
      <c r="N26" s="5"/>
    </row>
    <row r="27" spans="1:14" x14ac:dyDescent="0.45">
      <c r="A27" t="s">
        <v>202</v>
      </c>
      <c r="B27" t="s">
        <v>140</v>
      </c>
      <c r="C27" t="s">
        <v>203</v>
      </c>
      <c r="D27" t="s">
        <v>157</v>
      </c>
      <c r="E27" t="s">
        <v>204</v>
      </c>
      <c r="F27" t="s">
        <v>159</v>
      </c>
      <c r="G27" t="s">
        <v>160</v>
      </c>
      <c r="L27" t="s">
        <v>139</v>
      </c>
      <c r="M27" t="s">
        <v>139</v>
      </c>
    </row>
    <row r="28" spans="1:14" x14ac:dyDescent="0.45">
      <c r="A28" s="5" t="s">
        <v>205</v>
      </c>
      <c r="B28" s="5" t="s">
        <v>140</v>
      </c>
      <c r="C28" s="5" t="s">
        <v>206</v>
      </c>
      <c r="D28" s="5" t="s">
        <v>157</v>
      </c>
      <c r="E28" s="5" t="s">
        <v>204</v>
      </c>
      <c r="F28" s="5" t="s">
        <v>159</v>
      </c>
      <c r="G28" s="5" t="s">
        <v>160</v>
      </c>
      <c r="H28" s="5"/>
      <c r="I28" s="5"/>
      <c r="J28" s="5" t="s">
        <v>139</v>
      </c>
      <c r="K28" s="5" t="s">
        <v>139</v>
      </c>
      <c r="L28" s="5"/>
      <c r="M28" s="5" t="s">
        <v>139</v>
      </c>
      <c r="N28" s="5"/>
    </row>
    <row r="29" spans="1:14" x14ac:dyDescent="0.45">
      <c r="A29" t="s">
        <v>207</v>
      </c>
      <c r="B29" t="s">
        <v>133</v>
      </c>
      <c r="C29" t="s">
        <v>208</v>
      </c>
      <c r="D29" t="s">
        <v>381</v>
      </c>
      <c r="E29" t="s">
        <v>209</v>
      </c>
      <c r="F29" t="s">
        <v>210</v>
      </c>
      <c r="G29" t="s">
        <v>138</v>
      </c>
      <c r="H29" t="s">
        <v>211</v>
      </c>
      <c r="J29" t="s">
        <v>139</v>
      </c>
      <c r="L29" t="s">
        <v>139</v>
      </c>
      <c r="M29" t="s">
        <v>139</v>
      </c>
    </row>
    <row r="30" spans="1:14" x14ac:dyDescent="0.45">
      <c r="A30" s="5" t="s">
        <v>212</v>
      </c>
      <c r="B30" s="5" t="s">
        <v>140</v>
      </c>
      <c r="C30" s="5" t="s">
        <v>213</v>
      </c>
      <c r="D30" s="5" t="s">
        <v>214</v>
      </c>
      <c r="E30" s="5" t="s">
        <v>215</v>
      </c>
      <c r="F30" s="5" t="s">
        <v>400</v>
      </c>
      <c r="G30" s="5" t="s">
        <v>138</v>
      </c>
      <c r="H30" s="5"/>
      <c r="I30" s="5"/>
      <c r="J30" s="5" t="s">
        <v>139</v>
      </c>
      <c r="K30" s="5"/>
      <c r="L30" s="5" t="s">
        <v>139</v>
      </c>
      <c r="M30" s="5" t="s">
        <v>139</v>
      </c>
      <c r="N30" s="5"/>
    </row>
    <row r="31" spans="1:14" x14ac:dyDescent="0.45">
      <c r="A31" s="6" t="s">
        <v>216</v>
      </c>
      <c r="B31" s="7"/>
      <c r="C31" s="7"/>
      <c r="D31" s="7"/>
      <c r="E31" s="7"/>
      <c r="F31" s="7"/>
      <c r="G31" s="7"/>
      <c r="H31" s="7"/>
      <c r="I31" s="7"/>
      <c r="J31" s="7"/>
      <c r="K31" s="7"/>
      <c r="L31" s="7"/>
      <c r="M31" s="7"/>
      <c r="N31" s="7"/>
    </row>
    <row r="32" spans="1:14" x14ac:dyDescent="0.45">
      <c r="A32" t="s">
        <v>217</v>
      </c>
      <c r="B32" t="s">
        <v>140</v>
      </c>
      <c r="C32" t="s">
        <v>218</v>
      </c>
      <c r="D32" t="s">
        <v>157</v>
      </c>
      <c r="E32" t="s">
        <v>219</v>
      </c>
      <c r="F32" t="s">
        <v>159</v>
      </c>
      <c r="G32" t="s">
        <v>160</v>
      </c>
      <c r="I32" t="s">
        <v>139</v>
      </c>
      <c r="J32" t="s">
        <v>139</v>
      </c>
      <c r="M32" t="s">
        <v>139</v>
      </c>
    </row>
    <row r="33" spans="1:14" x14ac:dyDescent="0.45">
      <c r="A33" s="5" t="s">
        <v>220</v>
      </c>
      <c r="B33" s="5" t="s">
        <v>140</v>
      </c>
      <c r="C33" s="5" t="s">
        <v>221</v>
      </c>
      <c r="D33" s="5" t="s">
        <v>157</v>
      </c>
      <c r="E33" s="5" t="s">
        <v>222</v>
      </c>
      <c r="F33" s="5" t="s">
        <v>159</v>
      </c>
      <c r="G33" s="5" t="s">
        <v>160</v>
      </c>
      <c r="H33" s="5"/>
      <c r="I33" s="5" t="s">
        <v>139</v>
      </c>
      <c r="J33" s="5" t="s">
        <v>139</v>
      </c>
      <c r="K33" s="5"/>
      <c r="L33" s="5" t="s">
        <v>139</v>
      </c>
      <c r="M33" s="5" t="s">
        <v>139</v>
      </c>
      <c r="N33" s="5"/>
    </row>
    <row r="34" spans="1:14" x14ac:dyDescent="0.45">
      <c r="A34" t="s">
        <v>223</v>
      </c>
      <c r="B34" t="s">
        <v>224</v>
      </c>
      <c r="C34" t="s">
        <v>225</v>
      </c>
      <c r="D34" t="s">
        <v>401</v>
      </c>
      <c r="E34" t="s">
        <v>227</v>
      </c>
      <c r="F34" t="s">
        <v>228</v>
      </c>
      <c r="G34" t="s">
        <v>138</v>
      </c>
      <c r="L34" t="s">
        <v>139</v>
      </c>
      <c r="M34" t="s">
        <v>139</v>
      </c>
    </row>
    <row r="35" spans="1:14" x14ac:dyDescent="0.45">
      <c r="A35" s="5" t="s">
        <v>229</v>
      </c>
      <c r="B35" s="5" t="s">
        <v>167</v>
      </c>
      <c r="C35" s="5" t="s">
        <v>225</v>
      </c>
      <c r="D35" s="5" t="s">
        <v>401</v>
      </c>
      <c r="E35" s="5" t="s">
        <v>227</v>
      </c>
      <c r="F35" s="5" t="s">
        <v>230</v>
      </c>
      <c r="G35" s="5" t="s">
        <v>138</v>
      </c>
      <c r="H35" s="5"/>
      <c r="I35" s="5"/>
      <c r="J35" s="5"/>
      <c r="K35" s="5"/>
      <c r="L35" s="5" t="s">
        <v>139</v>
      </c>
      <c r="M35" s="5" t="s">
        <v>139</v>
      </c>
      <c r="N35" s="5"/>
    </row>
    <row r="36" spans="1:14" x14ac:dyDescent="0.45">
      <c r="A36" t="s">
        <v>231</v>
      </c>
      <c r="B36" t="s">
        <v>167</v>
      </c>
      <c r="C36" t="s">
        <v>225</v>
      </c>
      <c r="D36" t="s">
        <v>401</v>
      </c>
      <c r="E36" t="s">
        <v>227</v>
      </c>
      <c r="F36" t="s">
        <v>232</v>
      </c>
      <c r="G36" t="s">
        <v>138</v>
      </c>
      <c r="L36" t="s">
        <v>139</v>
      </c>
      <c r="M36" t="s">
        <v>139</v>
      </c>
    </row>
    <row r="37" spans="1:14" x14ac:dyDescent="0.45">
      <c r="A37" s="5" t="s">
        <v>233</v>
      </c>
      <c r="B37" s="5" t="s">
        <v>224</v>
      </c>
      <c r="C37" s="5" t="s">
        <v>225</v>
      </c>
      <c r="D37" s="5" t="s">
        <v>401</v>
      </c>
      <c r="E37" s="5" t="s">
        <v>227</v>
      </c>
      <c r="F37" s="5" t="s">
        <v>234</v>
      </c>
      <c r="G37" s="5" t="s">
        <v>138</v>
      </c>
      <c r="H37" s="5"/>
      <c r="I37" s="5"/>
      <c r="J37" s="5"/>
      <c r="K37" s="5"/>
      <c r="L37" s="5" t="s">
        <v>139</v>
      </c>
      <c r="M37" s="5" t="s">
        <v>139</v>
      </c>
      <c r="N37" s="5"/>
    </row>
    <row r="38" spans="1:14" x14ac:dyDescent="0.45">
      <c r="A38" t="s">
        <v>235</v>
      </c>
      <c r="B38" t="s">
        <v>133</v>
      </c>
      <c r="C38" t="s">
        <v>236</v>
      </c>
      <c r="D38" t="s">
        <v>381</v>
      </c>
      <c r="E38" t="s">
        <v>402</v>
      </c>
      <c r="F38" t="s">
        <v>239</v>
      </c>
      <c r="G38" t="s">
        <v>145</v>
      </c>
      <c r="I38" t="s">
        <v>139</v>
      </c>
      <c r="J38" t="s">
        <v>139</v>
      </c>
      <c r="K38" t="s">
        <v>139</v>
      </c>
      <c r="L38" t="s">
        <v>139</v>
      </c>
      <c r="M38" t="s">
        <v>139</v>
      </c>
    </row>
    <row r="39" spans="1:14" x14ac:dyDescent="0.45">
      <c r="A39" s="5" t="s">
        <v>240</v>
      </c>
      <c r="B39" s="5" t="s">
        <v>140</v>
      </c>
      <c r="C39" s="5" t="s">
        <v>241</v>
      </c>
      <c r="D39" s="5" t="s">
        <v>157</v>
      </c>
      <c r="E39" s="5" t="s">
        <v>242</v>
      </c>
      <c r="F39" s="5" t="s">
        <v>159</v>
      </c>
      <c r="G39" s="5" t="s">
        <v>160</v>
      </c>
      <c r="H39" s="5"/>
      <c r="I39" s="5"/>
      <c r="J39" s="5" t="s">
        <v>139</v>
      </c>
      <c r="K39" s="5" t="s">
        <v>139</v>
      </c>
      <c r="L39" s="5" t="s">
        <v>139</v>
      </c>
      <c r="M39" s="5" t="s">
        <v>139</v>
      </c>
      <c r="N39" s="5"/>
    </row>
    <row r="40" spans="1:14" x14ac:dyDescent="0.45">
      <c r="A40" t="s">
        <v>243</v>
      </c>
      <c r="B40" t="s">
        <v>140</v>
      </c>
      <c r="C40" t="s">
        <v>244</v>
      </c>
      <c r="D40" t="s">
        <v>157</v>
      </c>
      <c r="E40" t="s">
        <v>242</v>
      </c>
      <c r="F40" t="s">
        <v>159</v>
      </c>
      <c r="G40" t="s">
        <v>160</v>
      </c>
      <c r="J40" t="s">
        <v>139</v>
      </c>
      <c r="L40" t="s">
        <v>139</v>
      </c>
      <c r="M40" t="s">
        <v>139</v>
      </c>
    </row>
    <row r="41" spans="1:14" x14ac:dyDescent="0.45">
      <c r="A41" s="5" t="s">
        <v>245</v>
      </c>
      <c r="B41" s="5" t="s">
        <v>140</v>
      </c>
      <c r="C41" s="5" t="s">
        <v>246</v>
      </c>
      <c r="D41" s="5" t="s">
        <v>157</v>
      </c>
      <c r="E41" s="5" t="s">
        <v>247</v>
      </c>
      <c r="F41" s="5" t="s">
        <v>159</v>
      </c>
      <c r="G41" s="5" t="s">
        <v>160</v>
      </c>
      <c r="H41" s="5"/>
      <c r="I41" s="5"/>
      <c r="J41" s="5"/>
      <c r="K41" s="5"/>
      <c r="L41" s="5" t="s">
        <v>139</v>
      </c>
      <c r="M41" s="5" t="s">
        <v>139</v>
      </c>
      <c r="N41" s="5"/>
    </row>
    <row r="42" spans="1:14" x14ac:dyDescent="0.45">
      <c r="A42" t="s">
        <v>248</v>
      </c>
      <c r="B42" t="s">
        <v>140</v>
      </c>
      <c r="C42" t="s">
        <v>249</v>
      </c>
      <c r="D42" t="s">
        <v>157</v>
      </c>
      <c r="E42" t="s">
        <v>247</v>
      </c>
      <c r="F42" t="s">
        <v>159</v>
      </c>
      <c r="G42" t="s">
        <v>160</v>
      </c>
      <c r="J42" t="s">
        <v>139</v>
      </c>
      <c r="K42" t="s">
        <v>139</v>
      </c>
      <c r="L42" t="s">
        <v>139</v>
      </c>
      <c r="M42" t="s">
        <v>139</v>
      </c>
    </row>
    <row r="43" spans="1:14" x14ac:dyDescent="0.45">
      <c r="A43" s="5" t="s">
        <v>250</v>
      </c>
      <c r="B43" s="5" t="s">
        <v>140</v>
      </c>
      <c r="C43" s="5" t="s">
        <v>251</v>
      </c>
      <c r="D43" s="5" t="s">
        <v>157</v>
      </c>
      <c r="E43" s="5" t="s">
        <v>252</v>
      </c>
      <c r="F43" s="5" t="s">
        <v>159</v>
      </c>
      <c r="G43" s="5" t="s">
        <v>160</v>
      </c>
      <c r="H43" s="5"/>
      <c r="I43" s="5"/>
      <c r="J43" s="5" t="s">
        <v>139</v>
      </c>
      <c r="K43" s="5"/>
      <c r="L43" s="5" t="s">
        <v>139</v>
      </c>
      <c r="M43" s="5" t="s">
        <v>139</v>
      </c>
      <c r="N43" s="5"/>
    </row>
    <row r="44" spans="1:14" x14ac:dyDescent="0.45">
      <c r="A44" t="s">
        <v>253</v>
      </c>
      <c r="B44" t="s">
        <v>140</v>
      </c>
      <c r="C44" t="s">
        <v>251</v>
      </c>
      <c r="D44" t="s">
        <v>157</v>
      </c>
      <c r="E44" t="s">
        <v>252</v>
      </c>
      <c r="F44" t="s">
        <v>159</v>
      </c>
      <c r="G44" t="s">
        <v>160</v>
      </c>
      <c r="J44" t="s">
        <v>139</v>
      </c>
      <c r="L44" t="s">
        <v>139</v>
      </c>
      <c r="M44" t="s">
        <v>139</v>
      </c>
    </row>
    <row r="45" spans="1:14" x14ac:dyDescent="0.45">
      <c r="A45" s="5" t="s">
        <v>254</v>
      </c>
      <c r="B45" s="5" t="s">
        <v>140</v>
      </c>
      <c r="C45" s="5" t="s">
        <v>255</v>
      </c>
      <c r="D45" s="5" t="s">
        <v>157</v>
      </c>
      <c r="E45" s="5" t="s">
        <v>256</v>
      </c>
      <c r="F45" s="5" t="s">
        <v>159</v>
      </c>
      <c r="G45" s="5" t="s">
        <v>160</v>
      </c>
      <c r="H45" s="5"/>
      <c r="I45" s="5" t="s">
        <v>139</v>
      </c>
      <c r="J45" s="5"/>
      <c r="K45" s="5"/>
      <c r="L45" s="5" t="s">
        <v>139</v>
      </c>
      <c r="M45" s="5" t="s">
        <v>139</v>
      </c>
      <c r="N45" s="5"/>
    </row>
    <row r="46" spans="1:14" x14ac:dyDescent="0.45">
      <c r="A46" t="s">
        <v>257</v>
      </c>
      <c r="B46" t="s">
        <v>140</v>
      </c>
      <c r="C46" t="s">
        <v>258</v>
      </c>
      <c r="D46" t="s">
        <v>157</v>
      </c>
      <c r="E46" t="s">
        <v>242</v>
      </c>
      <c r="F46" t="s">
        <v>159</v>
      </c>
      <c r="G46" t="s">
        <v>160</v>
      </c>
      <c r="I46" t="s">
        <v>139</v>
      </c>
      <c r="J46" t="s">
        <v>139</v>
      </c>
      <c r="L46" t="s">
        <v>139</v>
      </c>
      <c r="M46" t="s">
        <v>139</v>
      </c>
    </row>
    <row r="47" spans="1:14" x14ac:dyDescent="0.45">
      <c r="A47" s="5" t="s">
        <v>259</v>
      </c>
      <c r="B47" s="5" t="s">
        <v>140</v>
      </c>
      <c r="C47" s="5" t="s">
        <v>260</v>
      </c>
      <c r="D47" s="5" t="s">
        <v>157</v>
      </c>
      <c r="E47" s="5" t="s">
        <v>242</v>
      </c>
      <c r="F47" s="5" t="s">
        <v>159</v>
      </c>
      <c r="G47" s="5" t="s">
        <v>160</v>
      </c>
      <c r="H47" s="5"/>
      <c r="I47" s="5"/>
      <c r="J47" s="5"/>
      <c r="K47" s="5"/>
      <c r="L47" s="5" t="s">
        <v>139</v>
      </c>
      <c r="M47" s="5" t="s">
        <v>139</v>
      </c>
      <c r="N47" s="5"/>
    </row>
    <row r="48" spans="1:14" x14ac:dyDescent="0.45">
      <c r="A48" t="s">
        <v>261</v>
      </c>
      <c r="B48" t="s">
        <v>224</v>
      </c>
      <c r="C48" t="s">
        <v>262</v>
      </c>
      <c r="D48" t="s">
        <v>381</v>
      </c>
      <c r="E48" t="s">
        <v>263</v>
      </c>
      <c r="F48" t="s">
        <v>264</v>
      </c>
      <c r="G48" t="s">
        <v>138</v>
      </c>
      <c r="H48" t="s">
        <v>265</v>
      </c>
      <c r="L48" t="s">
        <v>139</v>
      </c>
      <c r="M48" t="s">
        <v>139</v>
      </c>
    </row>
    <row r="49" spans="1:14" x14ac:dyDescent="0.45">
      <c r="A49" s="5" t="s">
        <v>266</v>
      </c>
      <c r="B49" s="5" t="s">
        <v>167</v>
      </c>
      <c r="C49" s="5" t="s">
        <v>267</v>
      </c>
      <c r="D49" s="5" t="s">
        <v>401</v>
      </c>
      <c r="E49" s="5" t="s">
        <v>268</v>
      </c>
      <c r="F49" s="5" t="s">
        <v>269</v>
      </c>
      <c r="G49" s="5" t="s">
        <v>138</v>
      </c>
      <c r="H49" s="5" t="s">
        <v>270</v>
      </c>
      <c r="I49" s="5"/>
      <c r="J49" s="5"/>
      <c r="K49" s="5"/>
      <c r="L49" s="5" t="s">
        <v>139</v>
      </c>
      <c r="M49" s="5" t="s">
        <v>139</v>
      </c>
      <c r="N49" s="5"/>
    </row>
    <row r="50" spans="1:14" x14ac:dyDescent="0.45">
      <c r="A50" s="6" t="s">
        <v>271</v>
      </c>
      <c r="B50" s="7"/>
      <c r="C50" s="7"/>
      <c r="D50" s="7"/>
      <c r="E50" s="7"/>
      <c r="F50" s="7"/>
      <c r="G50" s="7"/>
      <c r="H50" s="7"/>
      <c r="I50" s="7"/>
      <c r="J50" s="7"/>
      <c r="K50" s="7"/>
      <c r="L50" s="7"/>
      <c r="M50" s="7"/>
      <c r="N50" s="7"/>
    </row>
    <row r="51" spans="1:14" x14ac:dyDescent="0.45">
      <c r="A51" t="s">
        <v>272</v>
      </c>
      <c r="B51" t="s">
        <v>224</v>
      </c>
      <c r="C51" t="s">
        <v>273</v>
      </c>
      <c r="D51" t="s">
        <v>403</v>
      </c>
      <c r="E51" t="s">
        <v>275</v>
      </c>
      <c r="F51" t="s">
        <v>276</v>
      </c>
      <c r="G51" t="s">
        <v>145</v>
      </c>
      <c r="H51" t="s">
        <v>404</v>
      </c>
      <c r="L51" t="s">
        <v>139</v>
      </c>
      <c r="M51" t="s">
        <v>139</v>
      </c>
    </row>
    <row r="52" spans="1:14" x14ac:dyDescent="0.45">
      <c r="A52" s="5" t="s">
        <v>277</v>
      </c>
      <c r="B52" s="5" t="s">
        <v>224</v>
      </c>
      <c r="C52" s="5" t="s">
        <v>273</v>
      </c>
      <c r="D52" s="5" t="s">
        <v>403</v>
      </c>
      <c r="E52" s="5" t="s">
        <v>275</v>
      </c>
      <c r="F52" s="5" t="s">
        <v>278</v>
      </c>
      <c r="G52" s="5" t="s">
        <v>145</v>
      </c>
      <c r="H52" s="5" t="s">
        <v>404</v>
      </c>
      <c r="I52" s="5"/>
      <c r="J52" s="5"/>
      <c r="K52" s="5"/>
      <c r="L52" s="5" t="s">
        <v>139</v>
      </c>
      <c r="M52" s="5" t="s">
        <v>139</v>
      </c>
      <c r="N52" s="5"/>
    </row>
    <row r="53" spans="1:14" x14ac:dyDescent="0.45">
      <c r="A53" t="s">
        <v>405</v>
      </c>
      <c r="B53" t="s">
        <v>280</v>
      </c>
      <c r="C53" t="s">
        <v>273</v>
      </c>
      <c r="D53" t="s">
        <v>381</v>
      </c>
      <c r="E53" t="s">
        <v>406</v>
      </c>
      <c r="F53" t="s">
        <v>407</v>
      </c>
      <c r="G53" t="s">
        <v>145</v>
      </c>
      <c r="M53" t="s">
        <v>139</v>
      </c>
    </row>
    <row r="54" spans="1:14" x14ac:dyDescent="0.45">
      <c r="A54" s="5" t="s">
        <v>279</v>
      </c>
      <c r="B54" s="5" t="s">
        <v>280</v>
      </c>
      <c r="C54" s="5" t="s">
        <v>273</v>
      </c>
      <c r="D54" s="5" t="s">
        <v>381</v>
      </c>
      <c r="E54" s="5" t="s">
        <v>281</v>
      </c>
      <c r="F54" s="5" t="s">
        <v>282</v>
      </c>
      <c r="G54" s="5" t="s">
        <v>145</v>
      </c>
      <c r="H54" s="5"/>
      <c r="I54" s="5"/>
      <c r="J54" s="5"/>
      <c r="K54" s="5"/>
      <c r="L54" s="5" t="s">
        <v>139</v>
      </c>
      <c r="M54" s="5" t="s">
        <v>139</v>
      </c>
      <c r="N54" s="5"/>
    </row>
    <row r="55" spans="1:14" x14ac:dyDescent="0.45">
      <c r="A55" t="s">
        <v>283</v>
      </c>
      <c r="B55" t="s">
        <v>280</v>
      </c>
      <c r="C55" t="s">
        <v>273</v>
      </c>
      <c r="D55" t="s">
        <v>381</v>
      </c>
      <c r="E55" t="s">
        <v>284</v>
      </c>
      <c r="F55" t="s">
        <v>285</v>
      </c>
      <c r="G55" t="s">
        <v>145</v>
      </c>
      <c r="L55" t="s">
        <v>139</v>
      </c>
      <c r="M55" t="s">
        <v>139</v>
      </c>
    </row>
    <row r="56" spans="1:14" x14ac:dyDescent="0.45">
      <c r="A56" s="5" t="s">
        <v>286</v>
      </c>
      <c r="B56" s="5" t="s">
        <v>280</v>
      </c>
      <c r="C56" s="5" t="s">
        <v>273</v>
      </c>
      <c r="D56" s="5" t="s">
        <v>381</v>
      </c>
      <c r="E56" s="5" t="s">
        <v>287</v>
      </c>
      <c r="F56" s="5" t="s">
        <v>288</v>
      </c>
      <c r="G56" s="5" t="s">
        <v>145</v>
      </c>
      <c r="H56" s="5"/>
      <c r="I56" s="5"/>
      <c r="J56" s="5"/>
      <c r="K56" s="5"/>
      <c r="L56" s="5" t="s">
        <v>139</v>
      </c>
      <c r="M56" s="5" t="s">
        <v>139</v>
      </c>
      <c r="N56" s="5"/>
    </row>
    <row r="57" spans="1:14" x14ac:dyDescent="0.45">
      <c r="A57" t="s">
        <v>408</v>
      </c>
      <c r="B57" t="s">
        <v>140</v>
      </c>
      <c r="C57" t="s">
        <v>409</v>
      </c>
      <c r="D57" t="s">
        <v>410</v>
      </c>
      <c r="E57" t="s">
        <v>411</v>
      </c>
      <c r="F57" t="s">
        <v>412</v>
      </c>
      <c r="G57" t="s">
        <v>145</v>
      </c>
      <c r="M57" t="s">
        <v>139</v>
      </c>
    </row>
    <row r="58" spans="1:14" x14ac:dyDescent="0.45">
      <c r="A58" s="6" t="s">
        <v>289</v>
      </c>
      <c r="B58" s="7"/>
      <c r="C58" s="7"/>
      <c r="D58" s="7"/>
      <c r="E58" s="7"/>
      <c r="F58" s="7"/>
      <c r="G58" s="7"/>
      <c r="H58" s="7"/>
      <c r="I58" s="7"/>
      <c r="J58" s="7"/>
      <c r="K58" s="7"/>
      <c r="L58" s="7"/>
      <c r="M58" s="7"/>
      <c r="N58" s="7"/>
    </row>
    <row r="59" spans="1:14" x14ac:dyDescent="0.45">
      <c r="A59" s="5" t="s">
        <v>290</v>
      </c>
      <c r="B59" s="5" t="s">
        <v>140</v>
      </c>
      <c r="C59" s="5" t="s">
        <v>291</v>
      </c>
      <c r="D59" s="5" t="s">
        <v>292</v>
      </c>
      <c r="E59" s="5" t="s">
        <v>293</v>
      </c>
      <c r="F59" s="5" t="s">
        <v>159</v>
      </c>
      <c r="G59" s="5" t="s">
        <v>160</v>
      </c>
      <c r="H59" s="5"/>
      <c r="I59" s="5" t="s">
        <v>139</v>
      </c>
      <c r="J59" s="5" t="s">
        <v>139</v>
      </c>
      <c r="K59" s="5"/>
      <c r="L59" s="5" t="s">
        <v>139</v>
      </c>
      <c r="M59" s="5" t="s">
        <v>139</v>
      </c>
      <c r="N59" s="5"/>
    </row>
    <row r="60" spans="1:14" x14ac:dyDescent="0.45">
      <c r="A60" t="s">
        <v>294</v>
      </c>
      <c r="B60" t="s">
        <v>140</v>
      </c>
      <c r="C60" t="s">
        <v>291</v>
      </c>
      <c r="D60" t="s">
        <v>292</v>
      </c>
      <c r="E60" t="s">
        <v>295</v>
      </c>
      <c r="F60" t="s">
        <v>159</v>
      </c>
      <c r="G60" t="s">
        <v>160</v>
      </c>
      <c r="I60" t="s">
        <v>139</v>
      </c>
      <c r="J60" t="s">
        <v>139</v>
      </c>
      <c r="L60" t="s">
        <v>139</v>
      </c>
      <c r="M60" t="s">
        <v>139</v>
      </c>
    </row>
    <row r="61" spans="1:14" x14ac:dyDescent="0.45">
      <c r="A61" s="5" t="s">
        <v>296</v>
      </c>
      <c r="B61" s="5" t="s">
        <v>133</v>
      </c>
      <c r="C61" s="5" t="s">
        <v>297</v>
      </c>
      <c r="D61" s="5" t="s">
        <v>381</v>
      </c>
      <c r="E61" s="5" t="s">
        <v>413</v>
      </c>
      <c r="F61" s="5" t="s">
        <v>299</v>
      </c>
      <c r="G61" s="5" t="s">
        <v>138</v>
      </c>
      <c r="H61" s="5"/>
      <c r="I61" s="5" t="s">
        <v>139</v>
      </c>
      <c r="J61" s="5" t="s">
        <v>139</v>
      </c>
      <c r="K61" s="5" t="s">
        <v>139</v>
      </c>
      <c r="L61" s="5" t="s">
        <v>139</v>
      </c>
      <c r="M61" s="5" t="s">
        <v>139</v>
      </c>
      <c r="N61" s="5"/>
    </row>
    <row r="62" spans="1:14" x14ac:dyDescent="0.45">
      <c r="A62" t="s">
        <v>300</v>
      </c>
      <c r="B62" t="s">
        <v>140</v>
      </c>
      <c r="C62" t="s">
        <v>301</v>
      </c>
      <c r="D62" t="s">
        <v>135</v>
      </c>
      <c r="E62" t="s">
        <v>302</v>
      </c>
      <c r="F62" t="s">
        <v>159</v>
      </c>
      <c r="G62" t="s">
        <v>160</v>
      </c>
      <c r="J62" t="s">
        <v>139</v>
      </c>
      <c r="L62" t="s">
        <v>139</v>
      </c>
      <c r="M62" t="s">
        <v>139</v>
      </c>
    </row>
    <row r="63" spans="1:14" x14ac:dyDescent="0.45">
      <c r="A63" s="5" t="s">
        <v>303</v>
      </c>
      <c r="B63" s="5" t="s">
        <v>140</v>
      </c>
      <c r="C63" s="5" t="s">
        <v>304</v>
      </c>
      <c r="D63" s="5" t="s">
        <v>135</v>
      </c>
      <c r="E63" s="5" t="s">
        <v>305</v>
      </c>
      <c r="F63" s="5" t="s">
        <v>159</v>
      </c>
      <c r="G63" s="5" t="s">
        <v>160</v>
      </c>
      <c r="H63" s="5"/>
      <c r="I63" s="5"/>
      <c r="J63" s="5" t="s">
        <v>139</v>
      </c>
      <c r="K63" s="5"/>
      <c r="L63" s="5" t="s">
        <v>139</v>
      </c>
      <c r="M63" s="5" t="s">
        <v>139</v>
      </c>
      <c r="N63" s="5"/>
    </row>
    <row r="64" spans="1:14" x14ac:dyDescent="0.45">
      <c r="A64" t="s">
        <v>306</v>
      </c>
      <c r="B64" t="s">
        <v>307</v>
      </c>
      <c r="C64" t="s">
        <v>308</v>
      </c>
      <c r="D64" t="s">
        <v>414</v>
      </c>
      <c r="E64" t="s">
        <v>415</v>
      </c>
      <c r="F64" t="s">
        <v>309</v>
      </c>
      <c r="G64" t="s">
        <v>138</v>
      </c>
      <c r="H64" t="s">
        <v>416</v>
      </c>
      <c r="I64" t="s">
        <v>139</v>
      </c>
      <c r="J64" t="s">
        <v>139</v>
      </c>
      <c r="L64" t="s">
        <v>139</v>
      </c>
      <c r="M64" t="s">
        <v>139</v>
      </c>
    </row>
    <row r="65" spans="1:14" x14ac:dyDescent="0.45">
      <c r="A65" s="5" t="s">
        <v>314</v>
      </c>
      <c r="B65" s="5" t="s">
        <v>140</v>
      </c>
      <c r="C65" s="5" t="s">
        <v>315</v>
      </c>
      <c r="D65" s="5" t="s">
        <v>135</v>
      </c>
      <c r="E65" s="5" t="s">
        <v>316</v>
      </c>
      <c r="F65" s="5" t="s">
        <v>159</v>
      </c>
      <c r="G65" s="5" t="s">
        <v>160</v>
      </c>
      <c r="H65" s="5"/>
      <c r="I65" s="5"/>
      <c r="J65" s="5" t="s">
        <v>139</v>
      </c>
      <c r="K65" s="5"/>
      <c r="L65" s="5"/>
      <c r="M65" s="5" t="s">
        <v>139</v>
      </c>
      <c r="N65" s="5"/>
    </row>
    <row r="66" spans="1:14" x14ac:dyDescent="0.45">
      <c r="A66" t="s">
        <v>317</v>
      </c>
      <c r="B66" t="s">
        <v>224</v>
      </c>
      <c r="D66" t="s">
        <v>381</v>
      </c>
      <c r="F66" t="s">
        <v>319</v>
      </c>
      <c r="G66" t="s">
        <v>138</v>
      </c>
      <c r="H66" t="s">
        <v>417</v>
      </c>
      <c r="I66" t="s">
        <v>139</v>
      </c>
      <c r="J66" t="s">
        <v>139</v>
      </c>
      <c r="L66" t="s">
        <v>139</v>
      </c>
      <c r="M66" t="s">
        <v>139</v>
      </c>
    </row>
    <row r="67" spans="1:14" x14ac:dyDescent="0.45">
      <c r="A67" s="6" t="s">
        <v>329</v>
      </c>
      <c r="B67" s="7"/>
      <c r="C67" s="7"/>
      <c r="D67" s="7"/>
      <c r="E67" s="7"/>
      <c r="F67" s="7"/>
      <c r="G67" s="7"/>
      <c r="H67" s="7"/>
      <c r="I67" s="7"/>
      <c r="J67" s="7"/>
      <c r="K67" s="7"/>
      <c r="L67" s="7"/>
      <c r="M67" s="7"/>
      <c r="N67" s="7"/>
    </row>
    <row r="68" spans="1:14" x14ac:dyDescent="0.45">
      <c r="A68" s="5" t="s">
        <v>330</v>
      </c>
      <c r="B68" s="5" t="s">
        <v>307</v>
      </c>
      <c r="C68" s="5" t="s">
        <v>331</v>
      </c>
      <c r="D68" s="5" t="s">
        <v>381</v>
      </c>
      <c r="E68" s="5"/>
      <c r="F68" s="5" t="s">
        <v>418</v>
      </c>
      <c r="G68" s="5" t="s">
        <v>138</v>
      </c>
      <c r="H68" s="5" t="s">
        <v>419</v>
      </c>
      <c r="I68" s="5" t="s">
        <v>139</v>
      </c>
      <c r="J68" s="5" t="s">
        <v>139</v>
      </c>
      <c r="K68" s="5"/>
      <c r="L68" s="5" t="s">
        <v>139</v>
      </c>
      <c r="M68" s="5" t="s">
        <v>139</v>
      </c>
      <c r="N68" s="5"/>
    </row>
    <row r="69" spans="1:14" x14ac:dyDescent="0.45">
      <c r="A69" t="s">
        <v>333</v>
      </c>
      <c r="B69" t="s">
        <v>140</v>
      </c>
      <c r="C69" t="s">
        <v>334</v>
      </c>
      <c r="D69" t="s">
        <v>335</v>
      </c>
      <c r="E69" t="s">
        <v>336</v>
      </c>
      <c r="F69" t="s">
        <v>159</v>
      </c>
      <c r="G69" t="s">
        <v>160</v>
      </c>
      <c r="I69" t="s">
        <v>139</v>
      </c>
      <c r="J69" t="s">
        <v>139</v>
      </c>
      <c r="L69" t="s">
        <v>139</v>
      </c>
      <c r="M69" t="s">
        <v>139</v>
      </c>
    </row>
    <row r="70" spans="1:14" x14ac:dyDescent="0.45">
      <c r="A70" s="5" t="s">
        <v>337</v>
      </c>
      <c r="B70" s="5" t="s">
        <v>140</v>
      </c>
      <c r="C70" s="5" t="s">
        <v>338</v>
      </c>
      <c r="D70" s="5" t="s">
        <v>335</v>
      </c>
      <c r="E70" s="5" t="s">
        <v>339</v>
      </c>
      <c r="F70" s="5" t="s">
        <v>159</v>
      </c>
      <c r="G70" s="5" t="s">
        <v>160</v>
      </c>
      <c r="H70" s="5"/>
      <c r="I70" s="5" t="s">
        <v>139</v>
      </c>
      <c r="J70" s="5" t="s">
        <v>139</v>
      </c>
      <c r="K70" s="5"/>
      <c r="L70" s="5" t="s">
        <v>139</v>
      </c>
      <c r="M70" s="5" t="s">
        <v>139</v>
      </c>
      <c r="N70" s="5"/>
    </row>
    <row r="71" spans="1:14" x14ac:dyDescent="0.45">
      <c r="A71" t="s">
        <v>340</v>
      </c>
      <c r="B71" t="s">
        <v>140</v>
      </c>
      <c r="C71" t="s">
        <v>341</v>
      </c>
      <c r="D71" t="s">
        <v>335</v>
      </c>
      <c r="E71" t="s">
        <v>342</v>
      </c>
      <c r="F71" t="s">
        <v>159</v>
      </c>
      <c r="G71" t="s">
        <v>160</v>
      </c>
      <c r="I71" t="s">
        <v>139</v>
      </c>
      <c r="J71" t="s">
        <v>139</v>
      </c>
      <c r="L71" t="s">
        <v>139</v>
      </c>
      <c r="M71" t="s">
        <v>139</v>
      </c>
    </row>
    <row r="72" spans="1:14" x14ac:dyDescent="0.45">
      <c r="A72" s="5" t="s">
        <v>343</v>
      </c>
      <c r="B72" s="5" t="s">
        <v>140</v>
      </c>
      <c r="C72" s="5" t="s">
        <v>344</v>
      </c>
      <c r="D72" s="5" t="s">
        <v>135</v>
      </c>
      <c r="E72" s="5" t="s">
        <v>345</v>
      </c>
      <c r="F72" s="5" t="s">
        <v>159</v>
      </c>
      <c r="G72" s="5" t="s">
        <v>138</v>
      </c>
      <c r="H72" s="5"/>
      <c r="I72" s="5" t="s">
        <v>139</v>
      </c>
      <c r="J72" s="5" t="s">
        <v>139</v>
      </c>
      <c r="K72" s="5"/>
      <c r="L72" s="5" t="s">
        <v>139</v>
      </c>
      <c r="M72" s="5" t="s">
        <v>139</v>
      </c>
      <c r="N72" s="5"/>
    </row>
    <row r="73" spans="1:14" x14ac:dyDescent="0.45">
      <c r="A73" t="s">
        <v>346</v>
      </c>
      <c r="B73" t="s">
        <v>140</v>
      </c>
      <c r="C73" t="s">
        <v>347</v>
      </c>
      <c r="D73" t="s">
        <v>135</v>
      </c>
      <c r="E73" t="s">
        <v>345</v>
      </c>
      <c r="F73" t="s">
        <v>159</v>
      </c>
      <c r="G73" t="s">
        <v>138</v>
      </c>
      <c r="I73" t="s">
        <v>139</v>
      </c>
      <c r="J73" t="s">
        <v>139</v>
      </c>
      <c r="L73" t="s">
        <v>139</v>
      </c>
      <c r="M73" t="s">
        <v>139</v>
      </c>
    </row>
    <row r="74" spans="1:14" x14ac:dyDescent="0.45">
      <c r="A74" s="5" t="s">
        <v>348</v>
      </c>
      <c r="B74" s="5" t="s">
        <v>140</v>
      </c>
      <c r="C74" s="5" t="s">
        <v>349</v>
      </c>
      <c r="D74" s="5" t="s">
        <v>335</v>
      </c>
      <c r="E74" s="5" t="s">
        <v>350</v>
      </c>
      <c r="F74" s="5" t="s">
        <v>159</v>
      </c>
      <c r="G74" s="5" t="s">
        <v>160</v>
      </c>
      <c r="H74" s="5"/>
      <c r="I74" s="5" t="s">
        <v>139</v>
      </c>
      <c r="J74" s="5" t="s">
        <v>139</v>
      </c>
      <c r="K74" s="5"/>
      <c r="L74" s="5"/>
      <c r="M74" s="5" t="s">
        <v>139</v>
      </c>
      <c r="N74" s="5"/>
    </row>
    <row r="75" spans="1:14" x14ac:dyDescent="0.45">
      <c r="A75" t="s">
        <v>351</v>
      </c>
      <c r="B75" t="s">
        <v>307</v>
      </c>
      <c r="C75" t="s">
        <v>352</v>
      </c>
      <c r="D75" t="s">
        <v>381</v>
      </c>
      <c r="F75" t="s">
        <v>420</v>
      </c>
      <c r="G75" t="s">
        <v>138</v>
      </c>
      <c r="H75" t="s">
        <v>421</v>
      </c>
      <c r="I75" t="s">
        <v>139</v>
      </c>
      <c r="J75" t="s">
        <v>139</v>
      </c>
      <c r="L75" t="s">
        <v>139</v>
      </c>
      <c r="M75" t="s">
        <v>139</v>
      </c>
    </row>
    <row r="76" spans="1:14" x14ac:dyDescent="0.45">
      <c r="A76" s="5" t="s">
        <v>354</v>
      </c>
      <c r="B76" s="5" t="s">
        <v>140</v>
      </c>
      <c r="C76" s="5" t="s">
        <v>355</v>
      </c>
      <c r="D76" s="5" t="s">
        <v>335</v>
      </c>
      <c r="E76" s="5" t="s">
        <v>356</v>
      </c>
      <c r="F76" s="5" t="s">
        <v>159</v>
      </c>
      <c r="G76" s="5" t="s">
        <v>160</v>
      </c>
      <c r="H76" s="5" t="s">
        <v>357</v>
      </c>
      <c r="I76" s="5" t="s">
        <v>139</v>
      </c>
      <c r="J76" s="5" t="s">
        <v>139</v>
      </c>
      <c r="K76" s="5"/>
      <c r="L76" s="5" t="s">
        <v>139</v>
      </c>
      <c r="M76" s="5" t="s">
        <v>139</v>
      </c>
      <c r="N76" s="5"/>
    </row>
    <row r="77" spans="1:14" x14ac:dyDescent="0.45">
      <c r="A77" t="s">
        <v>422</v>
      </c>
      <c r="B77" t="s">
        <v>133</v>
      </c>
      <c r="C77" t="s">
        <v>423</v>
      </c>
      <c r="D77" t="s">
        <v>424</v>
      </c>
      <c r="E77" t="s">
        <v>425</v>
      </c>
      <c r="F77" t="s">
        <v>426</v>
      </c>
      <c r="G77" t="s">
        <v>145</v>
      </c>
      <c r="J77" t="s">
        <v>139</v>
      </c>
      <c r="L77" t="s">
        <v>139</v>
      </c>
      <c r="M77" t="s">
        <v>139</v>
      </c>
    </row>
    <row r="78" spans="1:14" x14ac:dyDescent="0.45">
      <c r="A78" s="6" t="s">
        <v>427</v>
      </c>
      <c r="B78" s="7"/>
      <c r="C78" s="7"/>
      <c r="D78" s="7"/>
      <c r="E78" s="7"/>
      <c r="F78" s="7"/>
      <c r="G78" s="7"/>
      <c r="H78" s="7"/>
      <c r="I78" s="7"/>
      <c r="J78" s="7"/>
      <c r="K78" s="7"/>
      <c r="L78" s="7"/>
      <c r="M78" s="7"/>
      <c r="N78" s="7"/>
    </row>
    <row r="79" spans="1:14" x14ac:dyDescent="0.45">
      <c r="A79" s="5" t="s">
        <v>428</v>
      </c>
      <c r="B79" s="5" t="s">
        <v>133</v>
      </c>
      <c r="C79" s="5" t="s">
        <v>429</v>
      </c>
      <c r="D79" s="5" t="s">
        <v>381</v>
      </c>
      <c r="E79" s="5" t="s">
        <v>430</v>
      </c>
      <c r="F79" s="5" t="s">
        <v>431</v>
      </c>
      <c r="G79" s="5" t="s">
        <v>145</v>
      </c>
      <c r="H79" s="5" t="s">
        <v>432</v>
      </c>
      <c r="I79" s="5" t="s">
        <v>139</v>
      </c>
      <c r="J79" s="5" t="s">
        <v>139</v>
      </c>
      <c r="K79" s="5"/>
      <c r="L79" s="5" t="s">
        <v>139</v>
      </c>
      <c r="M79" s="5" t="s">
        <v>139</v>
      </c>
      <c r="N79" s="5"/>
    </row>
    <row r="80" spans="1:14" x14ac:dyDescent="0.45">
      <c r="A80" t="s">
        <v>433</v>
      </c>
      <c r="B80" t="s">
        <v>140</v>
      </c>
      <c r="C80" t="s">
        <v>434</v>
      </c>
      <c r="D80" t="s">
        <v>435</v>
      </c>
      <c r="E80" t="s">
        <v>436</v>
      </c>
      <c r="F80" t="s">
        <v>159</v>
      </c>
      <c r="G80" t="s">
        <v>160</v>
      </c>
      <c r="J80" t="s">
        <v>139</v>
      </c>
      <c r="L80" t="s">
        <v>139</v>
      </c>
      <c r="M80" t="s">
        <v>139</v>
      </c>
    </row>
    <row r="81" spans="1:14" x14ac:dyDescent="0.45">
      <c r="A81" s="5" t="s">
        <v>437</v>
      </c>
      <c r="B81" s="5" t="s">
        <v>140</v>
      </c>
      <c r="C81" s="5" t="s">
        <v>438</v>
      </c>
      <c r="D81" s="5" t="s">
        <v>435</v>
      </c>
      <c r="E81" s="5" t="s">
        <v>436</v>
      </c>
      <c r="F81" s="5" t="s">
        <v>159</v>
      </c>
      <c r="G81" s="5" t="s">
        <v>160</v>
      </c>
      <c r="H81" s="5"/>
      <c r="I81" s="5" t="s">
        <v>139</v>
      </c>
      <c r="J81" s="5" t="s">
        <v>139</v>
      </c>
      <c r="K81" s="5"/>
      <c r="L81" s="5" t="s">
        <v>139</v>
      </c>
      <c r="M81" s="5" t="s">
        <v>139</v>
      </c>
      <c r="N81" s="5"/>
    </row>
    <row r="82" spans="1:14" x14ac:dyDescent="0.45">
      <c r="A82" t="s">
        <v>439</v>
      </c>
      <c r="B82" t="s">
        <v>140</v>
      </c>
      <c r="C82" t="s">
        <v>440</v>
      </c>
      <c r="D82" t="s">
        <v>435</v>
      </c>
      <c r="E82" t="s">
        <v>436</v>
      </c>
      <c r="F82" t="s">
        <v>159</v>
      </c>
      <c r="G82" t="s">
        <v>160</v>
      </c>
      <c r="I82" t="s">
        <v>139</v>
      </c>
      <c r="J82" t="s">
        <v>139</v>
      </c>
      <c r="L82" t="s">
        <v>139</v>
      </c>
      <c r="M82" t="s">
        <v>139</v>
      </c>
    </row>
    <row r="83" spans="1:14" x14ac:dyDescent="0.45">
      <c r="A83" s="5" t="s">
        <v>441</v>
      </c>
      <c r="B83" s="5" t="s">
        <v>224</v>
      </c>
      <c r="C83" s="5" t="s">
        <v>442</v>
      </c>
      <c r="D83" s="5" t="s">
        <v>381</v>
      </c>
      <c r="E83" s="5" t="s">
        <v>443</v>
      </c>
      <c r="F83" s="5" t="s">
        <v>444</v>
      </c>
      <c r="G83" s="5" t="s">
        <v>138</v>
      </c>
      <c r="H83" s="5"/>
      <c r="I83" s="5"/>
      <c r="J83" s="5"/>
      <c r="K83" s="5"/>
      <c r="L83" s="5" t="s">
        <v>139</v>
      </c>
      <c r="M83" s="5" t="s">
        <v>139</v>
      </c>
      <c r="N83" s="5"/>
    </row>
    <row r="84" spans="1:14" x14ac:dyDescent="0.45">
      <c r="A84" t="s">
        <v>445</v>
      </c>
      <c r="B84" t="s">
        <v>133</v>
      </c>
      <c r="C84" t="s">
        <v>446</v>
      </c>
      <c r="D84" t="s">
        <v>381</v>
      </c>
      <c r="E84" t="s">
        <v>447</v>
      </c>
      <c r="F84" t="s">
        <v>448</v>
      </c>
      <c r="G84" t="s">
        <v>449</v>
      </c>
      <c r="I84" t="s">
        <v>139</v>
      </c>
      <c r="J84" t="s">
        <v>139</v>
      </c>
      <c r="M84" t="s">
        <v>139</v>
      </c>
    </row>
    <row r="85" spans="1:14" x14ac:dyDescent="0.45">
      <c r="A85" s="6" t="s">
        <v>358</v>
      </c>
      <c r="B85" s="7"/>
      <c r="C85" s="7"/>
      <c r="D85" s="7"/>
      <c r="E85" s="7"/>
      <c r="F85" s="7"/>
      <c r="G85" s="7"/>
      <c r="H85" s="7"/>
      <c r="I85" s="7"/>
      <c r="J85" s="7"/>
      <c r="K85" s="7"/>
      <c r="L85" s="7"/>
      <c r="M85" s="7"/>
      <c r="N85" s="7"/>
    </row>
    <row r="86" spans="1:14" x14ac:dyDescent="0.45">
      <c r="A86" s="5" t="s">
        <v>452</v>
      </c>
      <c r="B86" s="5" t="s">
        <v>133</v>
      </c>
      <c r="C86" s="5" t="s">
        <v>453</v>
      </c>
      <c r="D86" s="5" t="s">
        <v>381</v>
      </c>
      <c r="E86" s="5" t="s">
        <v>454</v>
      </c>
      <c r="F86" s="5" t="s">
        <v>455</v>
      </c>
      <c r="G86" s="5" t="s">
        <v>138</v>
      </c>
      <c r="H86" s="5"/>
      <c r="I86" s="5"/>
      <c r="J86" s="5"/>
      <c r="K86" s="5"/>
      <c r="L86" s="5"/>
      <c r="M86" s="5" t="s">
        <v>139</v>
      </c>
      <c r="N86" s="5"/>
    </row>
  </sheetData>
  <mergeCells count="13">
    <mergeCell ref="B2:N2"/>
    <mergeCell ref="A58:N58"/>
    <mergeCell ref="A1:N1"/>
    <mergeCell ref="A78:N78"/>
    <mergeCell ref="B4:N4"/>
    <mergeCell ref="A7:N7"/>
    <mergeCell ref="A85:N85"/>
    <mergeCell ref="B3:N3"/>
    <mergeCell ref="B5:N5"/>
    <mergeCell ref="A31:N31"/>
    <mergeCell ref="A67:N67"/>
    <mergeCell ref="A12:N12"/>
    <mergeCell ref="A50:N50"/>
  </mergeCells>
  <dataValidations count="1">
    <dataValidation type="list" allowBlank="1" errorTitle="Invalid Review Status" error="Choose a review status from the list." sqref="N2:N86" xr:uid="{00000000-0002-0000-07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84"/>
  <sheetViews>
    <sheetView workbookViewId="0">
      <pane ySplit="6" topLeftCell="A7" activePane="bottomLeft" state="frozen"/>
      <selection pane="bottomLeft"/>
    </sheetView>
  </sheetViews>
  <sheetFormatPr defaultRowHeight="14.25" x14ac:dyDescent="0.45"/>
  <cols>
    <col min="1" max="1" width="50" customWidth="1"/>
    <col min="2" max="2" width="21"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456</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27</v>
      </c>
      <c r="C3" s="7"/>
      <c r="D3" s="7"/>
      <c r="E3" s="7"/>
      <c r="F3" s="7"/>
      <c r="G3" s="7"/>
      <c r="H3" s="7"/>
      <c r="I3" s="7"/>
      <c r="J3" s="7"/>
      <c r="K3" s="7"/>
      <c r="L3" s="7"/>
      <c r="M3" s="7"/>
      <c r="N3" s="7"/>
    </row>
    <row r="4" spans="1:14" x14ac:dyDescent="0.45">
      <c r="A4" s="4" t="s">
        <v>20</v>
      </c>
      <c r="B4" s="7" t="s">
        <v>47</v>
      </c>
      <c r="C4" s="7"/>
      <c r="D4" s="7"/>
      <c r="E4" s="7"/>
      <c r="F4" s="7"/>
      <c r="G4" s="7"/>
      <c r="H4" s="7"/>
      <c r="I4" s="7"/>
      <c r="J4" s="7"/>
      <c r="K4" s="7"/>
      <c r="L4" s="7"/>
      <c r="M4" s="7"/>
      <c r="N4" s="7"/>
    </row>
    <row r="5" spans="1:14" x14ac:dyDescent="0.45">
      <c r="A5" s="4" t="s">
        <v>21</v>
      </c>
      <c r="B5" s="7" t="s">
        <v>41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388</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L10" t="s">
        <v>139</v>
      </c>
      <c r="M10" t="s">
        <v>139</v>
      </c>
    </row>
    <row r="11" spans="1:14" x14ac:dyDescent="0.45">
      <c r="A11" s="5" t="s">
        <v>149</v>
      </c>
      <c r="B11" s="5" t="s">
        <v>140</v>
      </c>
      <c r="C11" s="5" t="s">
        <v>389</v>
      </c>
      <c r="D11" s="5" t="s">
        <v>135</v>
      </c>
      <c r="E11" s="5" t="s">
        <v>390</v>
      </c>
      <c r="F11" s="5" t="s">
        <v>148</v>
      </c>
      <c r="G11" s="5" t="s">
        <v>138</v>
      </c>
      <c r="H11" s="5" t="s">
        <v>391</v>
      </c>
      <c r="I11" s="5" t="s">
        <v>139</v>
      </c>
      <c r="J11" s="5" t="s">
        <v>139</v>
      </c>
      <c r="K11" s="5"/>
      <c r="L11" s="5"/>
      <c r="M11" s="5" t="s">
        <v>139</v>
      </c>
      <c r="N11" s="5"/>
    </row>
    <row r="12" spans="1:14" x14ac:dyDescent="0.45">
      <c r="A12" s="6" t="s">
        <v>154</v>
      </c>
      <c r="B12" s="7"/>
      <c r="C12" s="7"/>
      <c r="D12" s="7"/>
      <c r="E12" s="7"/>
      <c r="F12" s="7"/>
      <c r="G12" s="7"/>
      <c r="H12" s="7"/>
      <c r="I12" s="7"/>
      <c r="J12" s="7"/>
      <c r="K12" s="7"/>
      <c r="L12" s="7"/>
      <c r="M12" s="7"/>
      <c r="N12" s="7"/>
    </row>
    <row r="13" spans="1:14" x14ac:dyDescent="0.45">
      <c r="A13" t="s">
        <v>155</v>
      </c>
      <c r="B13" t="s">
        <v>140</v>
      </c>
      <c r="C13" t="s">
        <v>156</v>
      </c>
      <c r="D13" t="s">
        <v>157</v>
      </c>
      <c r="E13" t="s">
        <v>158</v>
      </c>
      <c r="F13" t="s">
        <v>159</v>
      </c>
      <c r="G13" t="s">
        <v>160</v>
      </c>
      <c r="J13" t="s">
        <v>139</v>
      </c>
      <c r="L13" t="s">
        <v>139</v>
      </c>
      <c r="M13" t="s">
        <v>139</v>
      </c>
    </row>
    <row r="14" spans="1:14" x14ac:dyDescent="0.45">
      <c r="A14" s="5" t="s">
        <v>161</v>
      </c>
      <c r="B14" s="5" t="s">
        <v>140</v>
      </c>
      <c r="C14" s="5" t="s">
        <v>156</v>
      </c>
      <c r="D14" s="5" t="s">
        <v>157</v>
      </c>
      <c r="E14" s="5" t="s">
        <v>162</v>
      </c>
      <c r="F14" s="5" t="s">
        <v>159</v>
      </c>
      <c r="G14" s="5" t="s">
        <v>160</v>
      </c>
      <c r="H14" s="5"/>
      <c r="I14" s="5"/>
      <c r="J14" s="5" t="s">
        <v>139</v>
      </c>
      <c r="K14" s="5"/>
      <c r="L14" s="5" t="s">
        <v>139</v>
      </c>
      <c r="M14" s="5" t="s">
        <v>139</v>
      </c>
      <c r="N14" s="5"/>
    </row>
    <row r="15" spans="1:14" x14ac:dyDescent="0.45">
      <c r="A15" t="s">
        <v>163</v>
      </c>
      <c r="B15" t="s">
        <v>140</v>
      </c>
      <c r="C15" t="s">
        <v>164</v>
      </c>
      <c r="D15" t="s">
        <v>157</v>
      </c>
      <c r="E15" t="s">
        <v>392</v>
      </c>
      <c r="F15" t="s">
        <v>159</v>
      </c>
      <c r="G15" t="s">
        <v>160</v>
      </c>
      <c r="M15" t="s">
        <v>139</v>
      </c>
    </row>
    <row r="16" spans="1:14" x14ac:dyDescent="0.45">
      <c r="A16" s="5" t="s">
        <v>166</v>
      </c>
      <c r="B16" s="5" t="s">
        <v>167</v>
      </c>
      <c r="C16" s="5" t="s">
        <v>168</v>
      </c>
      <c r="D16" s="5" t="s">
        <v>381</v>
      </c>
      <c r="E16" s="5" t="s">
        <v>209</v>
      </c>
      <c r="F16" s="5" t="s">
        <v>171</v>
      </c>
      <c r="G16" s="5" t="s">
        <v>138</v>
      </c>
      <c r="H16" s="5"/>
      <c r="I16" s="5"/>
      <c r="J16" s="5"/>
      <c r="K16" s="5"/>
      <c r="L16" s="5" t="s">
        <v>139</v>
      </c>
      <c r="M16" s="5" t="s">
        <v>139</v>
      </c>
      <c r="N16" s="5"/>
    </row>
    <row r="17" spans="1:14" x14ac:dyDescent="0.45">
      <c r="A17" t="s">
        <v>172</v>
      </c>
      <c r="B17" t="s">
        <v>133</v>
      </c>
      <c r="C17" t="s">
        <v>168</v>
      </c>
      <c r="D17" t="s">
        <v>381</v>
      </c>
      <c r="E17" t="s">
        <v>209</v>
      </c>
      <c r="F17" t="s">
        <v>173</v>
      </c>
      <c r="G17" t="s">
        <v>138</v>
      </c>
      <c r="L17" t="s">
        <v>139</v>
      </c>
      <c r="M17" t="s">
        <v>139</v>
      </c>
    </row>
    <row r="18" spans="1:14" x14ac:dyDescent="0.45">
      <c r="A18" s="5" t="s">
        <v>174</v>
      </c>
      <c r="B18" s="5" t="s">
        <v>167</v>
      </c>
      <c r="C18" s="5" t="s">
        <v>175</v>
      </c>
      <c r="D18" s="5" t="s">
        <v>381</v>
      </c>
      <c r="E18" s="5" t="s">
        <v>393</v>
      </c>
      <c r="F18" s="5" t="s">
        <v>177</v>
      </c>
      <c r="G18" s="5" t="s">
        <v>138</v>
      </c>
      <c r="H18" s="5"/>
      <c r="I18" s="5"/>
      <c r="J18" s="5"/>
      <c r="K18" s="5"/>
      <c r="L18" s="5" t="s">
        <v>139</v>
      </c>
      <c r="M18" s="5" t="s">
        <v>139</v>
      </c>
      <c r="N18" s="5"/>
    </row>
    <row r="19" spans="1:14" x14ac:dyDescent="0.45">
      <c r="A19" t="s">
        <v>178</v>
      </c>
      <c r="B19" t="s">
        <v>167</v>
      </c>
      <c r="C19" t="s">
        <v>179</v>
      </c>
      <c r="D19" t="s">
        <v>394</v>
      </c>
      <c r="E19" t="s">
        <v>395</v>
      </c>
      <c r="F19" t="s">
        <v>396</v>
      </c>
      <c r="G19" t="s">
        <v>397</v>
      </c>
      <c r="K19" t="s">
        <v>139</v>
      </c>
      <c r="L19" t="s">
        <v>139</v>
      </c>
      <c r="M19" t="s">
        <v>139</v>
      </c>
    </row>
    <row r="20" spans="1:14" x14ac:dyDescent="0.45">
      <c r="A20" s="5" t="s">
        <v>181</v>
      </c>
      <c r="B20" s="5" t="s">
        <v>167</v>
      </c>
      <c r="C20" s="5" t="s">
        <v>179</v>
      </c>
      <c r="D20" s="5" t="s">
        <v>394</v>
      </c>
      <c r="E20" s="5" t="s">
        <v>395</v>
      </c>
      <c r="F20" s="5" t="s">
        <v>398</v>
      </c>
      <c r="G20" s="5" t="s">
        <v>397</v>
      </c>
      <c r="H20" s="5"/>
      <c r="I20" s="5"/>
      <c r="J20" s="5"/>
      <c r="K20" s="5" t="s">
        <v>139</v>
      </c>
      <c r="L20" s="5" t="s">
        <v>139</v>
      </c>
      <c r="M20" s="5" t="s">
        <v>139</v>
      </c>
      <c r="N20" s="5"/>
    </row>
    <row r="21" spans="1:14" x14ac:dyDescent="0.45">
      <c r="A21" t="s">
        <v>182</v>
      </c>
      <c r="B21" t="s">
        <v>133</v>
      </c>
      <c r="C21" t="s">
        <v>183</v>
      </c>
      <c r="D21" t="s">
        <v>381</v>
      </c>
      <c r="E21" t="s">
        <v>399</v>
      </c>
      <c r="F21" t="s">
        <v>185</v>
      </c>
      <c r="G21" t="s">
        <v>182</v>
      </c>
      <c r="H21" t="s">
        <v>186</v>
      </c>
      <c r="J21" t="s">
        <v>139</v>
      </c>
      <c r="L21" t="s">
        <v>139</v>
      </c>
      <c r="M21" t="s">
        <v>139</v>
      </c>
    </row>
    <row r="22" spans="1:14" x14ac:dyDescent="0.45">
      <c r="A22" s="5" t="s">
        <v>187</v>
      </c>
      <c r="B22" s="5" t="s">
        <v>140</v>
      </c>
      <c r="C22" s="5" t="s">
        <v>188</v>
      </c>
      <c r="D22" s="5" t="s">
        <v>157</v>
      </c>
      <c r="E22" s="5" t="s">
        <v>189</v>
      </c>
      <c r="F22" s="5" t="s">
        <v>159</v>
      </c>
      <c r="G22" s="5" t="s">
        <v>160</v>
      </c>
      <c r="H22" s="5"/>
      <c r="I22" s="5"/>
      <c r="J22" s="5"/>
      <c r="K22" s="5"/>
      <c r="L22" s="5" t="s">
        <v>139</v>
      </c>
      <c r="M22" s="5" t="s">
        <v>139</v>
      </c>
      <c r="N22" s="5"/>
    </row>
    <row r="23" spans="1:14" x14ac:dyDescent="0.45">
      <c r="A23" t="s">
        <v>190</v>
      </c>
      <c r="B23" t="s">
        <v>140</v>
      </c>
      <c r="C23" t="s">
        <v>191</v>
      </c>
      <c r="D23" t="s">
        <v>157</v>
      </c>
      <c r="E23" t="s">
        <v>192</v>
      </c>
      <c r="F23" t="s">
        <v>159</v>
      </c>
      <c r="G23" t="s">
        <v>160</v>
      </c>
      <c r="L23" t="s">
        <v>139</v>
      </c>
      <c r="M23" t="s">
        <v>139</v>
      </c>
    </row>
    <row r="24" spans="1:14" x14ac:dyDescent="0.45">
      <c r="A24" s="5" t="s">
        <v>193</v>
      </c>
      <c r="B24" s="5" t="s">
        <v>140</v>
      </c>
      <c r="C24" s="5" t="s">
        <v>194</v>
      </c>
      <c r="D24" s="5" t="s">
        <v>157</v>
      </c>
      <c r="E24" s="5" t="s">
        <v>195</v>
      </c>
      <c r="F24" s="5" t="s">
        <v>159</v>
      </c>
      <c r="G24" s="5" t="s">
        <v>160</v>
      </c>
      <c r="H24" s="5"/>
      <c r="I24" s="5"/>
      <c r="J24" s="5"/>
      <c r="K24" s="5"/>
      <c r="L24" s="5" t="s">
        <v>139</v>
      </c>
      <c r="M24" s="5" t="s">
        <v>139</v>
      </c>
      <c r="N24" s="5"/>
    </row>
    <row r="25" spans="1:14" x14ac:dyDescent="0.45">
      <c r="A25" t="s">
        <v>196</v>
      </c>
      <c r="B25" t="s">
        <v>140</v>
      </c>
      <c r="C25" t="s">
        <v>197</v>
      </c>
      <c r="D25" t="s">
        <v>157</v>
      </c>
      <c r="E25" t="s">
        <v>198</v>
      </c>
      <c r="F25" t="s">
        <v>159</v>
      </c>
      <c r="G25" t="s">
        <v>160</v>
      </c>
      <c r="L25" t="s">
        <v>139</v>
      </c>
      <c r="M25" t="s">
        <v>139</v>
      </c>
    </row>
    <row r="26" spans="1:14" x14ac:dyDescent="0.45">
      <c r="A26" s="5" t="s">
        <v>199</v>
      </c>
      <c r="B26" s="5" t="s">
        <v>140</v>
      </c>
      <c r="C26" s="5" t="s">
        <v>200</v>
      </c>
      <c r="D26" s="5" t="s">
        <v>157</v>
      </c>
      <c r="E26" s="5" t="s">
        <v>201</v>
      </c>
      <c r="F26" s="5" t="s">
        <v>159</v>
      </c>
      <c r="G26" s="5" t="s">
        <v>160</v>
      </c>
      <c r="H26" s="5"/>
      <c r="I26" s="5"/>
      <c r="J26" s="5"/>
      <c r="K26" s="5"/>
      <c r="L26" s="5" t="s">
        <v>139</v>
      </c>
      <c r="M26" s="5" t="s">
        <v>139</v>
      </c>
      <c r="N26" s="5"/>
    </row>
    <row r="27" spans="1:14" x14ac:dyDescent="0.45">
      <c r="A27" t="s">
        <v>202</v>
      </c>
      <c r="B27" t="s">
        <v>140</v>
      </c>
      <c r="C27" t="s">
        <v>203</v>
      </c>
      <c r="D27" t="s">
        <v>157</v>
      </c>
      <c r="E27" t="s">
        <v>204</v>
      </c>
      <c r="F27" t="s">
        <v>159</v>
      </c>
      <c r="G27" t="s">
        <v>160</v>
      </c>
      <c r="L27" t="s">
        <v>139</v>
      </c>
      <c r="M27" t="s">
        <v>139</v>
      </c>
    </row>
    <row r="28" spans="1:14" x14ac:dyDescent="0.45">
      <c r="A28" s="5" t="s">
        <v>205</v>
      </c>
      <c r="B28" s="5" t="s">
        <v>140</v>
      </c>
      <c r="C28" s="5" t="s">
        <v>206</v>
      </c>
      <c r="D28" s="5" t="s">
        <v>157</v>
      </c>
      <c r="E28" s="5" t="s">
        <v>204</v>
      </c>
      <c r="F28" s="5" t="s">
        <v>159</v>
      </c>
      <c r="G28" s="5" t="s">
        <v>160</v>
      </c>
      <c r="H28" s="5"/>
      <c r="I28" s="5"/>
      <c r="J28" s="5" t="s">
        <v>139</v>
      </c>
      <c r="K28" s="5" t="s">
        <v>139</v>
      </c>
      <c r="L28" s="5"/>
      <c r="M28" s="5" t="s">
        <v>139</v>
      </c>
      <c r="N28" s="5"/>
    </row>
    <row r="29" spans="1:14" x14ac:dyDescent="0.45">
      <c r="A29" t="s">
        <v>207</v>
      </c>
      <c r="B29" t="s">
        <v>133</v>
      </c>
      <c r="C29" t="s">
        <v>208</v>
      </c>
      <c r="D29" t="s">
        <v>381</v>
      </c>
      <c r="E29" t="s">
        <v>209</v>
      </c>
      <c r="F29" t="s">
        <v>210</v>
      </c>
      <c r="G29" t="s">
        <v>138</v>
      </c>
      <c r="H29" t="s">
        <v>211</v>
      </c>
      <c r="J29" t="s">
        <v>139</v>
      </c>
      <c r="L29" t="s">
        <v>139</v>
      </c>
      <c r="M29" t="s">
        <v>139</v>
      </c>
    </row>
    <row r="30" spans="1:14" x14ac:dyDescent="0.45">
      <c r="A30" s="5" t="s">
        <v>212</v>
      </c>
      <c r="B30" s="5" t="s">
        <v>140</v>
      </c>
      <c r="C30" s="5" t="s">
        <v>213</v>
      </c>
      <c r="D30" s="5" t="s">
        <v>214</v>
      </c>
      <c r="E30" s="5" t="s">
        <v>215</v>
      </c>
      <c r="F30" s="5" t="s">
        <v>400</v>
      </c>
      <c r="G30" s="5" t="s">
        <v>138</v>
      </c>
      <c r="H30" s="5"/>
      <c r="I30" s="5"/>
      <c r="J30" s="5" t="s">
        <v>139</v>
      </c>
      <c r="K30" s="5"/>
      <c r="L30" s="5" t="s">
        <v>139</v>
      </c>
      <c r="M30" s="5" t="s">
        <v>139</v>
      </c>
      <c r="N30" s="5"/>
    </row>
    <row r="31" spans="1:14" x14ac:dyDescent="0.45">
      <c r="A31" s="6" t="s">
        <v>216</v>
      </c>
      <c r="B31" s="7"/>
      <c r="C31" s="7"/>
      <c r="D31" s="7"/>
      <c r="E31" s="7"/>
      <c r="F31" s="7"/>
      <c r="G31" s="7"/>
      <c r="H31" s="7"/>
      <c r="I31" s="7"/>
      <c r="J31" s="7"/>
      <c r="K31" s="7"/>
      <c r="L31" s="7"/>
      <c r="M31" s="7"/>
      <c r="N31" s="7"/>
    </row>
    <row r="32" spans="1:14" x14ac:dyDescent="0.45">
      <c r="A32" t="s">
        <v>217</v>
      </c>
      <c r="B32" t="s">
        <v>140</v>
      </c>
      <c r="C32" t="s">
        <v>218</v>
      </c>
      <c r="D32" t="s">
        <v>157</v>
      </c>
      <c r="E32" t="s">
        <v>219</v>
      </c>
      <c r="F32" t="s">
        <v>159</v>
      </c>
      <c r="G32" t="s">
        <v>160</v>
      </c>
      <c r="I32" t="s">
        <v>139</v>
      </c>
      <c r="J32" t="s">
        <v>139</v>
      </c>
      <c r="M32" t="s">
        <v>139</v>
      </c>
    </row>
    <row r="33" spans="1:14" x14ac:dyDescent="0.45">
      <c r="A33" s="5" t="s">
        <v>220</v>
      </c>
      <c r="B33" s="5" t="s">
        <v>140</v>
      </c>
      <c r="C33" s="5" t="s">
        <v>221</v>
      </c>
      <c r="D33" s="5" t="s">
        <v>157</v>
      </c>
      <c r="E33" s="5" t="s">
        <v>222</v>
      </c>
      <c r="F33" s="5" t="s">
        <v>159</v>
      </c>
      <c r="G33" s="5" t="s">
        <v>160</v>
      </c>
      <c r="H33" s="5"/>
      <c r="I33" s="5" t="s">
        <v>139</v>
      </c>
      <c r="J33" s="5" t="s">
        <v>139</v>
      </c>
      <c r="K33" s="5"/>
      <c r="L33" s="5" t="s">
        <v>139</v>
      </c>
      <c r="M33" s="5" t="s">
        <v>139</v>
      </c>
      <c r="N33" s="5"/>
    </row>
    <row r="34" spans="1:14" x14ac:dyDescent="0.45">
      <c r="A34" t="s">
        <v>223</v>
      </c>
      <c r="B34" t="s">
        <v>224</v>
      </c>
      <c r="C34" t="s">
        <v>225</v>
      </c>
      <c r="D34" t="s">
        <v>401</v>
      </c>
      <c r="E34" t="s">
        <v>227</v>
      </c>
      <c r="F34" t="s">
        <v>228</v>
      </c>
      <c r="G34" t="s">
        <v>138</v>
      </c>
      <c r="L34" t="s">
        <v>139</v>
      </c>
      <c r="M34" t="s">
        <v>139</v>
      </c>
    </row>
    <row r="35" spans="1:14" x14ac:dyDescent="0.45">
      <c r="A35" s="5" t="s">
        <v>229</v>
      </c>
      <c r="B35" s="5" t="s">
        <v>167</v>
      </c>
      <c r="C35" s="5" t="s">
        <v>225</v>
      </c>
      <c r="D35" s="5" t="s">
        <v>401</v>
      </c>
      <c r="E35" s="5" t="s">
        <v>227</v>
      </c>
      <c r="F35" s="5" t="s">
        <v>230</v>
      </c>
      <c r="G35" s="5" t="s">
        <v>138</v>
      </c>
      <c r="H35" s="5"/>
      <c r="I35" s="5"/>
      <c r="J35" s="5"/>
      <c r="K35" s="5"/>
      <c r="L35" s="5" t="s">
        <v>139</v>
      </c>
      <c r="M35" s="5" t="s">
        <v>139</v>
      </c>
      <c r="N35" s="5"/>
    </row>
    <row r="36" spans="1:14" x14ac:dyDescent="0.45">
      <c r="A36" t="s">
        <v>231</v>
      </c>
      <c r="B36" t="s">
        <v>167</v>
      </c>
      <c r="C36" t="s">
        <v>225</v>
      </c>
      <c r="D36" t="s">
        <v>401</v>
      </c>
      <c r="E36" t="s">
        <v>227</v>
      </c>
      <c r="F36" t="s">
        <v>232</v>
      </c>
      <c r="G36" t="s">
        <v>138</v>
      </c>
      <c r="L36" t="s">
        <v>139</v>
      </c>
      <c r="M36" t="s">
        <v>139</v>
      </c>
    </row>
    <row r="37" spans="1:14" x14ac:dyDescent="0.45">
      <c r="A37" s="5" t="s">
        <v>233</v>
      </c>
      <c r="B37" s="5" t="s">
        <v>224</v>
      </c>
      <c r="C37" s="5" t="s">
        <v>225</v>
      </c>
      <c r="D37" s="5" t="s">
        <v>401</v>
      </c>
      <c r="E37" s="5" t="s">
        <v>227</v>
      </c>
      <c r="F37" s="5" t="s">
        <v>234</v>
      </c>
      <c r="G37" s="5" t="s">
        <v>138</v>
      </c>
      <c r="H37" s="5"/>
      <c r="I37" s="5"/>
      <c r="J37" s="5"/>
      <c r="K37" s="5"/>
      <c r="L37" s="5" t="s">
        <v>139</v>
      </c>
      <c r="M37" s="5" t="s">
        <v>139</v>
      </c>
      <c r="N37" s="5"/>
    </row>
    <row r="38" spans="1:14" x14ac:dyDescent="0.45">
      <c r="A38" t="s">
        <v>235</v>
      </c>
      <c r="B38" t="s">
        <v>133</v>
      </c>
      <c r="C38" t="s">
        <v>236</v>
      </c>
      <c r="D38" t="s">
        <v>381</v>
      </c>
      <c r="E38" t="s">
        <v>402</v>
      </c>
      <c r="F38" t="s">
        <v>239</v>
      </c>
      <c r="G38" t="s">
        <v>145</v>
      </c>
      <c r="I38" t="s">
        <v>139</v>
      </c>
      <c r="J38" t="s">
        <v>139</v>
      </c>
      <c r="K38" t="s">
        <v>139</v>
      </c>
      <c r="L38" t="s">
        <v>139</v>
      </c>
      <c r="M38" t="s">
        <v>139</v>
      </c>
    </row>
    <row r="39" spans="1:14" x14ac:dyDescent="0.45">
      <c r="A39" s="5" t="s">
        <v>240</v>
      </c>
      <c r="B39" s="5" t="s">
        <v>140</v>
      </c>
      <c r="C39" s="5" t="s">
        <v>241</v>
      </c>
      <c r="D39" s="5" t="s">
        <v>157</v>
      </c>
      <c r="E39" s="5" t="s">
        <v>242</v>
      </c>
      <c r="F39" s="5" t="s">
        <v>159</v>
      </c>
      <c r="G39" s="5" t="s">
        <v>160</v>
      </c>
      <c r="H39" s="5"/>
      <c r="I39" s="5"/>
      <c r="J39" s="5" t="s">
        <v>139</v>
      </c>
      <c r="K39" s="5" t="s">
        <v>139</v>
      </c>
      <c r="L39" s="5" t="s">
        <v>139</v>
      </c>
      <c r="M39" s="5" t="s">
        <v>139</v>
      </c>
      <c r="N39" s="5"/>
    </row>
    <row r="40" spans="1:14" x14ac:dyDescent="0.45">
      <c r="A40" t="s">
        <v>243</v>
      </c>
      <c r="B40" t="s">
        <v>140</v>
      </c>
      <c r="C40" t="s">
        <v>244</v>
      </c>
      <c r="D40" t="s">
        <v>157</v>
      </c>
      <c r="E40" t="s">
        <v>242</v>
      </c>
      <c r="F40" t="s">
        <v>159</v>
      </c>
      <c r="G40" t="s">
        <v>160</v>
      </c>
      <c r="J40" t="s">
        <v>139</v>
      </c>
      <c r="L40" t="s">
        <v>139</v>
      </c>
      <c r="M40" t="s">
        <v>139</v>
      </c>
    </row>
    <row r="41" spans="1:14" x14ac:dyDescent="0.45">
      <c r="A41" s="5" t="s">
        <v>245</v>
      </c>
      <c r="B41" s="5" t="s">
        <v>140</v>
      </c>
      <c r="C41" s="5" t="s">
        <v>246</v>
      </c>
      <c r="D41" s="5" t="s">
        <v>157</v>
      </c>
      <c r="E41" s="5" t="s">
        <v>247</v>
      </c>
      <c r="F41" s="5" t="s">
        <v>159</v>
      </c>
      <c r="G41" s="5" t="s">
        <v>160</v>
      </c>
      <c r="H41" s="5"/>
      <c r="I41" s="5"/>
      <c r="J41" s="5"/>
      <c r="K41" s="5"/>
      <c r="L41" s="5" t="s">
        <v>139</v>
      </c>
      <c r="M41" s="5" t="s">
        <v>139</v>
      </c>
      <c r="N41" s="5"/>
    </row>
    <row r="42" spans="1:14" x14ac:dyDescent="0.45">
      <c r="A42" t="s">
        <v>248</v>
      </c>
      <c r="B42" t="s">
        <v>140</v>
      </c>
      <c r="C42" t="s">
        <v>249</v>
      </c>
      <c r="D42" t="s">
        <v>157</v>
      </c>
      <c r="E42" t="s">
        <v>247</v>
      </c>
      <c r="F42" t="s">
        <v>159</v>
      </c>
      <c r="G42" t="s">
        <v>160</v>
      </c>
      <c r="J42" t="s">
        <v>139</v>
      </c>
      <c r="K42" t="s">
        <v>139</v>
      </c>
      <c r="L42" t="s">
        <v>139</v>
      </c>
      <c r="M42" t="s">
        <v>139</v>
      </c>
    </row>
    <row r="43" spans="1:14" x14ac:dyDescent="0.45">
      <c r="A43" s="5" t="s">
        <v>250</v>
      </c>
      <c r="B43" s="5" t="s">
        <v>140</v>
      </c>
      <c r="C43" s="5" t="s">
        <v>251</v>
      </c>
      <c r="D43" s="5" t="s">
        <v>157</v>
      </c>
      <c r="E43" s="5" t="s">
        <v>252</v>
      </c>
      <c r="F43" s="5" t="s">
        <v>159</v>
      </c>
      <c r="G43" s="5" t="s">
        <v>160</v>
      </c>
      <c r="H43" s="5"/>
      <c r="I43" s="5"/>
      <c r="J43" s="5" t="s">
        <v>139</v>
      </c>
      <c r="K43" s="5"/>
      <c r="L43" s="5" t="s">
        <v>139</v>
      </c>
      <c r="M43" s="5" t="s">
        <v>139</v>
      </c>
      <c r="N43" s="5"/>
    </row>
    <row r="44" spans="1:14" x14ac:dyDescent="0.45">
      <c r="A44" t="s">
        <v>253</v>
      </c>
      <c r="B44" t="s">
        <v>140</v>
      </c>
      <c r="C44" t="s">
        <v>251</v>
      </c>
      <c r="D44" t="s">
        <v>157</v>
      </c>
      <c r="E44" t="s">
        <v>252</v>
      </c>
      <c r="F44" t="s">
        <v>159</v>
      </c>
      <c r="G44" t="s">
        <v>160</v>
      </c>
      <c r="J44" t="s">
        <v>139</v>
      </c>
      <c r="L44" t="s">
        <v>139</v>
      </c>
      <c r="M44" t="s">
        <v>139</v>
      </c>
    </row>
    <row r="45" spans="1:14" x14ac:dyDescent="0.45">
      <c r="A45" s="5" t="s">
        <v>254</v>
      </c>
      <c r="B45" s="5" t="s">
        <v>140</v>
      </c>
      <c r="C45" s="5" t="s">
        <v>255</v>
      </c>
      <c r="D45" s="5" t="s">
        <v>157</v>
      </c>
      <c r="E45" s="5" t="s">
        <v>256</v>
      </c>
      <c r="F45" s="5" t="s">
        <v>159</v>
      </c>
      <c r="G45" s="5" t="s">
        <v>160</v>
      </c>
      <c r="H45" s="5"/>
      <c r="I45" s="5" t="s">
        <v>139</v>
      </c>
      <c r="J45" s="5"/>
      <c r="K45" s="5"/>
      <c r="L45" s="5" t="s">
        <v>139</v>
      </c>
      <c r="M45" s="5" t="s">
        <v>139</v>
      </c>
      <c r="N45" s="5"/>
    </row>
    <row r="46" spans="1:14" x14ac:dyDescent="0.45">
      <c r="A46" t="s">
        <v>257</v>
      </c>
      <c r="B46" t="s">
        <v>140</v>
      </c>
      <c r="C46" t="s">
        <v>258</v>
      </c>
      <c r="D46" t="s">
        <v>157</v>
      </c>
      <c r="E46" t="s">
        <v>242</v>
      </c>
      <c r="F46" t="s">
        <v>159</v>
      </c>
      <c r="G46" t="s">
        <v>160</v>
      </c>
      <c r="I46" t="s">
        <v>139</v>
      </c>
      <c r="J46" t="s">
        <v>139</v>
      </c>
      <c r="L46" t="s">
        <v>139</v>
      </c>
      <c r="M46" t="s">
        <v>139</v>
      </c>
    </row>
    <row r="47" spans="1:14" x14ac:dyDescent="0.45">
      <c r="A47" s="5" t="s">
        <v>259</v>
      </c>
      <c r="B47" s="5" t="s">
        <v>140</v>
      </c>
      <c r="C47" s="5" t="s">
        <v>260</v>
      </c>
      <c r="D47" s="5" t="s">
        <v>157</v>
      </c>
      <c r="E47" s="5" t="s">
        <v>242</v>
      </c>
      <c r="F47" s="5" t="s">
        <v>159</v>
      </c>
      <c r="G47" s="5" t="s">
        <v>160</v>
      </c>
      <c r="H47" s="5"/>
      <c r="I47" s="5"/>
      <c r="J47" s="5"/>
      <c r="K47" s="5"/>
      <c r="L47" s="5" t="s">
        <v>139</v>
      </c>
      <c r="M47" s="5" t="s">
        <v>139</v>
      </c>
      <c r="N47" s="5"/>
    </row>
    <row r="48" spans="1:14" x14ac:dyDescent="0.45">
      <c r="A48" t="s">
        <v>261</v>
      </c>
      <c r="B48" t="s">
        <v>224</v>
      </c>
      <c r="C48" t="s">
        <v>262</v>
      </c>
      <c r="D48" t="s">
        <v>381</v>
      </c>
      <c r="E48" t="s">
        <v>263</v>
      </c>
      <c r="F48" t="s">
        <v>264</v>
      </c>
      <c r="G48" t="s">
        <v>138</v>
      </c>
      <c r="H48" t="s">
        <v>265</v>
      </c>
      <c r="L48" t="s">
        <v>139</v>
      </c>
      <c r="M48" t="s">
        <v>139</v>
      </c>
    </row>
    <row r="49" spans="1:14" x14ac:dyDescent="0.45">
      <c r="A49" s="5" t="s">
        <v>266</v>
      </c>
      <c r="B49" s="5" t="s">
        <v>167</v>
      </c>
      <c r="C49" s="5" t="s">
        <v>267</v>
      </c>
      <c r="D49" s="5" t="s">
        <v>401</v>
      </c>
      <c r="E49" s="5" t="s">
        <v>268</v>
      </c>
      <c r="F49" s="5" t="s">
        <v>269</v>
      </c>
      <c r="G49" s="5" t="s">
        <v>138</v>
      </c>
      <c r="H49" s="5" t="s">
        <v>270</v>
      </c>
      <c r="I49" s="5"/>
      <c r="J49" s="5"/>
      <c r="K49" s="5"/>
      <c r="L49" s="5" t="s">
        <v>139</v>
      </c>
      <c r="M49" s="5" t="s">
        <v>139</v>
      </c>
      <c r="N49" s="5"/>
    </row>
    <row r="50" spans="1:14" x14ac:dyDescent="0.45">
      <c r="A50" s="6" t="s">
        <v>271</v>
      </c>
      <c r="B50" s="7"/>
      <c r="C50" s="7"/>
      <c r="D50" s="7"/>
      <c r="E50" s="7"/>
      <c r="F50" s="7"/>
      <c r="G50" s="7"/>
      <c r="H50" s="7"/>
      <c r="I50" s="7"/>
      <c r="J50" s="7"/>
      <c r="K50" s="7"/>
      <c r="L50" s="7"/>
      <c r="M50" s="7"/>
      <c r="N50" s="7"/>
    </row>
    <row r="51" spans="1:14" x14ac:dyDescent="0.45">
      <c r="A51" t="s">
        <v>272</v>
      </c>
      <c r="B51" t="s">
        <v>224</v>
      </c>
      <c r="C51" t="s">
        <v>273</v>
      </c>
      <c r="D51" t="s">
        <v>403</v>
      </c>
      <c r="E51" t="s">
        <v>275</v>
      </c>
      <c r="F51" t="s">
        <v>276</v>
      </c>
      <c r="G51" t="s">
        <v>145</v>
      </c>
      <c r="H51" t="s">
        <v>404</v>
      </c>
      <c r="L51" t="s">
        <v>139</v>
      </c>
      <c r="M51" t="s">
        <v>139</v>
      </c>
    </row>
    <row r="52" spans="1:14" x14ac:dyDescent="0.45">
      <c r="A52" s="5" t="s">
        <v>277</v>
      </c>
      <c r="B52" s="5" t="s">
        <v>224</v>
      </c>
      <c r="C52" s="5" t="s">
        <v>273</v>
      </c>
      <c r="D52" s="5" t="s">
        <v>403</v>
      </c>
      <c r="E52" s="5" t="s">
        <v>275</v>
      </c>
      <c r="F52" s="5" t="s">
        <v>278</v>
      </c>
      <c r="G52" s="5" t="s">
        <v>145</v>
      </c>
      <c r="H52" s="5" t="s">
        <v>404</v>
      </c>
      <c r="I52" s="5"/>
      <c r="J52" s="5"/>
      <c r="K52" s="5"/>
      <c r="L52" s="5" t="s">
        <v>139</v>
      </c>
      <c r="M52" s="5" t="s">
        <v>139</v>
      </c>
      <c r="N52" s="5"/>
    </row>
    <row r="53" spans="1:14" x14ac:dyDescent="0.45">
      <c r="A53" t="s">
        <v>405</v>
      </c>
      <c r="B53" t="s">
        <v>280</v>
      </c>
      <c r="C53" t="s">
        <v>273</v>
      </c>
      <c r="D53" t="s">
        <v>381</v>
      </c>
      <c r="E53" t="s">
        <v>406</v>
      </c>
      <c r="F53" t="s">
        <v>407</v>
      </c>
      <c r="G53" t="s">
        <v>145</v>
      </c>
      <c r="M53" t="s">
        <v>139</v>
      </c>
    </row>
    <row r="54" spans="1:14" x14ac:dyDescent="0.45">
      <c r="A54" s="5" t="s">
        <v>279</v>
      </c>
      <c r="B54" s="5" t="s">
        <v>280</v>
      </c>
      <c r="C54" s="5" t="s">
        <v>273</v>
      </c>
      <c r="D54" s="5" t="s">
        <v>381</v>
      </c>
      <c r="E54" s="5" t="s">
        <v>281</v>
      </c>
      <c r="F54" s="5" t="s">
        <v>282</v>
      </c>
      <c r="G54" s="5" t="s">
        <v>145</v>
      </c>
      <c r="H54" s="5"/>
      <c r="I54" s="5"/>
      <c r="J54" s="5"/>
      <c r="K54" s="5"/>
      <c r="L54" s="5" t="s">
        <v>139</v>
      </c>
      <c r="M54" s="5" t="s">
        <v>139</v>
      </c>
      <c r="N54" s="5"/>
    </row>
    <row r="55" spans="1:14" x14ac:dyDescent="0.45">
      <c r="A55" t="s">
        <v>283</v>
      </c>
      <c r="B55" t="s">
        <v>280</v>
      </c>
      <c r="C55" t="s">
        <v>273</v>
      </c>
      <c r="D55" t="s">
        <v>381</v>
      </c>
      <c r="E55" t="s">
        <v>284</v>
      </c>
      <c r="F55" t="s">
        <v>285</v>
      </c>
      <c r="G55" t="s">
        <v>145</v>
      </c>
      <c r="L55" t="s">
        <v>139</v>
      </c>
      <c r="M55" t="s">
        <v>139</v>
      </c>
    </row>
    <row r="56" spans="1:14" x14ac:dyDescent="0.45">
      <c r="A56" s="5" t="s">
        <v>286</v>
      </c>
      <c r="B56" s="5" t="s">
        <v>280</v>
      </c>
      <c r="C56" s="5" t="s">
        <v>273</v>
      </c>
      <c r="D56" s="5" t="s">
        <v>381</v>
      </c>
      <c r="E56" s="5" t="s">
        <v>287</v>
      </c>
      <c r="F56" s="5" t="s">
        <v>288</v>
      </c>
      <c r="G56" s="5" t="s">
        <v>145</v>
      </c>
      <c r="H56" s="5"/>
      <c r="I56" s="5"/>
      <c r="J56" s="5"/>
      <c r="K56" s="5"/>
      <c r="L56" s="5" t="s">
        <v>139</v>
      </c>
      <c r="M56" s="5" t="s">
        <v>139</v>
      </c>
      <c r="N56" s="5"/>
    </row>
    <row r="57" spans="1:14" x14ac:dyDescent="0.45">
      <c r="A57" t="s">
        <v>408</v>
      </c>
      <c r="B57" t="s">
        <v>140</v>
      </c>
      <c r="C57" t="s">
        <v>409</v>
      </c>
      <c r="D57" t="s">
        <v>410</v>
      </c>
      <c r="E57" t="s">
        <v>411</v>
      </c>
      <c r="F57" t="s">
        <v>412</v>
      </c>
      <c r="G57" t="s">
        <v>145</v>
      </c>
      <c r="M57" t="s">
        <v>139</v>
      </c>
    </row>
    <row r="58" spans="1:14" x14ac:dyDescent="0.45">
      <c r="A58" s="6" t="s">
        <v>289</v>
      </c>
      <c r="B58" s="7"/>
      <c r="C58" s="7"/>
      <c r="D58" s="7"/>
      <c r="E58" s="7"/>
      <c r="F58" s="7"/>
      <c r="G58" s="7"/>
      <c r="H58" s="7"/>
      <c r="I58" s="7"/>
      <c r="J58" s="7"/>
      <c r="K58" s="7"/>
      <c r="L58" s="7"/>
      <c r="M58" s="7"/>
      <c r="N58" s="7"/>
    </row>
    <row r="59" spans="1:14" x14ac:dyDescent="0.45">
      <c r="A59" s="5" t="s">
        <v>290</v>
      </c>
      <c r="B59" s="5" t="s">
        <v>140</v>
      </c>
      <c r="C59" s="5" t="s">
        <v>291</v>
      </c>
      <c r="D59" s="5" t="s">
        <v>292</v>
      </c>
      <c r="E59" s="5" t="s">
        <v>293</v>
      </c>
      <c r="F59" s="5" t="s">
        <v>159</v>
      </c>
      <c r="G59" s="5" t="s">
        <v>160</v>
      </c>
      <c r="H59" s="5"/>
      <c r="I59" s="5" t="s">
        <v>139</v>
      </c>
      <c r="J59" s="5" t="s">
        <v>139</v>
      </c>
      <c r="K59" s="5"/>
      <c r="L59" s="5" t="s">
        <v>139</v>
      </c>
      <c r="M59" s="5" t="s">
        <v>139</v>
      </c>
      <c r="N59" s="5"/>
    </row>
    <row r="60" spans="1:14" x14ac:dyDescent="0.45">
      <c r="A60" t="s">
        <v>294</v>
      </c>
      <c r="B60" t="s">
        <v>140</v>
      </c>
      <c r="C60" t="s">
        <v>291</v>
      </c>
      <c r="D60" t="s">
        <v>292</v>
      </c>
      <c r="E60" t="s">
        <v>295</v>
      </c>
      <c r="F60" t="s">
        <v>159</v>
      </c>
      <c r="G60" t="s">
        <v>160</v>
      </c>
      <c r="I60" t="s">
        <v>139</v>
      </c>
      <c r="J60" t="s">
        <v>139</v>
      </c>
      <c r="L60" t="s">
        <v>139</v>
      </c>
      <c r="M60" t="s">
        <v>139</v>
      </c>
    </row>
    <row r="61" spans="1:14" x14ac:dyDescent="0.45">
      <c r="A61" s="5" t="s">
        <v>296</v>
      </c>
      <c r="B61" s="5" t="s">
        <v>133</v>
      </c>
      <c r="C61" s="5" t="s">
        <v>297</v>
      </c>
      <c r="D61" s="5" t="s">
        <v>381</v>
      </c>
      <c r="E61" s="5" t="s">
        <v>413</v>
      </c>
      <c r="F61" s="5" t="s">
        <v>299</v>
      </c>
      <c r="G61" s="5" t="s">
        <v>138</v>
      </c>
      <c r="H61" s="5"/>
      <c r="I61" s="5" t="s">
        <v>139</v>
      </c>
      <c r="J61" s="5" t="s">
        <v>139</v>
      </c>
      <c r="K61" s="5" t="s">
        <v>139</v>
      </c>
      <c r="L61" s="5" t="s">
        <v>139</v>
      </c>
      <c r="M61" s="5" t="s">
        <v>139</v>
      </c>
      <c r="N61" s="5"/>
    </row>
    <row r="62" spans="1:14" x14ac:dyDescent="0.45">
      <c r="A62" t="s">
        <v>300</v>
      </c>
      <c r="B62" t="s">
        <v>140</v>
      </c>
      <c r="C62" t="s">
        <v>301</v>
      </c>
      <c r="D62" t="s">
        <v>135</v>
      </c>
      <c r="E62" t="s">
        <v>302</v>
      </c>
      <c r="F62" t="s">
        <v>159</v>
      </c>
      <c r="G62" t="s">
        <v>160</v>
      </c>
      <c r="J62" t="s">
        <v>139</v>
      </c>
      <c r="L62" t="s">
        <v>139</v>
      </c>
      <c r="M62" t="s">
        <v>139</v>
      </c>
    </row>
    <row r="63" spans="1:14" x14ac:dyDescent="0.45">
      <c r="A63" s="5" t="s">
        <v>303</v>
      </c>
      <c r="B63" s="5" t="s">
        <v>140</v>
      </c>
      <c r="C63" s="5" t="s">
        <v>304</v>
      </c>
      <c r="D63" s="5" t="s">
        <v>135</v>
      </c>
      <c r="E63" s="5" t="s">
        <v>305</v>
      </c>
      <c r="F63" s="5" t="s">
        <v>159</v>
      </c>
      <c r="G63" s="5" t="s">
        <v>160</v>
      </c>
      <c r="H63" s="5"/>
      <c r="I63" s="5"/>
      <c r="J63" s="5" t="s">
        <v>139</v>
      </c>
      <c r="K63" s="5"/>
      <c r="L63" s="5" t="s">
        <v>139</v>
      </c>
      <c r="M63" s="5" t="s">
        <v>139</v>
      </c>
      <c r="N63" s="5"/>
    </row>
    <row r="64" spans="1:14" x14ac:dyDescent="0.45">
      <c r="A64" t="s">
        <v>306</v>
      </c>
      <c r="B64" t="s">
        <v>133</v>
      </c>
      <c r="C64" t="s">
        <v>308</v>
      </c>
      <c r="D64" t="s">
        <v>414</v>
      </c>
      <c r="E64" t="s">
        <v>415</v>
      </c>
      <c r="F64" t="s">
        <v>457</v>
      </c>
      <c r="G64" t="s">
        <v>138</v>
      </c>
      <c r="H64" t="s">
        <v>458</v>
      </c>
      <c r="I64" t="s">
        <v>139</v>
      </c>
      <c r="J64" t="s">
        <v>139</v>
      </c>
      <c r="L64" t="s">
        <v>139</v>
      </c>
      <c r="M64" t="s">
        <v>139</v>
      </c>
    </row>
    <row r="65" spans="1:14" x14ac:dyDescent="0.45">
      <c r="A65" s="5" t="s">
        <v>311</v>
      </c>
      <c r="B65" s="5" t="s">
        <v>140</v>
      </c>
      <c r="C65" s="5" t="s">
        <v>312</v>
      </c>
      <c r="D65" s="5" t="s">
        <v>135</v>
      </c>
      <c r="E65" s="5" t="s">
        <v>313</v>
      </c>
      <c r="F65" s="5" t="s">
        <v>159</v>
      </c>
      <c r="G65" s="5" t="s">
        <v>160</v>
      </c>
      <c r="H65" s="5"/>
      <c r="I65" s="5" t="s">
        <v>139</v>
      </c>
      <c r="J65" s="5" t="s">
        <v>139</v>
      </c>
      <c r="K65" s="5"/>
      <c r="L65" s="5"/>
      <c r="M65" s="5" t="s">
        <v>139</v>
      </c>
      <c r="N65" s="5"/>
    </row>
    <row r="66" spans="1:14" x14ac:dyDescent="0.45">
      <c r="A66" t="s">
        <v>314</v>
      </c>
      <c r="B66" t="s">
        <v>140</v>
      </c>
      <c r="C66" t="s">
        <v>315</v>
      </c>
      <c r="D66" t="s">
        <v>135</v>
      </c>
      <c r="E66" t="s">
        <v>316</v>
      </c>
      <c r="F66" t="s">
        <v>159</v>
      </c>
      <c r="G66" t="s">
        <v>160</v>
      </c>
      <c r="J66" t="s">
        <v>139</v>
      </c>
      <c r="M66" t="s">
        <v>139</v>
      </c>
    </row>
    <row r="67" spans="1:14" x14ac:dyDescent="0.45">
      <c r="A67" s="5" t="s">
        <v>317</v>
      </c>
      <c r="B67" s="5" t="s">
        <v>224</v>
      </c>
      <c r="C67" s="5" t="s">
        <v>459</v>
      </c>
      <c r="D67" s="5" t="s">
        <v>381</v>
      </c>
      <c r="E67" s="5"/>
      <c r="F67" s="5" t="s">
        <v>319</v>
      </c>
      <c r="G67" s="5" t="s">
        <v>138</v>
      </c>
      <c r="H67" s="5"/>
      <c r="I67" s="5" t="s">
        <v>139</v>
      </c>
      <c r="J67" s="5" t="s">
        <v>139</v>
      </c>
      <c r="K67" s="5"/>
      <c r="L67" s="5" t="s">
        <v>139</v>
      </c>
      <c r="M67" s="5" t="s">
        <v>139</v>
      </c>
      <c r="N67" s="5"/>
    </row>
    <row r="68" spans="1:14" x14ac:dyDescent="0.45">
      <c r="A68" t="s">
        <v>320</v>
      </c>
      <c r="B68" t="s">
        <v>140</v>
      </c>
      <c r="C68" t="s">
        <v>321</v>
      </c>
      <c r="D68" t="s">
        <v>135</v>
      </c>
      <c r="E68" t="s">
        <v>322</v>
      </c>
      <c r="F68" t="s">
        <v>400</v>
      </c>
      <c r="G68" t="s">
        <v>160</v>
      </c>
      <c r="L68" t="s">
        <v>139</v>
      </c>
      <c r="M68" t="s">
        <v>139</v>
      </c>
    </row>
    <row r="69" spans="1:14" x14ac:dyDescent="0.45">
      <c r="A69" s="5" t="s">
        <v>323</v>
      </c>
      <c r="B69" s="5" t="s">
        <v>140</v>
      </c>
      <c r="C69" s="5" t="s">
        <v>324</v>
      </c>
      <c r="D69" s="5" t="s">
        <v>135</v>
      </c>
      <c r="E69" s="5" t="s">
        <v>325</v>
      </c>
      <c r="F69" s="5" t="s">
        <v>400</v>
      </c>
      <c r="G69" s="5" t="s">
        <v>160</v>
      </c>
      <c r="H69" s="5"/>
      <c r="I69" s="5"/>
      <c r="J69" s="5"/>
      <c r="K69" s="5"/>
      <c r="L69" s="5" t="s">
        <v>139</v>
      </c>
      <c r="M69" s="5" t="s">
        <v>139</v>
      </c>
      <c r="N69" s="5"/>
    </row>
    <row r="70" spans="1:14" x14ac:dyDescent="0.45">
      <c r="A70" t="s">
        <v>326</v>
      </c>
      <c r="B70" t="s">
        <v>140</v>
      </c>
      <c r="C70" t="s">
        <v>327</v>
      </c>
      <c r="D70" t="s">
        <v>135</v>
      </c>
      <c r="E70" t="s">
        <v>328</v>
      </c>
      <c r="F70" t="s">
        <v>400</v>
      </c>
      <c r="G70" t="s">
        <v>160</v>
      </c>
      <c r="I70" t="s">
        <v>139</v>
      </c>
      <c r="J70" t="s">
        <v>139</v>
      </c>
      <c r="L70" t="s">
        <v>139</v>
      </c>
      <c r="M70" t="s">
        <v>139</v>
      </c>
    </row>
    <row r="71" spans="1:14" x14ac:dyDescent="0.45">
      <c r="A71" s="6" t="s">
        <v>329</v>
      </c>
      <c r="B71" s="7"/>
      <c r="C71" s="7"/>
      <c r="D71" s="7"/>
      <c r="E71" s="7"/>
      <c r="F71" s="7"/>
      <c r="G71" s="7"/>
      <c r="H71" s="7"/>
      <c r="I71" s="7"/>
      <c r="J71" s="7"/>
      <c r="K71" s="7"/>
      <c r="L71" s="7"/>
      <c r="M71" s="7"/>
      <c r="N71" s="7"/>
    </row>
    <row r="72" spans="1:14" x14ac:dyDescent="0.45">
      <c r="A72" s="5" t="s">
        <v>330</v>
      </c>
      <c r="B72" s="5" t="s">
        <v>307</v>
      </c>
      <c r="C72" s="5" t="s">
        <v>331</v>
      </c>
      <c r="D72" s="5" t="s">
        <v>381</v>
      </c>
      <c r="E72" s="5"/>
      <c r="F72" s="5" t="s">
        <v>418</v>
      </c>
      <c r="G72" s="5" t="s">
        <v>138</v>
      </c>
      <c r="H72" s="5" t="s">
        <v>460</v>
      </c>
      <c r="I72" s="5" t="s">
        <v>139</v>
      </c>
      <c r="J72" s="5" t="s">
        <v>139</v>
      </c>
      <c r="K72" s="5"/>
      <c r="L72" s="5" t="s">
        <v>139</v>
      </c>
      <c r="M72" s="5" t="s">
        <v>139</v>
      </c>
      <c r="N72" s="5"/>
    </row>
    <row r="73" spans="1:14" x14ac:dyDescent="0.45">
      <c r="A73" t="s">
        <v>333</v>
      </c>
      <c r="B73" t="s">
        <v>140</v>
      </c>
      <c r="C73" t="s">
        <v>334</v>
      </c>
      <c r="D73" t="s">
        <v>335</v>
      </c>
      <c r="E73" t="s">
        <v>336</v>
      </c>
      <c r="F73" t="s">
        <v>159</v>
      </c>
      <c r="G73" t="s">
        <v>160</v>
      </c>
      <c r="I73" t="s">
        <v>139</v>
      </c>
      <c r="J73" t="s">
        <v>139</v>
      </c>
      <c r="L73" t="s">
        <v>139</v>
      </c>
      <c r="M73" t="s">
        <v>139</v>
      </c>
    </row>
    <row r="74" spans="1:14" x14ac:dyDescent="0.45">
      <c r="A74" s="5" t="s">
        <v>337</v>
      </c>
      <c r="B74" s="5" t="s">
        <v>140</v>
      </c>
      <c r="C74" s="5" t="s">
        <v>338</v>
      </c>
      <c r="D74" s="5" t="s">
        <v>335</v>
      </c>
      <c r="E74" s="5" t="s">
        <v>339</v>
      </c>
      <c r="F74" s="5" t="s">
        <v>159</v>
      </c>
      <c r="G74" s="5" t="s">
        <v>160</v>
      </c>
      <c r="H74" s="5"/>
      <c r="I74" s="5" t="s">
        <v>139</v>
      </c>
      <c r="J74" s="5" t="s">
        <v>139</v>
      </c>
      <c r="K74" s="5"/>
      <c r="L74" s="5" t="s">
        <v>139</v>
      </c>
      <c r="M74" s="5" t="s">
        <v>139</v>
      </c>
      <c r="N74" s="5"/>
    </row>
    <row r="75" spans="1:14" x14ac:dyDescent="0.45">
      <c r="A75" t="s">
        <v>340</v>
      </c>
      <c r="B75" t="s">
        <v>140</v>
      </c>
      <c r="C75" t="s">
        <v>341</v>
      </c>
      <c r="D75" t="s">
        <v>335</v>
      </c>
      <c r="E75" t="s">
        <v>342</v>
      </c>
      <c r="F75" t="s">
        <v>159</v>
      </c>
      <c r="G75" t="s">
        <v>160</v>
      </c>
      <c r="I75" t="s">
        <v>139</v>
      </c>
      <c r="J75" t="s">
        <v>139</v>
      </c>
      <c r="L75" t="s">
        <v>139</v>
      </c>
      <c r="M75" t="s">
        <v>139</v>
      </c>
    </row>
    <row r="76" spans="1:14" x14ac:dyDescent="0.45">
      <c r="A76" s="5" t="s">
        <v>343</v>
      </c>
      <c r="B76" s="5" t="s">
        <v>140</v>
      </c>
      <c r="C76" s="5" t="s">
        <v>344</v>
      </c>
      <c r="D76" s="5" t="s">
        <v>135</v>
      </c>
      <c r="E76" s="5" t="s">
        <v>345</v>
      </c>
      <c r="F76" s="5" t="s">
        <v>159</v>
      </c>
      <c r="G76" s="5" t="s">
        <v>138</v>
      </c>
      <c r="H76" s="5"/>
      <c r="I76" s="5" t="s">
        <v>139</v>
      </c>
      <c r="J76" s="5" t="s">
        <v>139</v>
      </c>
      <c r="K76" s="5"/>
      <c r="L76" s="5"/>
      <c r="M76" s="5" t="s">
        <v>139</v>
      </c>
      <c r="N76" s="5"/>
    </row>
    <row r="77" spans="1:14" x14ac:dyDescent="0.45">
      <c r="A77" t="s">
        <v>346</v>
      </c>
      <c r="B77" t="s">
        <v>140</v>
      </c>
      <c r="C77" t="s">
        <v>347</v>
      </c>
      <c r="D77" t="s">
        <v>135</v>
      </c>
      <c r="E77" t="s">
        <v>345</v>
      </c>
      <c r="F77" t="s">
        <v>159</v>
      </c>
      <c r="G77" t="s">
        <v>138</v>
      </c>
      <c r="I77" t="s">
        <v>139</v>
      </c>
      <c r="J77" t="s">
        <v>139</v>
      </c>
      <c r="L77" t="s">
        <v>139</v>
      </c>
      <c r="M77" t="s">
        <v>139</v>
      </c>
    </row>
    <row r="78" spans="1:14" x14ac:dyDescent="0.45">
      <c r="A78" s="5" t="s">
        <v>348</v>
      </c>
      <c r="B78" s="5" t="s">
        <v>140</v>
      </c>
      <c r="C78" s="5" t="s">
        <v>349</v>
      </c>
      <c r="D78" s="5" t="s">
        <v>335</v>
      </c>
      <c r="E78" s="5" t="s">
        <v>350</v>
      </c>
      <c r="F78" s="5" t="s">
        <v>159</v>
      </c>
      <c r="G78" s="5" t="s">
        <v>160</v>
      </c>
      <c r="H78" s="5"/>
      <c r="I78" s="5" t="s">
        <v>139</v>
      </c>
      <c r="J78" s="5" t="s">
        <v>139</v>
      </c>
      <c r="K78" s="5"/>
      <c r="L78" s="5"/>
      <c r="M78" s="5" t="s">
        <v>139</v>
      </c>
      <c r="N78" s="5"/>
    </row>
    <row r="79" spans="1:14" x14ac:dyDescent="0.45">
      <c r="A79" t="s">
        <v>351</v>
      </c>
      <c r="B79" t="s">
        <v>307</v>
      </c>
      <c r="C79" t="s">
        <v>352</v>
      </c>
      <c r="D79" t="s">
        <v>381</v>
      </c>
      <c r="F79" t="s">
        <v>420</v>
      </c>
      <c r="G79" t="s">
        <v>138</v>
      </c>
      <c r="H79" t="s">
        <v>461</v>
      </c>
      <c r="I79" t="s">
        <v>139</v>
      </c>
      <c r="J79" t="s">
        <v>139</v>
      </c>
      <c r="L79" t="s">
        <v>139</v>
      </c>
      <c r="M79" t="s">
        <v>139</v>
      </c>
    </row>
    <row r="80" spans="1:14" x14ac:dyDescent="0.45">
      <c r="A80" s="5" t="s">
        <v>354</v>
      </c>
      <c r="B80" s="5" t="s">
        <v>140</v>
      </c>
      <c r="C80" s="5" t="s">
        <v>355</v>
      </c>
      <c r="D80" s="5" t="s">
        <v>335</v>
      </c>
      <c r="E80" s="5" t="s">
        <v>356</v>
      </c>
      <c r="F80" s="5" t="s">
        <v>159</v>
      </c>
      <c r="G80" s="5" t="s">
        <v>160</v>
      </c>
      <c r="H80" s="5" t="s">
        <v>357</v>
      </c>
      <c r="I80" s="5" t="s">
        <v>139</v>
      </c>
      <c r="J80" s="5" t="s">
        <v>139</v>
      </c>
      <c r="K80" s="5"/>
      <c r="L80" s="5" t="s">
        <v>139</v>
      </c>
      <c r="M80" s="5" t="s">
        <v>139</v>
      </c>
      <c r="N80" s="5"/>
    </row>
    <row r="81" spans="1:14" x14ac:dyDescent="0.45">
      <c r="A81" t="s">
        <v>422</v>
      </c>
      <c r="B81" t="s">
        <v>133</v>
      </c>
      <c r="C81" t="s">
        <v>423</v>
      </c>
      <c r="D81" t="s">
        <v>424</v>
      </c>
      <c r="E81" t="s">
        <v>425</v>
      </c>
      <c r="F81" t="s">
        <v>426</v>
      </c>
      <c r="G81" t="s">
        <v>145</v>
      </c>
      <c r="J81" t="s">
        <v>139</v>
      </c>
      <c r="L81" t="s">
        <v>139</v>
      </c>
      <c r="M81" t="s">
        <v>139</v>
      </c>
    </row>
    <row r="82" spans="1:14" x14ac:dyDescent="0.45">
      <c r="A82" s="6" t="s">
        <v>358</v>
      </c>
      <c r="B82" s="7"/>
      <c r="C82" s="7"/>
      <c r="D82" s="7"/>
      <c r="E82" s="7"/>
      <c r="F82" s="7"/>
      <c r="G82" s="7"/>
      <c r="H82" s="7"/>
      <c r="I82" s="7"/>
      <c r="J82" s="7"/>
      <c r="K82" s="7"/>
      <c r="L82" s="7"/>
      <c r="M82" s="7"/>
      <c r="N82" s="7"/>
    </row>
    <row r="83" spans="1:14" x14ac:dyDescent="0.45">
      <c r="A83" s="5" t="s">
        <v>441</v>
      </c>
      <c r="B83" s="5" t="s">
        <v>224</v>
      </c>
      <c r="C83" s="5" t="s">
        <v>442</v>
      </c>
      <c r="D83" s="5" t="s">
        <v>381</v>
      </c>
      <c r="E83" s="5" t="s">
        <v>462</v>
      </c>
      <c r="F83" s="5" t="s">
        <v>444</v>
      </c>
      <c r="G83" s="5" t="s">
        <v>138</v>
      </c>
      <c r="H83" s="5" t="s">
        <v>463</v>
      </c>
      <c r="I83" s="5"/>
      <c r="J83" s="5"/>
      <c r="K83" s="5"/>
      <c r="L83" s="5" t="s">
        <v>139</v>
      </c>
      <c r="M83" s="5" t="s">
        <v>139</v>
      </c>
      <c r="N83" s="5"/>
    </row>
    <row r="84" spans="1:14" x14ac:dyDescent="0.45">
      <c r="A84" t="s">
        <v>452</v>
      </c>
      <c r="B84" t="s">
        <v>133</v>
      </c>
      <c r="C84" t="s">
        <v>453</v>
      </c>
      <c r="D84" t="s">
        <v>381</v>
      </c>
      <c r="E84" t="s">
        <v>454</v>
      </c>
      <c r="F84" t="s">
        <v>455</v>
      </c>
      <c r="G84" t="s">
        <v>138</v>
      </c>
      <c r="M84" t="s">
        <v>139</v>
      </c>
    </row>
  </sheetData>
  <mergeCells count="12">
    <mergeCell ref="A1:N1"/>
    <mergeCell ref="A82:N82"/>
    <mergeCell ref="A71:N71"/>
    <mergeCell ref="B3:N3"/>
    <mergeCell ref="B2:N2"/>
    <mergeCell ref="A58:N58"/>
    <mergeCell ref="B5:N5"/>
    <mergeCell ref="A31:N31"/>
    <mergeCell ref="A12:N12"/>
    <mergeCell ref="A50:N50"/>
    <mergeCell ref="B4:N4"/>
    <mergeCell ref="A7:N7"/>
  </mergeCells>
  <dataValidations count="1">
    <dataValidation type="list" allowBlank="1" errorTitle="Invalid Review Status" error="Choose a review status from the list." sqref="N2:N84" xr:uid="{00000000-0002-0000-08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84"/>
  <sheetViews>
    <sheetView workbookViewId="0">
      <pane ySplit="6" topLeftCell="A7" activePane="bottomLeft" state="frozen"/>
      <selection pane="bottomLeft"/>
    </sheetView>
  </sheetViews>
  <sheetFormatPr defaultRowHeight="14.25" x14ac:dyDescent="0.45"/>
  <cols>
    <col min="1" max="1" width="50" customWidth="1"/>
    <col min="2" max="2" width="21"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464</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27</v>
      </c>
      <c r="C3" s="7"/>
      <c r="D3" s="7"/>
      <c r="E3" s="7"/>
      <c r="F3" s="7"/>
      <c r="G3" s="7"/>
      <c r="H3" s="7"/>
      <c r="I3" s="7"/>
      <c r="J3" s="7"/>
      <c r="K3" s="7"/>
      <c r="L3" s="7"/>
      <c r="M3" s="7"/>
      <c r="N3" s="7"/>
    </row>
    <row r="4" spans="1:14" x14ac:dyDescent="0.45">
      <c r="A4" s="4" t="s">
        <v>20</v>
      </c>
      <c r="B4" s="7" t="s">
        <v>50</v>
      </c>
      <c r="C4" s="7"/>
      <c r="D4" s="7"/>
      <c r="E4" s="7"/>
      <c r="F4" s="7"/>
      <c r="G4" s="7"/>
      <c r="H4" s="7"/>
      <c r="I4" s="7"/>
      <c r="J4" s="7"/>
      <c r="K4" s="7"/>
      <c r="L4" s="7"/>
      <c r="M4" s="7"/>
      <c r="N4" s="7"/>
    </row>
    <row r="5" spans="1:14" x14ac:dyDescent="0.45">
      <c r="A5" s="4" t="s">
        <v>21</v>
      </c>
      <c r="B5" s="7" t="s">
        <v>41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388</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L10" t="s">
        <v>139</v>
      </c>
      <c r="M10" t="s">
        <v>139</v>
      </c>
    </row>
    <row r="11" spans="1:14" x14ac:dyDescent="0.45">
      <c r="A11" s="5" t="s">
        <v>149</v>
      </c>
      <c r="B11" s="5" t="s">
        <v>140</v>
      </c>
      <c r="C11" s="5" t="s">
        <v>389</v>
      </c>
      <c r="D11" s="5" t="s">
        <v>135</v>
      </c>
      <c r="E11" s="5" t="s">
        <v>390</v>
      </c>
      <c r="F11" s="5" t="s">
        <v>148</v>
      </c>
      <c r="G11" s="5" t="s">
        <v>138</v>
      </c>
      <c r="H11" s="5" t="s">
        <v>391</v>
      </c>
      <c r="I11" s="5" t="s">
        <v>139</v>
      </c>
      <c r="J11" s="5" t="s">
        <v>139</v>
      </c>
      <c r="K11" s="5"/>
      <c r="L11" s="5"/>
      <c r="M11" s="5" t="s">
        <v>139</v>
      </c>
      <c r="N11" s="5"/>
    </row>
    <row r="12" spans="1:14" x14ac:dyDescent="0.45">
      <c r="A12" s="6" t="s">
        <v>154</v>
      </c>
      <c r="B12" s="7"/>
      <c r="C12" s="7"/>
      <c r="D12" s="7"/>
      <c r="E12" s="7"/>
      <c r="F12" s="7"/>
      <c r="G12" s="7"/>
      <c r="H12" s="7"/>
      <c r="I12" s="7"/>
      <c r="J12" s="7"/>
      <c r="K12" s="7"/>
      <c r="L12" s="7"/>
      <c r="M12" s="7"/>
      <c r="N12" s="7"/>
    </row>
    <row r="13" spans="1:14" x14ac:dyDescent="0.45">
      <c r="A13" t="s">
        <v>155</v>
      </c>
      <c r="B13" t="s">
        <v>140</v>
      </c>
      <c r="C13" t="s">
        <v>156</v>
      </c>
      <c r="D13" t="s">
        <v>157</v>
      </c>
      <c r="E13" t="s">
        <v>158</v>
      </c>
      <c r="F13" t="s">
        <v>159</v>
      </c>
      <c r="G13" t="s">
        <v>160</v>
      </c>
      <c r="J13" t="s">
        <v>139</v>
      </c>
      <c r="L13" t="s">
        <v>139</v>
      </c>
      <c r="M13" t="s">
        <v>139</v>
      </c>
    </row>
    <row r="14" spans="1:14" x14ac:dyDescent="0.45">
      <c r="A14" s="5" t="s">
        <v>161</v>
      </c>
      <c r="B14" s="5" t="s">
        <v>140</v>
      </c>
      <c r="C14" s="5" t="s">
        <v>156</v>
      </c>
      <c r="D14" s="5" t="s">
        <v>157</v>
      </c>
      <c r="E14" s="5" t="s">
        <v>162</v>
      </c>
      <c r="F14" s="5" t="s">
        <v>159</v>
      </c>
      <c r="G14" s="5" t="s">
        <v>160</v>
      </c>
      <c r="H14" s="5"/>
      <c r="I14" s="5"/>
      <c r="J14" s="5" t="s">
        <v>139</v>
      </c>
      <c r="K14" s="5"/>
      <c r="L14" s="5" t="s">
        <v>139</v>
      </c>
      <c r="M14" s="5" t="s">
        <v>139</v>
      </c>
      <c r="N14" s="5"/>
    </row>
    <row r="15" spans="1:14" x14ac:dyDescent="0.45">
      <c r="A15" t="s">
        <v>163</v>
      </c>
      <c r="B15" t="s">
        <v>140</v>
      </c>
      <c r="C15" t="s">
        <v>164</v>
      </c>
      <c r="D15" t="s">
        <v>157</v>
      </c>
      <c r="E15" t="s">
        <v>392</v>
      </c>
      <c r="F15" t="s">
        <v>159</v>
      </c>
      <c r="G15" t="s">
        <v>160</v>
      </c>
      <c r="M15" t="s">
        <v>139</v>
      </c>
    </row>
    <row r="16" spans="1:14" x14ac:dyDescent="0.45">
      <c r="A16" s="5" t="s">
        <v>166</v>
      </c>
      <c r="B16" s="5" t="s">
        <v>167</v>
      </c>
      <c r="C16" s="5" t="s">
        <v>168</v>
      </c>
      <c r="D16" s="5" t="s">
        <v>381</v>
      </c>
      <c r="E16" s="5" t="s">
        <v>209</v>
      </c>
      <c r="F16" s="5" t="s">
        <v>171</v>
      </c>
      <c r="G16" s="5" t="s">
        <v>138</v>
      </c>
      <c r="H16" s="5"/>
      <c r="I16" s="5"/>
      <c r="J16" s="5"/>
      <c r="K16" s="5"/>
      <c r="L16" s="5" t="s">
        <v>139</v>
      </c>
      <c r="M16" s="5" t="s">
        <v>139</v>
      </c>
      <c r="N16" s="5"/>
    </row>
    <row r="17" spans="1:14" x14ac:dyDescent="0.45">
      <c r="A17" t="s">
        <v>172</v>
      </c>
      <c r="B17" t="s">
        <v>133</v>
      </c>
      <c r="C17" t="s">
        <v>168</v>
      </c>
      <c r="D17" t="s">
        <v>381</v>
      </c>
      <c r="E17" t="s">
        <v>209</v>
      </c>
      <c r="F17" t="s">
        <v>173</v>
      </c>
      <c r="G17" t="s">
        <v>138</v>
      </c>
      <c r="L17" t="s">
        <v>139</v>
      </c>
      <c r="M17" t="s">
        <v>139</v>
      </c>
    </row>
    <row r="18" spans="1:14" x14ac:dyDescent="0.45">
      <c r="A18" s="5" t="s">
        <v>174</v>
      </c>
      <c r="B18" s="5" t="s">
        <v>167</v>
      </c>
      <c r="C18" s="5" t="s">
        <v>175</v>
      </c>
      <c r="D18" s="5" t="s">
        <v>381</v>
      </c>
      <c r="E18" s="5" t="s">
        <v>393</v>
      </c>
      <c r="F18" s="5" t="s">
        <v>177</v>
      </c>
      <c r="G18" s="5" t="s">
        <v>138</v>
      </c>
      <c r="H18" s="5"/>
      <c r="I18" s="5"/>
      <c r="J18" s="5"/>
      <c r="K18" s="5"/>
      <c r="L18" s="5" t="s">
        <v>139</v>
      </c>
      <c r="M18" s="5" t="s">
        <v>139</v>
      </c>
      <c r="N18" s="5"/>
    </row>
    <row r="19" spans="1:14" x14ac:dyDescent="0.45">
      <c r="A19" t="s">
        <v>178</v>
      </c>
      <c r="B19" t="s">
        <v>167</v>
      </c>
      <c r="C19" t="s">
        <v>179</v>
      </c>
      <c r="D19" t="s">
        <v>394</v>
      </c>
      <c r="E19" t="s">
        <v>395</v>
      </c>
      <c r="F19" t="s">
        <v>396</v>
      </c>
      <c r="G19" t="s">
        <v>397</v>
      </c>
      <c r="K19" t="s">
        <v>139</v>
      </c>
      <c r="L19" t="s">
        <v>139</v>
      </c>
      <c r="M19" t="s">
        <v>139</v>
      </c>
    </row>
    <row r="20" spans="1:14" x14ac:dyDescent="0.45">
      <c r="A20" s="5" t="s">
        <v>181</v>
      </c>
      <c r="B20" s="5" t="s">
        <v>167</v>
      </c>
      <c r="C20" s="5" t="s">
        <v>179</v>
      </c>
      <c r="D20" s="5" t="s">
        <v>394</v>
      </c>
      <c r="E20" s="5" t="s">
        <v>395</v>
      </c>
      <c r="F20" s="5" t="s">
        <v>398</v>
      </c>
      <c r="G20" s="5" t="s">
        <v>397</v>
      </c>
      <c r="H20" s="5"/>
      <c r="I20" s="5"/>
      <c r="J20" s="5"/>
      <c r="K20" s="5" t="s">
        <v>139</v>
      </c>
      <c r="L20" s="5" t="s">
        <v>139</v>
      </c>
      <c r="M20" s="5" t="s">
        <v>139</v>
      </c>
      <c r="N20" s="5"/>
    </row>
    <row r="21" spans="1:14" x14ac:dyDescent="0.45">
      <c r="A21" t="s">
        <v>182</v>
      </c>
      <c r="B21" t="s">
        <v>133</v>
      </c>
      <c r="C21" t="s">
        <v>183</v>
      </c>
      <c r="D21" t="s">
        <v>381</v>
      </c>
      <c r="E21" t="s">
        <v>399</v>
      </c>
      <c r="F21" t="s">
        <v>185</v>
      </c>
      <c r="G21" t="s">
        <v>182</v>
      </c>
      <c r="H21" t="s">
        <v>186</v>
      </c>
      <c r="J21" t="s">
        <v>139</v>
      </c>
      <c r="L21" t="s">
        <v>139</v>
      </c>
      <c r="M21" t="s">
        <v>139</v>
      </c>
    </row>
    <row r="22" spans="1:14" x14ac:dyDescent="0.45">
      <c r="A22" s="5" t="s">
        <v>187</v>
      </c>
      <c r="B22" s="5" t="s">
        <v>140</v>
      </c>
      <c r="C22" s="5" t="s">
        <v>188</v>
      </c>
      <c r="D22" s="5" t="s">
        <v>157</v>
      </c>
      <c r="E22" s="5" t="s">
        <v>189</v>
      </c>
      <c r="F22" s="5" t="s">
        <v>159</v>
      </c>
      <c r="G22" s="5" t="s">
        <v>160</v>
      </c>
      <c r="H22" s="5"/>
      <c r="I22" s="5"/>
      <c r="J22" s="5"/>
      <c r="K22" s="5"/>
      <c r="L22" s="5" t="s">
        <v>139</v>
      </c>
      <c r="M22" s="5" t="s">
        <v>139</v>
      </c>
      <c r="N22" s="5"/>
    </row>
    <row r="23" spans="1:14" x14ac:dyDescent="0.45">
      <c r="A23" t="s">
        <v>190</v>
      </c>
      <c r="B23" t="s">
        <v>140</v>
      </c>
      <c r="C23" t="s">
        <v>191</v>
      </c>
      <c r="D23" t="s">
        <v>157</v>
      </c>
      <c r="E23" t="s">
        <v>192</v>
      </c>
      <c r="F23" t="s">
        <v>159</v>
      </c>
      <c r="G23" t="s">
        <v>160</v>
      </c>
      <c r="L23" t="s">
        <v>139</v>
      </c>
      <c r="M23" t="s">
        <v>139</v>
      </c>
    </row>
    <row r="24" spans="1:14" x14ac:dyDescent="0.45">
      <c r="A24" s="5" t="s">
        <v>193</v>
      </c>
      <c r="B24" s="5" t="s">
        <v>140</v>
      </c>
      <c r="C24" s="5" t="s">
        <v>194</v>
      </c>
      <c r="D24" s="5" t="s">
        <v>157</v>
      </c>
      <c r="E24" s="5" t="s">
        <v>195</v>
      </c>
      <c r="F24" s="5" t="s">
        <v>159</v>
      </c>
      <c r="G24" s="5" t="s">
        <v>160</v>
      </c>
      <c r="H24" s="5"/>
      <c r="I24" s="5"/>
      <c r="J24" s="5"/>
      <c r="K24" s="5"/>
      <c r="L24" s="5" t="s">
        <v>139</v>
      </c>
      <c r="M24" s="5" t="s">
        <v>139</v>
      </c>
      <c r="N24" s="5"/>
    </row>
    <row r="25" spans="1:14" x14ac:dyDescent="0.45">
      <c r="A25" t="s">
        <v>196</v>
      </c>
      <c r="B25" t="s">
        <v>140</v>
      </c>
      <c r="C25" t="s">
        <v>197</v>
      </c>
      <c r="D25" t="s">
        <v>157</v>
      </c>
      <c r="E25" t="s">
        <v>198</v>
      </c>
      <c r="F25" t="s">
        <v>159</v>
      </c>
      <c r="G25" t="s">
        <v>160</v>
      </c>
      <c r="L25" t="s">
        <v>139</v>
      </c>
      <c r="M25" t="s">
        <v>139</v>
      </c>
    </row>
    <row r="26" spans="1:14" x14ac:dyDescent="0.45">
      <c r="A26" s="5" t="s">
        <v>199</v>
      </c>
      <c r="B26" s="5" t="s">
        <v>140</v>
      </c>
      <c r="C26" s="5" t="s">
        <v>200</v>
      </c>
      <c r="D26" s="5" t="s">
        <v>157</v>
      </c>
      <c r="E26" s="5" t="s">
        <v>201</v>
      </c>
      <c r="F26" s="5" t="s">
        <v>159</v>
      </c>
      <c r="G26" s="5" t="s">
        <v>160</v>
      </c>
      <c r="H26" s="5"/>
      <c r="I26" s="5"/>
      <c r="J26" s="5"/>
      <c r="K26" s="5"/>
      <c r="L26" s="5" t="s">
        <v>139</v>
      </c>
      <c r="M26" s="5" t="s">
        <v>139</v>
      </c>
      <c r="N26" s="5"/>
    </row>
    <row r="27" spans="1:14" x14ac:dyDescent="0.45">
      <c r="A27" t="s">
        <v>202</v>
      </c>
      <c r="B27" t="s">
        <v>140</v>
      </c>
      <c r="C27" t="s">
        <v>203</v>
      </c>
      <c r="D27" t="s">
        <v>157</v>
      </c>
      <c r="E27" t="s">
        <v>204</v>
      </c>
      <c r="F27" t="s">
        <v>159</v>
      </c>
      <c r="G27" t="s">
        <v>160</v>
      </c>
      <c r="L27" t="s">
        <v>139</v>
      </c>
      <c r="M27" t="s">
        <v>139</v>
      </c>
    </row>
    <row r="28" spans="1:14" x14ac:dyDescent="0.45">
      <c r="A28" s="5" t="s">
        <v>205</v>
      </c>
      <c r="B28" s="5" t="s">
        <v>140</v>
      </c>
      <c r="C28" s="5" t="s">
        <v>206</v>
      </c>
      <c r="D28" s="5" t="s">
        <v>157</v>
      </c>
      <c r="E28" s="5" t="s">
        <v>204</v>
      </c>
      <c r="F28" s="5" t="s">
        <v>159</v>
      </c>
      <c r="G28" s="5" t="s">
        <v>160</v>
      </c>
      <c r="H28" s="5"/>
      <c r="I28" s="5"/>
      <c r="J28" s="5" t="s">
        <v>139</v>
      </c>
      <c r="K28" s="5" t="s">
        <v>139</v>
      </c>
      <c r="L28" s="5"/>
      <c r="M28" s="5" t="s">
        <v>139</v>
      </c>
      <c r="N28" s="5"/>
    </row>
    <row r="29" spans="1:14" x14ac:dyDescent="0.45">
      <c r="A29" t="s">
        <v>207</v>
      </c>
      <c r="B29" t="s">
        <v>133</v>
      </c>
      <c r="C29" t="s">
        <v>208</v>
      </c>
      <c r="D29" t="s">
        <v>381</v>
      </c>
      <c r="E29" t="s">
        <v>209</v>
      </c>
      <c r="F29" t="s">
        <v>210</v>
      </c>
      <c r="G29" t="s">
        <v>138</v>
      </c>
      <c r="H29" t="s">
        <v>211</v>
      </c>
      <c r="J29" t="s">
        <v>139</v>
      </c>
      <c r="L29" t="s">
        <v>139</v>
      </c>
      <c r="M29" t="s">
        <v>139</v>
      </c>
    </row>
    <row r="30" spans="1:14" x14ac:dyDescent="0.45">
      <c r="A30" s="5" t="s">
        <v>212</v>
      </c>
      <c r="B30" s="5" t="s">
        <v>140</v>
      </c>
      <c r="C30" s="5" t="s">
        <v>213</v>
      </c>
      <c r="D30" s="5" t="s">
        <v>214</v>
      </c>
      <c r="E30" s="5" t="s">
        <v>215</v>
      </c>
      <c r="F30" s="5" t="s">
        <v>400</v>
      </c>
      <c r="G30" s="5" t="s">
        <v>138</v>
      </c>
      <c r="H30" s="5"/>
      <c r="I30" s="5"/>
      <c r="J30" s="5" t="s">
        <v>139</v>
      </c>
      <c r="K30" s="5"/>
      <c r="L30" s="5" t="s">
        <v>139</v>
      </c>
      <c r="M30" s="5" t="s">
        <v>139</v>
      </c>
      <c r="N30" s="5"/>
    </row>
    <row r="31" spans="1:14" x14ac:dyDescent="0.45">
      <c r="A31" s="6" t="s">
        <v>216</v>
      </c>
      <c r="B31" s="7"/>
      <c r="C31" s="7"/>
      <c r="D31" s="7"/>
      <c r="E31" s="7"/>
      <c r="F31" s="7"/>
      <c r="G31" s="7"/>
      <c r="H31" s="7"/>
      <c r="I31" s="7"/>
      <c r="J31" s="7"/>
      <c r="K31" s="7"/>
      <c r="L31" s="7"/>
      <c r="M31" s="7"/>
      <c r="N31" s="7"/>
    </row>
    <row r="32" spans="1:14" x14ac:dyDescent="0.45">
      <c r="A32" t="s">
        <v>217</v>
      </c>
      <c r="B32" t="s">
        <v>140</v>
      </c>
      <c r="C32" t="s">
        <v>218</v>
      </c>
      <c r="D32" t="s">
        <v>157</v>
      </c>
      <c r="E32" t="s">
        <v>219</v>
      </c>
      <c r="F32" t="s">
        <v>159</v>
      </c>
      <c r="G32" t="s">
        <v>160</v>
      </c>
      <c r="I32" t="s">
        <v>139</v>
      </c>
      <c r="J32" t="s">
        <v>139</v>
      </c>
      <c r="M32" t="s">
        <v>139</v>
      </c>
    </row>
    <row r="33" spans="1:14" x14ac:dyDescent="0.45">
      <c r="A33" s="5" t="s">
        <v>220</v>
      </c>
      <c r="B33" s="5" t="s">
        <v>140</v>
      </c>
      <c r="C33" s="5" t="s">
        <v>221</v>
      </c>
      <c r="D33" s="5" t="s">
        <v>157</v>
      </c>
      <c r="E33" s="5" t="s">
        <v>222</v>
      </c>
      <c r="F33" s="5" t="s">
        <v>159</v>
      </c>
      <c r="G33" s="5" t="s">
        <v>160</v>
      </c>
      <c r="H33" s="5"/>
      <c r="I33" s="5" t="s">
        <v>139</v>
      </c>
      <c r="J33" s="5" t="s">
        <v>139</v>
      </c>
      <c r="K33" s="5"/>
      <c r="L33" s="5" t="s">
        <v>139</v>
      </c>
      <c r="M33" s="5" t="s">
        <v>139</v>
      </c>
      <c r="N33" s="5"/>
    </row>
    <row r="34" spans="1:14" x14ac:dyDescent="0.45">
      <c r="A34" t="s">
        <v>223</v>
      </c>
      <c r="B34" t="s">
        <v>224</v>
      </c>
      <c r="C34" t="s">
        <v>225</v>
      </c>
      <c r="D34" t="s">
        <v>401</v>
      </c>
      <c r="E34" t="s">
        <v>227</v>
      </c>
      <c r="F34" t="s">
        <v>228</v>
      </c>
      <c r="G34" t="s">
        <v>138</v>
      </c>
      <c r="L34" t="s">
        <v>139</v>
      </c>
      <c r="M34" t="s">
        <v>139</v>
      </c>
    </row>
    <row r="35" spans="1:14" x14ac:dyDescent="0.45">
      <c r="A35" s="5" t="s">
        <v>229</v>
      </c>
      <c r="B35" s="5" t="s">
        <v>167</v>
      </c>
      <c r="C35" s="5" t="s">
        <v>225</v>
      </c>
      <c r="D35" s="5" t="s">
        <v>401</v>
      </c>
      <c r="E35" s="5" t="s">
        <v>227</v>
      </c>
      <c r="F35" s="5" t="s">
        <v>230</v>
      </c>
      <c r="G35" s="5" t="s">
        <v>138</v>
      </c>
      <c r="H35" s="5"/>
      <c r="I35" s="5"/>
      <c r="J35" s="5"/>
      <c r="K35" s="5"/>
      <c r="L35" s="5" t="s">
        <v>139</v>
      </c>
      <c r="M35" s="5" t="s">
        <v>139</v>
      </c>
      <c r="N35" s="5"/>
    </row>
    <row r="36" spans="1:14" x14ac:dyDescent="0.45">
      <c r="A36" t="s">
        <v>231</v>
      </c>
      <c r="B36" t="s">
        <v>167</v>
      </c>
      <c r="C36" t="s">
        <v>225</v>
      </c>
      <c r="D36" t="s">
        <v>401</v>
      </c>
      <c r="E36" t="s">
        <v>227</v>
      </c>
      <c r="F36" t="s">
        <v>232</v>
      </c>
      <c r="G36" t="s">
        <v>138</v>
      </c>
      <c r="L36" t="s">
        <v>139</v>
      </c>
      <c r="M36" t="s">
        <v>139</v>
      </c>
    </row>
    <row r="37" spans="1:14" x14ac:dyDescent="0.45">
      <c r="A37" s="5" t="s">
        <v>233</v>
      </c>
      <c r="B37" s="5" t="s">
        <v>224</v>
      </c>
      <c r="C37" s="5" t="s">
        <v>225</v>
      </c>
      <c r="D37" s="5" t="s">
        <v>401</v>
      </c>
      <c r="E37" s="5" t="s">
        <v>227</v>
      </c>
      <c r="F37" s="5" t="s">
        <v>234</v>
      </c>
      <c r="G37" s="5" t="s">
        <v>138</v>
      </c>
      <c r="H37" s="5"/>
      <c r="I37" s="5"/>
      <c r="J37" s="5"/>
      <c r="K37" s="5"/>
      <c r="L37" s="5" t="s">
        <v>139</v>
      </c>
      <c r="M37" s="5" t="s">
        <v>139</v>
      </c>
      <c r="N37" s="5"/>
    </row>
    <row r="38" spans="1:14" x14ac:dyDescent="0.45">
      <c r="A38" t="s">
        <v>235</v>
      </c>
      <c r="B38" t="s">
        <v>133</v>
      </c>
      <c r="C38" t="s">
        <v>236</v>
      </c>
      <c r="D38" t="s">
        <v>381</v>
      </c>
      <c r="E38" t="s">
        <v>402</v>
      </c>
      <c r="F38" t="s">
        <v>239</v>
      </c>
      <c r="G38" t="s">
        <v>145</v>
      </c>
      <c r="I38" t="s">
        <v>139</v>
      </c>
      <c r="J38" t="s">
        <v>139</v>
      </c>
      <c r="K38" t="s">
        <v>139</v>
      </c>
      <c r="L38" t="s">
        <v>139</v>
      </c>
      <c r="M38" t="s">
        <v>139</v>
      </c>
    </row>
    <row r="39" spans="1:14" x14ac:dyDescent="0.45">
      <c r="A39" s="5" t="s">
        <v>240</v>
      </c>
      <c r="B39" s="5" t="s">
        <v>140</v>
      </c>
      <c r="C39" s="5" t="s">
        <v>241</v>
      </c>
      <c r="D39" s="5" t="s">
        <v>157</v>
      </c>
      <c r="E39" s="5" t="s">
        <v>242</v>
      </c>
      <c r="F39" s="5" t="s">
        <v>159</v>
      </c>
      <c r="G39" s="5" t="s">
        <v>160</v>
      </c>
      <c r="H39" s="5"/>
      <c r="I39" s="5"/>
      <c r="J39" s="5" t="s">
        <v>139</v>
      </c>
      <c r="K39" s="5" t="s">
        <v>139</v>
      </c>
      <c r="L39" s="5" t="s">
        <v>139</v>
      </c>
      <c r="M39" s="5" t="s">
        <v>139</v>
      </c>
      <c r="N39" s="5"/>
    </row>
    <row r="40" spans="1:14" x14ac:dyDescent="0.45">
      <c r="A40" t="s">
        <v>243</v>
      </c>
      <c r="B40" t="s">
        <v>140</v>
      </c>
      <c r="C40" t="s">
        <v>244</v>
      </c>
      <c r="D40" t="s">
        <v>157</v>
      </c>
      <c r="E40" t="s">
        <v>242</v>
      </c>
      <c r="F40" t="s">
        <v>159</v>
      </c>
      <c r="G40" t="s">
        <v>160</v>
      </c>
      <c r="J40" t="s">
        <v>139</v>
      </c>
      <c r="L40" t="s">
        <v>139</v>
      </c>
      <c r="M40" t="s">
        <v>139</v>
      </c>
    </row>
    <row r="41" spans="1:14" x14ac:dyDescent="0.45">
      <c r="A41" s="5" t="s">
        <v>245</v>
      </c>
      <c r="B41" s="5" t="s">
        <v>140</v>
      </c>
      <c r="C41" s="5" t="s">
        <v>246</v>
      </c>
      <c r="D41" s="5" t="s">
        <v>157</v>
      </c>
      <c r="E41" s="5" t="s">
        <v>247</v>
      </c>
      <c r="F41" s="5" t="s">
        <v>159</v>
      </c>
      <c r="G41" s="5" t="s">
        <v>160</v>
      </c>
      <c r="H41" s="5"/>
      <c r="I41" s="5"/>
      <c r="J41" s="5"/>
      <c r="K41" s="5"/>
      <c r="L41" s="5" t="s">
        <v>139</v>
      </c>
      <c r="M41" s="5" t="s">
        <v>139</v>
      </c>
      <c r="N41" s="5"/>
    </row>
    <row r="42" spans="1:14" x14ac:dyDescent="0.45">
      <c r="A42" t="s">
        <v>248</v>
      </c>
      <c r="B42" t="s">
        <v>140</v>
      </c>
      <c r="C42" t="s">
        <v>249</v>
      </c>
      <c r="D42" t="s">
        <v>157</v>
      </c>
      <c r="E42" t="s">
        <v>247</v>
      </c>
      <c r="F42" t="s">
        <v>159</v>
      </c>
      <c r="G42" t="s">
        <v>160</v>
      </c>
      <c r="J42" t="s">
        <v>139</v>
      </c>
      <c r="K42" t="s">
        <v>139</v>
      </c>
      <c r="L42" t="s">
        <v>139</v>
      </c>
      <c r="M42" t="s">
        <v>139</v>
      </c>
    </row>
    <row r="43" spans="1:14" x14ac:dyDescent="0.45">
      <c r="A43" s="5" t="s">
        <v>250</v>
      </c>
      <c r="B43" s="5" t="s">
        <v>140</v>
      </c>
      <c r="C43" s="5" t="s">
        <v>251</v>
      </c>
      <c r="D43" s="5" t="s">
        <v>157</v>
      </c>
      <c r="E43" s="5" t="s">
        <v>252</v>
      </c>
      <c r="F43" s="5" t="s">
        <v>159</v>
      </c>
      <c r="G43" s="5" t="s">
        <v>160</v>
      </c>
      <c r="H43" s="5"/>
      <c r="I43" s="5"/>
      <c r="J43" s="5" t="s">
        <v>139</v>
      </c>
      <c r="K43" s="5"/>
      <c r="L43" s="5" t="s">
        <v>139</v>
      </c>
      <c r="M43" s="5" t="s">
        <v>139</v>
      </c>
      <c r="N43" s="5"/>
    </row>
    <row r="44" spans="1:14" x14ac:dyDescent="0.45">
      <c r="A44" t="s">
        <v>253</v>
      </c>
      <c r="B44" t="s">
        <v>140</v>
      </c>
      <c r="C44" t="s">
        <v>251</v>
      </c>
      <c r="D44" t="s">
        <v>157</v>
      </c>
      <c r="E44" t="s">
        <v>252</v>
      </c>
      <c r="F44" t="s">
        <v>159</v>
      </c>
      <c r="G44" t="s">
        <v>160</v>
      </c>
      <c r="J44" t="s">
        <v>139</v>
      </c>
      <c r="L44" t="s">
        <v>139</v>
      </c>
      <c r="M44" t="s">
        <v>139</v>
      </c>
    </row>
    <row r="45" spans="1:14" x14ac:dyDescent="0.45">
      <c r="A45" s="5" t="s">
        <v>254</v>
      </c>
      <c r="B45" s="5" t="s">
        <v>140</v>
      </c>
      <c r="C45" s="5" t="s">
        <v>255</v>
      </c>
      <c r="D45" s="5" t="s">
        <v>157</v>
      </c>
      <c r="E45" s="5" t="s">
        <v>256</v>
      </c>
      <c r="F45" s="5" t="s">
        <v>159</v>
      </c>
      <c r="G45" s="5" t="s">
        <v>160</v>
      </c>
      <c r="H45" s="5"/>
      <c r="I45" s="5" t="s">
        <v>139</v>
      </c>
      <c r="J45" s="5"/>
      <c r="K45" s="5"/>
      <c r="L45" s="5" t="s">
        <v>139</v>
      </c>
      <c r="M45" s="5" t="s">
        <v>139</v>
      </c>
      <c r="N45" s="5"/>
    </row>
    <row r="46" spans="1:14" x14ac:dyDescent="0.45">
      <c r="A46" t="s">
        <v>257</v>
      </c>
      <c r="B46" t="s">
        <v>140</v>
      </c>
      <c r="C46" t="s">
        <v>258</v>
      </c>
      <c r="D46" t="s">
        <v>157</v>
      </c>
      <c r="E46" t="s">
        <v>242</v>
      </c>
      <c r="F46" t="s">
        <v>159</v>
      </c>
      <c r="G46" t="s">
        <v>160</v>
      </c>
      <c r="I46" t="s">
        <v>139</v>
      </c>
      <c r="J46" t="s">
        <v>139</v>
      </c>
      <c r="L46" t="s">
        <v>139</v>
      </c>
      <c r="M46" t="s">
        <v>139</v>
      </c>
    </row>
    <row r="47" spans="1:14" x14ac:dyDescent="0.45">
      <c r="A47" s="5" t="s">
        <v>259</v>
      </c>
      <c r="B47" s="5" t="s">
        <v>140</v>
      </c>
      <c r="C47" s="5" t="s">
        <v>260</v>
      </c>
      <c r="D47" s="5" t="s">
        <v>157</v>
      </c>
      <c r="E47" s="5" t="s">
        <v>242</v>
      </c>
      <c r="F47" s="5" t="s">
        <v>159</v>
      </c>
      <c r="G47" s="5" t="s">
        <v>160</v>
      </c>
      <c r="H47" s="5"/>
      <c r="I47" s="5"/>
      <c r="J47" s="5"/>
      <c r="K47" s="5"/>
      <c r="L47" s="5"/>
      <c r="M47" s="5" t="s">
        <v>139</v>
      </c>
      <c r="N47" s="5"/>
    </row>
    <row r="48" spans="1:14" x14ac:dyDescent="0.45">
      <c r="A48" t="s">
        <v>261</v>
      </c>
      <c r="B48" t="s">
        <v>224</v>
      </c>
      <c r="C48" t="s">
        <v>262</v>
      </c>
      <c r="D48" t="s">
        <v>381</v>
      </c>
      <c r="E48" t="s">
        <v>263</v>
      </c>
      <c r="F48" t="s">
        <v>264</v>
      </c>
      <c r="G48" t="s">
        <v>138</v>
      </c>
      <c r="H48" t="s">
        <v>265</v>
      </c>
      <c r="L48" t="s">
        <v>139</v>
      </c>
      <c r="M48" t="s">
        <v>139</v>
      </c>
    </row>
    <row r="49" spans="1:14" x14ac:dyDescent="0.45">
      <c r="A49" s="5" t="s">
        <v>266</v>
      </c>
      <c r="B49" s="5" t="s">
        <v>167</v>
      </c>
      <c r="C49" s="5" t="s">
        <v>267</v>
      </c>
      <c r="D49" s="5" t="s">
        <v>401</v>
      </c>
      <c r="E49" s="5" t="s">
        <v>268</v>
      </c>
      <c r="F49" s="5" t="s">
        <v>269</v>
      </c>
      <c r="G49" s="5" t="s">
        <v>138</v>
      </c>
      <c r="H49" s="5" t="s">
        <v>270</v>
      </c>
      <c r="I49" s="5"/>
      <c r="J49" s="5"/>
      <c r="K49" s="5"/>
      <c r="L49" s="5" t="s">
        <v>139</v>
      </c>
      <c r="M49" s="5" t="s">
        <v>139</v>
      </c>
      <c r="N49" s="5"/>
    </row>
    <row r="50" spans="1:14" x14ac:dyDescent="0.45">
      <c r="A50" s="6" t="s">
        <v>271</v>
      </c>
      <c r="B50" s="7"/>
      <c r="C50" s="7"/>
      <c r="D50" s="7"/>
      <c r="E50" s="7"/>
      <c r="F50" s="7"/>
      <c r="G50" s="7"/>
      <c r="H50" s="7"/>
      <c r="I50" s="7"/>
      <c r="J50" s="7"/>
      <c r="K50" s="7"/>
      <c r="L50" s="7"/>
      <c r="M50" s="7"/>
      <c r="N50" s="7"/>
    </row>
    <row r="51" spans="1:14" x14ac:dyDescent="0.45">
      <c r="A51" t="s">
        <v>272</v>
      </c>
      <c r="B51" t="s">
        <v>224</v>
      </c>
      <c r="C51" t="s">
        <v>273</v>
      </c>
      <c r="D51" t="s">
        <v>403</v>
      </c>
      <c r="E51" t="s">
        <v>275</v>
      </c>
      <c r="F51" t="s">
        <v>276</v>
      </c>
      <c r="G51" t="s">
        <v>145</v>
      </c>
      <c r="H51" t="s">
        <v>404</v>
      </c>
      <c r="L51" t="s">
        <v>139</v>
      </c>
      <c r="M51" t="s">
        <v>139</v>
      </c>
    </row>
    <row r="52" spans="1:14" x14ac:dyDescent="0.45">
      <c r="A52" s="5" t="s">
        <v>277</v>
      </c>
      <c r="B52" s="5" t="s">
        <v>224</v>
      </c>
      <c r="C52" s="5" t="s">
        <v>273</v>
      </c>
      <c r="D52" s="5" t="s">
        <v>403</v>
      </c>
      <c r="E52" s="5" t="s">
        <v>275</v>
      </c>
      <c r="F52" s="5" t="s">
        <v>278</v>
      </c>
      <c r="G52" s="5" t="s">
        <v>145</v>
      </c>
      <c r="H52" s="5" t="s">
        <v>404</v>
      </c>
      <c r="I52" s="5"/>
      <c r="J52" s="5"/>
      <c r="K52" s="5"/>
      <c r="L52" s="5" t="s">
        <v>139</v>
      </c>
      <c r="M52" s="5" t="s">
        <v>139</v>
      </c>
      <c r="N52" s="5"/>
    </row>
    <row r="53" spans="1:14" x14ac:dyDescent="0.45">
      <c r="A53" t="s">
        <v>405</v>
      </c>
      <c r="B53" t="s">
        <v>280</v>
      </c>
      <c r="C53" t="s">
        <v>273</v>
      </c>
      <c r="D53" t="s">
        <v>381</v>
      </c>
      <c r="E53" t="s">
        <v>406</v>
      </c>
      <c r="F53" t="s">
        <v>407</v>
      </c>
      <c r="G53" t="s">
        <v>145</v>
      </c>
      <c r="M53" t="s">
        <v>139</v>
      </c>
    </row>
    <row r="54" spans="1:14" x14ac:dyDescent="0.45">
      <c r="A54" s="5" t="s">
        <v>279</v>
      </c>
      <c r="B54" s="5" t="s">
        <v>280</v>
      </c>
      <c r="C54" s="5" t="s">
        <v>273</v>
      </c>
      <c r="D54" s="5" t="s">
        <v>381</v>
      </c>
      <c r="E54" s="5" t="s">
        <v>281</v>
      </c>
      <c r="F54" s="5" t="s">
        <v>282</v>
      </c>
      <c r="G54" s="5" t="s">
        <v>145</v>
      </c>
      <c r="H54" s="5"/>
      <c r="I54" s="5"/>
      <c r="J54" s="5"/>
      <c r="K54" s="5"/>
      <c r="L54" s="5" t="s">
        <v>139</v>
      </c>
      <c r="M54" s="5" t="s">
        <v>139</v>
      </c>
      <c r="N54" s="5"/>
    </row>
    <row r="55" spans="1:14" x14ac:dyDescent="0.45">
      <c r="A55" t="s">
        <v>283</v>
      </c>
      <c r="B55" t="s">
        <v>280</v>
      </c>
      <c r="C55" t="s">
        <v>273</v>
      </c>
      <c r="D55" t="s">
        <v>381</v>
      </c>
      <c r="E55" t="s">
        <v>284</v>
      </c>
      <c r="F55" t="s">
        <v>285</v>
      </c>
      <c r="G55" t="s">
        <v>145</v>
      </c>
      <c r="L55" t="s">
        <v>139</v>
      </c>
      <c r="M55" t="s">
        <v>139</v>
      </c>
    </row>
    <row r="56" spans="1:14" x14ac:dyDescent="0.45">
      <c r="A56" s="5" t="s">
        <v>286</v>
      </c>
      <c r="B56" s="5" t="s">
        <v>280</v>
      </c>
      <c r="C56" s="5" t="s">
        <v>273</v>
      </c>
      <c r="D56" s="5" t="s">
        <v>381</v>
      </c>
      <c r="E56" s="5" t="s">
        <v>287</v>
      </c>
      <c r="F56" s="5" t="s">
        <v>288</v>
      </c>
      <c r="G56" s="5" t="s">
        <v>145</v>
      </c>
      <c r="H56" s="5"/>
      <c r="I56" s="5"/>
      <c r="J56" s="5"/>
      <c r="K56" s="5"/>
      <c r="L56" s="5" t="s">
        <v>139</v>
      </c>
      <c r="M56" s="5" t="s">
        <v>139</v>
      </c>
      <c r="N56" s="5"/>
    </row>
    <row r="57" spans="1:14" x14ac:dyDescent="0.45">
      <c r="A57" t="s">
        <v>408</v>
      </c>
      <c r="B57" t="s">
        <v>140</v>
      </c>
      <c r="C57" t="s">
        <v>409</v>
      </c>
      <c r="D57" t="s">
        <v>410</v>
      </c>
      <c r="E57" t="s">
        <v>411</v>
      </c>
      <c r="F57" t="s">
        <v>412</v>
      </c>
      <c r="G57" t="s">
        <v>145</v>
      </c>
      <c r="M57" t="s">
        <v>139</v>
      </c>
    </row>
    <row r="58" spans="1:14" x14ac:dyDescent="0.45">
      <c r="A58" s="6" t="s">
        <v>289</v>
      </c>
      <c r="B58" s="7"/>
      <c r="C58" s="7"/>
      <c r="D58" s="7"/>
      <c r="E58" s="7"/>
      <c r="F58" s="7"/>
      <c r="G58" s="7"/>
      <c r="H58" s="7"/>
      <c r="I58" s="7"/>
      <c r="J58" s="7"/>
      <c r="K58" s="7"/>
      <c r="L58" s="7"/>
      <c r="M58" s="7"/>
      <c r="N58" s="7"/>
    </row>
    <row r="59" spans="1:14" x14ac:dyDescent="0.45">
      <c r="A59" s="5" t="s">
        <v>290</v>
      </c>
      <c r="B59" s="5" t="s">
        <v>140</v>
      </c>
      <c r="C59" s="5" t="s">
        <v>291</v>
      </c>
      <c r="D59" s="5" t="s">
        <v>292</v>
      </c>
      <c r="E59" s="5" t="s">
        <v>293</v>
      </c>
      <c r="F59" s="5" t="s">
        <v>159</v>
      </c>
      <c r="G59" s="5" t="s">
        <v>160</v>
      </c>
      <c r="H59" s="5"/>
      <c r="I59" s="5" t="s">
        <v>139</v>
      </c>
      <c r="J59" s="5" t="s">
        <v>139</v>
      </c>
      <c r="K59" s="5"/>
      <c r="L59" s="5" t="s">
        <v>139</v>
      </c>
      <c r="M59" s="5" t="s">
        <v>139</v>
      </c>
      <c r="N59" s="5"/>
    </row>
    <row r="60" spans="1:14" x14ac:dyDescent="0.45">
      <c r="A60" t="s">
        <v>294</v>
      </c>
      <c r="B60" t="s">
        <v>140</v>
      </c>
      <c r="C60" t="s">
        <v>291</v>
      </c>
      <c r="D60" t="s">
        <v>292</v>
      </c>
      <c r="E60" t="s">
        <v>295</v>
      </c>
      <c r="F60" t="s">
        <v>159</v>
      </c>
      <c r="G60" t="s">
        <v>160</v>
      </c>
      <c r="I60" t="s">
        <v>139</v>
      </c>
      <c r="J60" t="s">
        <v>139</v>
      </c>
      <c r="L60" t="s">
        <v>139</v>
      </c>
      <c r="M60" t="s">
        <v>139</v>
      </c>
    </row>
    <row r="61" spans="1:14" x14ac:dyDescent="0.45">
      <c r="A61" s="5" t="s">
        <v>296</v>
      </c>
      <c r="B61" s="5" t="s">
        <v>133</v>
      </c>
      <c r="C61" s="5" t="s">
        <v>297</v>
      </c>
      <c r="D61" s="5" t="s">
        <v>381</v>
      </c>
      <c r="E61" s="5" t="s">
        <v>413</v>
      </c>
      <c r="F61" s="5" t="s">
        <v>299</v>
      </c>
      <c r="G61" s="5" t="s">
        <v>138</v>
      </c>
      <c r="H61" s="5"/>
      <c r="I61" s="5" t="s">
        <v>139</v>
      </c>
      <c r="J61" s="5" t="s">
        <v>139</v>
      </c>
      <c r="K61" s="5" t="s">
        <v>139</v>
      </c>
      <c r="L61" s="5" t="s">
        <v>139</v>
      </c>
      <c r="M61" s="5" t="s">
        <v>139</v>
      </c>
      <c r="N61" s="5"/>
    </row>
    <row r="62" spans="1:14" x14ac:dyDescent="0.45">
      <c r="A62" t="s">
        <v>300</v>
      </c>
      <c r="B62" t="s">
        <v>140</v>
      </c>
      <c r="C62" t="s">
        <v>301</v>
      </c>
      <c r="D62" t="s">
        <v>135</v>
      </c>
      <c r="E62" t="s">
        <v>302</v>
      </c>
      <c r="F62" t="s">
        <v>159</v>
      </c>
      <c r="G62" t="s">
        <v>160</v>
      </c>
      <c r="J62" t="s">
        <v>139</v>
      </c>
      <c r="L62" t="s">
        <v>139</v>
      </c>
      <c r="M62" t="s">
        <v>139</v>
      </c>
    </row>
    <row r="63" spans="1:14" x14ac:dyDescent="0.45">
      <c r="A63" s="5" t="s">
        <v>303</v>
      </c>
      <c r="B63" s="5" t="s">
        <v>140</v>
      </c>
      <c r="C63" s="5" t="s">
        <v>304</v>
      </c>
      <c r="D63" s="5" t="s">
        <v>135</v>
      </c>
      <c r="E63" s="5" t="s">
        <v>305</v>
      </c>
      <c r="F63" s="5" t="s">
        <v>159</v>
      </c>
      <c r="G63" s="5" t="s">
        <v>160</v>
      </c>
      <c r="H63" s="5"/>
      <c r="I63" s="5"/>
      <c r="J63" s="5" t="s">
        <v>139</v>
      </c>
      <c r="K63" s="5"/>
      <c r="L63" s="5" t="s">
        <v>139</v>
      </c>
      <c r="M63" s="5" t="s">
        <v>139</v>
      </c>
      <c r="N63" s="5"/>
    </row>
    <row r="64" spans="1:14" x14ac:dyDescent="0.45">
      <c r="A64" t="s">
        <v>306</v>
      </c>
      <c r="B64" t="s">
        <v>133</v>
      </c>
      <c r="C64" t="s">
        <v>308</v>
      </c>
      <c r="D64" t="s">
        <v>414</v>
      </c>
      <c r="E64" t="s">
        <v>415</v>
      </c>
      <c r="F64" t="s">
        <v>457</v>
      </c>
      <c r="G64" t="s">
        <v>138</v>
      </c>
      <c r="H64" t="s">
        <v>458</v>
      </c>
      <c r="I64" t="s">
        <v>139</v>
      </c>
      <c r="J64" t="s">
        <v>139</v>
      </c>
      <c r="L64" t="s">
        <v>139</v>
      </c>
      <c r="M64" t="s">
        <v>139</v>
      </c>
    </row>
    <row r="65" spans="1:14" x14ac:dyDescent="0.45">
      <c r="A65" s="5" t="s">
        <v>311</v>
      </c>
      <c r="B65" s="5" t="s">
        <v>140</v>
      </c>
      <c r="C65" s="5" t="s">
        <v>312</v>
      </c>
      <c r="D65" s="5" t="s">
        <v>135</v>
      </c>
      <c r="E65" s="5" t="s">
        <v>313</v>
      </c>
      <c r="F65" s="5" t="s">
        <v>159</v>
      </c>
      <c r="G65" s="5" t="s">
        <v>160</v>
      </c>
      <c r="H65" s="5"/>
      <c r="I65" s="5" t="s">
        <v>139</v>
      </c>
      <c r="J65" s="5" t="s">
        <v>139</v>
      </c>
      <c r="K65" s="5"/>
      <c r="L65" s="5"/>
      <c r="M65" s="5" t="s">
        <v>139</v>
      </c>
      <c r="N65" s="5"/>
    </row>
    <row r="66" spans="1:14" x14ac:dyDescent="0.45">
      <c r="A66" t="s">
        <v>314</v>
      </c>
      <c r="B66" t="s">
        <v>140</v>
      </c>
      <c r="C66" t="s">
        <v>315</v>
      </c>
      <c r="D66" t="s">
        <v>135</v>
      </c>
      <c r="E66" t="s">
        <v>316</v>
      </c>
      <c r="F66" t="s">
        <v>159</v>
      </c>
      <c r="G66" t="s">
        <v>160</v>
      </c>
      <c r="J66" t="s">
        <v>139</v>
      </c>
      <c r="M66" t="s">
        <v>139</v>
      </c>
    </row>
    <row r="67" spans="1:14" x14ac:dyDescent="0.45">
      <c r="A67" s="5" t="s">
        <v>317</v>
      </c>
      <c r="B67" s="5" t="s">
        <v>133</v>
      </c>
      <c r="C67" s="5" t="s">
        <v>459</v>
      </c>
      <c r="D67" s="5" t="s">
        <v>381</v>
      </c>
      <c r="E67" s="5"/>
      <c r="F67" s="5" t="s">
        <v>319</v>
      </c>
      <c r="G67" s="5" t="s">
        <v>138</v>
      </c>
      <c r="H67" s="5"/>
      <c r="I67" s="5" t="s">
        <v>139</v>
      </c>
      <c r="J67" s="5" t="s">
        <v>139</v>
      </c>
      <c r="K67" s="5"/>
      <c r="L67" s="5" t="s">
        <v>139</v>
      </c>
      <c r="M67" s="5" t="s">
        <v>139</v>
      </c>
      <c r="N67" s="5"/>
    </row>
    <row r="68" spans="1:14" x14ac:dyDescent="0.45">
      <c r="A68" t="s">
        <v>320</v>
      </c>
      <c r="B68" t="s">
        <v>140</v>
      </c>
      <c r="C68" t="s">
        <v>321</v>
      </c>
      <c r="D68" t="s">
        <v>135</v>
      </c>
      <c r="E68" t="s">
        <v>322</v>
      </c>
      <c r="F68" t="s">
        <v>400</v>
      </c>
      <c r="G68" t="s">
        <v>160</v>
      </c>
      <c r="L68" t="s">
        <v>139</v>
      </c>
      <c r="M68" t="s">
        <v>139</v>
      </c>
    </row>
    <row r="69" spans="1:14" x14ac:dyDescent="0.45">
      <c r="A69" s="5" t="s">
        <v>323</v>
      </c>
      <c r="B69" s="5" t="s">
        <v>140</v>
      </c>
      <c r="C69" s="5" t="s">
        <v>324</v>
      </c>
      <c r="D69" s="5" t="s">
        <v>135</v>
      </c>
      <c r="E69" s="5" t="s">
        <v>325</v>
      </c>
      <c r="F69" s="5" t="s">
        <v>400</v>
      </c>
      <c r="G69" s="5" t="s">
        <v>160</v>
      </c>
      <c r="H69" s="5"/>
      <c r="I69" s="5"/>
      <c r="J69" s="5"/>
      <c r="K69" s="5"/>
      <c r="L69" s="5" t="s">
        <v>139</v>
      </c>
      <c r="M69" s="5" t="s">
        <v>139</v>
      </c>
      <c r="N69" s="5"/>
    </row>
    <row r="70" spans="1:14" x14ac:dyDescent="0.45">
      <c r="A70" t="s">
        <v>326</v>
      </c>
      <c r="B70" t="s">
        <v>140</v>
      </c>
      <c r="C70" t="s">
        <v>327</v>
      </c>
      <c r="D70" t="s">
        <v>135</v>
      </c>
      <c r="E70" t="s">
        <v>328</v>
      </c>
      <c r="F70" t="s">
        <v>400</v>
      </c>
      <c r="G70" t="s">
        <v>160</v>
      </c>
      <c r="I70" t="s">
        <v>139</v>
      </c>
      <c r="J70" t="s">
        <v>139</v>
      </c>
      <c r="L70" t="s">
        <v>139</v>
      </c>
      <c r="M70" t="s">
        <v>139</v>
      </c>
    </row>
    <row r="71" spans="1:14" x14ac:dyDescent="0.45">
      <c r="A71" s="6" t="s">
        <v>329</v>
      </c>
      <c r="B71" s="7"/>
      <c r="C71" s="7"/>
      <c r="D71" s="7"/>
      <c r="E71" s="7"/>
      <c r="F71" s="7"/>
      <c r="G71" s="7"/>
      <c r="H71" s="7"/>
      <c r="I71" s="7"/>
      <c r="J71" s="7"/>
      <c r="K71" s="7"/>
      <c r="L71" s="7"/>
      <c r="M71" s="7"/>
      <c r="N71" s="7"/>
    </row>
    <row r="72" spans="1:14" x14ac:dyDescent="0.45">
      <c r="A72" s="5" t="s">
        <v>330</v>
      </c>
      <c r="B72" s="5" t="s">
        <v>307</v>
      </c>
      <c r="C72" s="5" t="s">
        <v>331</v>
      </c>
      <c r="D72" s="5" t="s">
        <v>381</v>
      </c>
      <c r="E72" s="5"/>
      <c r="F72" s="5" t="s">
        <v>418</v>
      </c>
      <c r="G72" s="5" t="s">
        <v>138</v>
      </c>
      <c r="H72" s="5" t="s">
        <v>460</v>
      </c>
      <c r="I72" s="5" t="s">
        <v>139</v>
      </c>
      <c r="J72" s="5" t="s">
        <v>139</v>
      </c>
      <c r="K72" s="5"/>
      <c r="L72" s="5" t="s">
        <v>139</v>
      </c>
      <c r="M72" s="5" t="s">
        <v>139</v>
      </c>
      <c r="N72" s="5"/>
    </row>
    <row r="73" spans="1:14" x14ac:dyDescent="0.45">
      <c r="A73" t="s">
        <v>333</v>
      </c>
      <c r="B73" t="s">
        <v>140</v>
      </c>
      <c r="C73" t="s">
        <v>334</v>
      </c>
      <c r="D73" t="s">
        <v>335</v>
      </c>
      <c r="E73" t="s">
        <v>336</v>
      </c>
      <c r="F73" t="s">
        <v>159</v>
      </c>
      <c r="G73" t="s">
        <v>160</v>
      </c>
      <c r="I73" t="s">
        <v>139</v>
      </c>
      <c r="J73" t="s">
        <v>139</v>
      </c>
      <c r="L73" t="s">
        <v>139</v>
      </c>
      <c r="M73" t="s">
        <v>139</v>
      </c>
    </row>
    <row r="74" spans="1:14" x14ac:dyDescent="0.45">
      <c r="A74" s="5" t="s">
        <v>337</v>
      </c>
      <c r="B74" s="5" t="s">
        <v>140</v>
      </c>
      <c r="C74" s="5" t="s">
        <v>338</v>
      </c>
      <c r="D74" s="5" t="s">
        <v>335</v>
      </c>
      <c r="E74" s="5" t="s">
        <v>339</v>
      </c>
      <c r="F74" s="5" t="s">
        <v>159</v>
      </c>
      <c r="G74" s="5" t="s">
        <v>160</v>
      </c>
      <c r="H74" s="5"/>
      <c r="I74" s="5" t="s">
        <v>139</v>
      </c>
      <c r="J74" s="5" t="s">
        <v>139</v>
      </c>
      <c r="K74" s="5"/>
      <c r="L74" s="5" t="s">
        <v>139</v>
      </c>
      <c r="M74" s="5" t="s">
        <v>139</v>
      </c>
      <c r="N74" s="5"/>
    </row>
    <row r="75" spans="1:14" x14ac:dyDescent="0.45">
      <c r="A75" t="s">
        <v>340</v>
      </c>
      <c r="B75" t="s">
        <v>140</v>
      </c>
      <c r="C75" t="s">
        <v>341</v>
      </c>
      <c r="D75" t="s">
        <v>335</v>
      </c>
      <c r="E75" t="s">
        <v>342</v>
      </c>
      <c r="F75" t="s">
        <v>159</v>
      </c>
      <c r="G75" t="s">
        <v>160</v>
      </c>
      <c r="I75" t="s">
        <v>139</v>
      </c>
      <c r="J75" t="s">
        <v>139</v>
      </c>
      <c r="L75" t="s">
        <v>139</v>
      </c>
      <c r="M75" t="s">
        <v>139</v>
      </c>
    </row>
    <row r="76" spans="1:14" x14ac:dyDescent="0.45">
      <c r="A76" s="5" t="s">
        <v>343</v>
      </c>
      <c r="B76" s="5" t="s">
        <v>140</v>
      </c>
      <c r="C76" s="5" t="s">
        <v>344</v>
      </c>
      <c r="D76" s="5" t="s">
        <v>135</v>
      </c>
      <c r="E76" s="5" t="s">
        <v>345</v>
      </c>
      <c r="F76" s="5" t="s">
        <v>159</v>
      </c>
      <c r="G76" s="5" t="s">
        <v>138</v>
      </c>
      <c r="H76" s="5"/>
      <c r="I76" s="5" t="s">
        <v>139</v>
      </c>
      <c r="J76" s="5" t="s">
        <v>139</v>
      </c>
      <c r="K76" s="5"/>
      <c r="L76" s="5"/>
      <c r="M76" s="5" t="s">
        <v>139</v>
      </c>
      <c r="N76" s="5"/>
    </row>
    <row r="77" spans="1:14" x14ac:dyDescent="0.45">
      <c r="A77" t="s">
        <v>346</v>
      </c>
      <c r="B77" t="s">
        <v>140</v>
      </c>
      <c r="C77" t="s">
        <v>347</v>
      </c>
      <c r="D77" t="s">
        <v>135</v>
      </c>
      <c r="E77" t="s">
        <v>345</v>
      </c>
      <c r="F77" t="s">
        <v>159</v>
      </c>
      <c r="G77" t="s">
        <v>138</v>
      </c>
      <c r="I77" t="s">
        <v>139</v>
      </c>
      <c r="J77" t="s">
        <v>139</v>
      </c>
      <c r="L77" t="s">
        <v>139</v>
      </c>
      <c r="M77" t="s">
        <v>139</v>
      </c>
    </row>
    <row r="78" spans="1:14" x14ac:dyDescent="0.45">
      <c r="A78" s="5" t="s">
        <v>348</v>
      </c>
      <c r="B78" s="5" t="s">
        <v>140</v>
      </c>
      <c r="C78" s="5" t="s">
        <v>349</v>
      </c>
      <c r="D78" s="5" t="s">
        <v>335</v>
      </c>
      <c r="E78" s="5" t="s">
        <v>350</v>
      </c>
      <c r="F78" s="5" t="s">
        <v>159</v>
      </c>
      <c r="G78" s="5" t="s">
        <v>160</v>
      </c>
      <c r="H78" s="5"/>
      <c r="I78" s="5" t="s">
        <v>139</v>
      </c>
      <c r="J78" s="5" t="s">
        <v>139</v>
      </c>
      <c r="K78" s="5"/>
      <c r="L78" s="5"/>
      <c r="M78" s="5" t="s">
        <v>139</v>
      </c>
      <c r="N78" s="5"/>
    </row>
    <row r="79" spans="1:14" x14ac:dyDescent="0.45">
      <c r="A79" t="s">
        <v>351</v>
      </c>
      <c r="B79" t="s">
        <v>307</v>
      </c>
      <c r="C79" t="s">
        <v>352</v>
      </c>
      <c r="D79" t="s">
        <v>381</v>
      </c>
      <c r="F79" t="s">
        <v>420</v>
      </c>
      <c r="G79" t="s">
        <v>138</v>
      </c>
      <c r="H79" t="s">
        <v>461</v>
      </c>
      <c r="I79" t="s">
        <v>139</v>
      </c>
      <c r="J79" t="s">
        <v>139</v>
      </c>
      <c r="L79" t="s">
        <v>139</v>
      </c>
      <c r="M79" t="s">
        <v>139</v>
      </c>
    </row>
    <row r="80" spans="1:14" x14ac:dyDescent="0.45">
      <c r="A80" s="5" t="s">
        <v>354</v>
      </c>
      <c r="B80" s="5" t="s">
        <v>140</v>
      </c>
      <c r="C80" s="5" t="s">
        <v>355</v>
      </c>
      <c r="D80" s="5" t="s">
        <v>335</v>
      </c>
      <c r="E80" s="5" t="s">
        <v>356</v>
      </c>
      <c r="F80" s="5" t="s">
        <v>159</v>
      </c>
      <c r="G80" s="5" t="s">
        <v>160</v>
      </c>
      <c r="H80" s="5" t="s">
        <v>357</v>
      </c>
      <c r="I80" s="5" t="s">
        <v>139</v>
      </c>
      <c r="J80" s="5" t="s">
        <v>139</v>
      </c>
      <c r="K80" s="5"/>
      <c r="L80" s="5" t="s">
        <v>139</v>
      </c>
      <c r="M80" s="5" t="s">
        <v>139</v>
      </c>
      <c r="N80" s="5"/>
    </row>
    <row r="81" spans="1:14" x14ac:dyDescent="0.45">
      <c r="A81" t="s">
        <v>422</v>
      </c>
      <c r="B81" t="s">
        <v>133</v>
      </c>
      <c r="C81" t="s">
        <v>423</v>
      </c>
      <c r="D81" t="s">
        <v>424</v>
      </c>
      <c r="E81" t="s">
        <v>425</v>
      </c>
      <c r="F81" t="s">
        <v>426</v>
      </c>
      <c r="G81" t="s">
        <v>145</v>
      </c>
      <c r="J81" t="s">
        <v>139</v>
      </c>
      <c r="L81" t="s">
        <v>139</v>
      </c>
      <c r="M81" t="s">
        <v>139</v>
      </c>
    </row>
    <row r="82" spans="1:14" x14ac:dyDescent="0.45">
      <c r="A82" s="6" t="s">
        <v>358</v>
      </c>
      <c r="B82" s="7"/>
      <c r="C82" s="7"/>
      <c r="D82" s="7"/>
      <c r="E82" s="7"/>
      <c r="F82" s="7"/>
      <c r="G82" s="7"/>
      <c r="H82" s="7"/>
      <c r="I82" s="7"/>
      <c r="J82" s="7"/>
      <c r="K82" s="7"/>
      <c r="L82" s="7"/>
      <c r="M82" s="7"/>
      <c r="N82" s="7"/>
    </row>
    <row r="83" spans="1:14" x14ac:dyDescent="0.45">
      <c r="A83" s="5" t="s">
        <v>441</v>
      </c>
      <c r="B83" s="5" t="s">
        <v>224</v>
      </c>
      <c r="C83" s="5" t="s">
        <v>442</v>
      </c>
      <c r="D83" s="5" t="s">
        <v>381</v>
      </c>
      <c r="E83" s="5" t="s">
        <v>462</v>
      </c>
      <c r="F83" s="5" t="s">
        <v>444</v>
      </c>
      <c r="G83" s="5" t="s">
        <v>138</v>
      </c>
      <c r="H83" s="5" t="s">
        <v>463</v>
      </c>
      <c r="I83" s="5"/>
      <c r="J83" s="5"/>
      <c r="K83" s="5"/>
      <c r="L83" s="5" t="s">
        <v>139</v>
      </c>
      <c r="M83" s="5" t="s">
        <v>139</v>
      </c>
      <c r="N83" s="5"/>
    </row>
    <row r="84" spans="1:14" x14ac:dyDescent="0.45">
      <c r="A84" t="s">
        <v>452</v>
      </c>
      <c r="B84" t="s">
        <v>133</v>
      </c>
      <c r="C84" t="s">
        <v>453</v>
      </c>
      <c r="D84" t="s">
        <v>381</v>
      </c>
      <c r="E84" t="s">
        <v>454</v>
      </c>
      <c r="F84" t="s">
        <v>455</v>
      </c>
      <c r="G84" t="s">
        <v>138</v>
      </c>
      <c r="M84" t="s">
        <v>139</v>
      </c>
    </row>
  </sheetData>
  <mergeCells count="12">
    <mergeCell ref="A1:N1"/>
    <mergeCell ref="A82:N82"/>
    <mergeCell ref="A71:N71"/>
    <mergeCell ref="B3:N3"/>
    <mergeCell ref="B2:N2"/>
    <mergeCell ref="A58:N58"/>
    <mergeCell ref="B5:N5"/>
    <mergeCell ref="A31:N31"/>
    <mergeCell ref="A12:N12"/>
    <mergeCell ref="A50:N50"/>
    <mergeCell ref="B4:N4"/>
    <mergeCell ref="A7:N7"/>
  </mergeCells>
  <dataValidations count="1">
    <dataValidation type="list" allowBlank="1" errorTitle="Invalid Review Status" error="Choose a review status from the list." sqref="N2:N84" xr:uid="{00000000-0002-0000-09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84"/>
  <sheetViews>
    <sheetView workbookViewId="0">
      <pane ySplit="6" topLeftCell="A7" activePane="bottomLeft" state="frozen"/>
      <selection pane="bottomLeft"/>
    </sheetView>
  </sheetViews>
  <sheetFormatPr defaultRowHeight="14.25" x14ac:dyDescent="0.45"/>
  <cols>
    <col min="1" max="1" width="50" customWidth="1"/>
    <col min="2" max="2" width="25"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465</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40</v>
      </c>
      <c r="C4" s="7"/>
      <c r="D4" s="7"/>
      <c r="E4" s="7"/>
      <c r="F4" s="7"/>
      <c r="G4" s="7"/>
      <c r="H4" s="7"/>
      <c r="I4" s="7"/>
      <c r="J4" s="7"/>
      <c r="K4" s="7"/>
      <c r="L4" s="7"/>
      <c r="M4" s="7"/>
      <c r="N4" s="7"/>
    </row>
    <row r="5" spans="1:14" x14ac:dyDescent="0.45">
      <c r="A5" s="4" t="s">
        <v>21</v>
      </c>
      <c r="B5" s="7" t="s">
        <v>53</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414</v>
      </c>
      <c r="E62" t="s">
        <v>415</v>
      </c>
      <c r="F62" t="s">
        <v>309</v>
      </c>
      <c r="G62" t="s">
        <v>138</v>
      </c>
      <c r="H62" t="s">
        <v>416</v>
      </c>
      <c r="I62" t="s">
        <v>139</v>
      </c>
      <c r="J62" t="s">
        <v>139</v>
      </c>
      <c r="M62" t="s">
        <v>139</v>
      </c>
    </row>
    <row r="63" spans="1:14" x14ac:dyDescent="0.45">
      <c r="A63" s="5" t="s">
        <v>314</v>
      </c>
      <c r="B63" s="5" t="s">
        <v>140</v>
      </c>
      <c r="C63" s="5" t="s">
        <v>315</v>
      </c>
      <c r="D63" s="5" t="s">
        <v>135</v>
      </c>
      <c r="E63" s="5" t="s">
        <v>316</v>
      </c>
      <c r="F63" s="5" t="s">
        <v>159</v>
      </c>
      <c r="G63" s="5" t="s">
        <v>160</v>
      </c>
      <c r="H63" s="5"/>
      <c r="I63" s="5"/>
      <c r="J63" s="5" t="s">
        <v>139</v>
      </c>
      <c r="K63" s="5"/>
      <c r="L63" s="5"/>
      <c r="M63" s="5" t="s">
        <v>139</v>
      </c>
      <c r="N63" s="5"/>
    </row>
    <row r="64" spans="1:14" x14ac:dyDescent="0.45">
      <c r="A64" t="s">
        <v>317</v>
      </c>
      <c r="B64" t="s">
        <v>224</v>
      </c>
      <c r="D64" t="s">
        <v>381</v>
      </c>
      <c r="F64" t="s">
        <v>319</v>
      </c>
      <c r="G64" t="s">
        <v>138</v>
      </c>
      <c r="H64" t="s">
        <v>417</v>
      </c>
      <c r="I64" t="s">
        <v>139</v>
      </c>
      <c r="J64" t="s">
        <v>139</v>
      </c>
      <c r="M64" t="s">
        <v>139</v>
      </c>
    </row>
    <row r="65" spans="1:14" x14ac:dyDescent="0.45">
      <c r="A65" s="6" t="s">
        <v>329</v>
      </c>
      <c r="B65" s="7"/>
      <c r="C65" s="7"/>
      <c r="D65" s="7"/>
      <c r="E65" s="7"/>
      <c r="F65" s="7"/>
      <c r="G65" s="7"/>
      <c r="H65" s="7"/>
      <c r="I65" s="7"/>
      <c r="J65" s="7"/>
      <c r="K65" s="7"/>
      <c r="L65" s="7"/>
      <c r="M65" s="7"/>
      <c r="N65" s="7"/>
    </row>
    <row r="66" spans="1:14" x14ac:dyDescent="0.45">
      <c r="A66" s="5" t="s">
        <v>330</v>
      </c>
      <c r="B66" s="5" t="s">
        <v>307</v>
      </c>
      <c r="C66" s="5" t="s">
        <v>331</v>
      </c>
      <c r="D66" s="5" t="s">
        <v>381</v>
      </c>
      <c r="E66" s="5"/>
      <c r="F66" s="5" t="s">
        <v>418</v>
      </c>
      <c r="G66" s="5" t="s">
        <v>138</v>
      </c>
      <c r="H66" s="5" t="s">
        <v>419</v>
      </c>
      <c r="I66" s="5" t="s">
        <v>139</v>
      </c>
      <c r="J66" s="5" t="s">
        <v>139</v>
      </c>
      <c r="K66" s="5"/>
      <c r="L66" s="5"/>
      <c r="M66" s="5" t="s">
        <v>139</v>
      </c>
      <c r="N66" s="5"/>
    </row>
    <row r="67" spans="1:14" x14ac:dyDescent="0.45">
      <c r="A67" t="s">
        <v>333</v>
      </c>
      <c r="B67" t="s">
        <v>140</v>
      </c>
      <c r="C67" t="s">
        <v>334</v>
      </c>
      <c r="D67" t="s">
        <v>335</v>
      </c>
      <c r="E67" t="s">
        <v>336</v>
      </c>
      <c r="F67" t="s">
        <v>159</v>
      </c>
      <c r="G67" t="s">
        <v>160</v>
      </c>
      <c r="I67" t="s">
        <v>139</v>
      </c>
      <c r="J67" t="s">
        <v>139</v>
      </c>
      <c r="M67" t="s">
        <v>139</v>
      </c>
    </row>
    <row r="68" spans="1:14" x14ac:dyDescent="0.45">
      <c r="A68" s="5" t="s">
        <v>337</v>
      </c>
      <c r="B68" s="5" t="s">
        <v>140</v>
      </c>
      <c r="C68" s="5" t="s">
        <v>338</v>
      </c>
      <c r="D68" s="5" t="s">
        <v>335</v>
      </c>
      <c r="E68" s="5" t="s">
        <v>339</v>
      </c>
      <c r="F68" s="5" t="s">
        <v>159</v>
      </c>
      <c r="G68" s="5" t="s">
        <v>160</v>
      </c>
      <c r="H68" s="5"/>
      <c r="I68" s="5" t="s">
        <v>139</v>
      </c>
      <c r="J68" s="5" t="s">
        <v>139</v>
      </c>
      <c r="K68" s="5"/>
      <c r="L68" s="5"/>
      <c r="M68" s="5" t="s">
        <v>139</v>
      </c>
      <c r="N68" s="5"/>
    </row>
    <row r="69" spans="1:14" x14ac:dyDescent="0.45">
      <c r="A69" t="s">
        <v>340</v>
      </c>
      <c r="B69" t="s">
        <v>140</v>
      </c>
      <c r="C69" t="s">
        <v>341</v>
      </c>
      <c r="D69" t="s">
        <v>335</v>
      </c>
      <c r="E69" t="s">
        <v>342</v>
      </c>
      <c r="F69" t="s">
        <v>159</v>
      </c>
      <c r="G69" t="s">
        <v>160</v>
      </c>
      <c r="I69" t="s">
        <v>139</v>
      </c>
      <c r="J69" t="s">
        <v>139</v>
      </c>
      <c r="M69" t="s">
        <v>139</v>
      </c>
    </row>
    <row r="70" spans="1:14" x14ac:dyDescent="0.45">
      <c r="A70" s="5" t="s">
        <v>343</v>
      </c>
      <c r="B70" s="5" t="s">
        <v>140</v>
      </c>
      <c r="C70" s="5" t="s">
        <v>344</v>
      </c>
      <c r="D70" s="5" t="s">
        <v>135</v>
      </c>
      <c r="E70" s="5" t="s">
        <v>345</v>
      </c>
      <c r="F70" s="5" t="s">
        <v>159</v>
      </c>
      <c r="G70" s="5" t="s">
        <v>138</v>
      </c>
      <c r="H70" s="5"/>
      <c r="I70" s="5" t="s">
        <v>139</v>
      </c>
      <c r="J70" s="5" t="s">
        <v>139</v>
      </c>
      <c r="K70" s="5"/>
      <c r="L70" s="5"/>
      <c r="M70" s="5" t="s">
        <v>139</v>
      </c>
      <c r="N70" s="5"/>
    </row>
    <row r="71" spans="1:14" x14ac:dyDescent="0.45">
      <c r="A71" t="s">
        <v>346</v>
      </c>
      <c r="B71" t="s">
        <v>140</v>
      </c>
      <c r="C71" t="s">
        <v>347</v>
      </c>
      <c r="D71" t="s">
        <v>135</v>
      </c>
      <c r="E71" t="s">
        <v>345</v>
      </c>
      <c r="F71" t="s">
        <v>159</v>
      </c>
      <c r="G71" t="s">
        <v>138</v>
      </c>
      <c r="I71" t="s">
        <v>139</v>
      </c>
      <c r="J71" t="s">
        <v>139</v>
      </c>
      <c r="M71" t="s">
        <v>139</v>
      </c>
    </row>
    <row r="72" spans="1:14" x14ac:dyDescent="0.45">
      <c r="A72" s="5" t="s">
        <v>348</v>
      </c>
      <c r="B72" s="5" t="s">
        <v>140</v>
      </c>
      <c r="C72" s="5" t="s">
        <v>349</v>
      </c>
      <c r="D72" s="5" t="s">
        <v>335</v>
      </c>
      <c r="E72" s="5" t="s">
        <v>350</v>
      </c>
      <c r="F72" s="5" t="s">
        <v>159</v>
      </c>
      <c r="G72" s="5" t="s">
        <v>160</v>
      </c>
      <c r="H72" s="5"/>
      <c r="I72" s="5" t="s">
        <v>139</v>
      </c>
      <c r="J72" s="5" t="s">
        <v>139</v>
      </c>
      <c r="K72" s="5"/>
      <c r="L72" s="5"/>
      <c r="M72" s="5" t="s">
        <v>139</v>
      </c>
      <c r="N72" s="5"/>
    </row>
    <row r="73" spans="1:14" x14ac:dyDescent="0.45">
      <c r="A73" t="s">
        <v>351</v>
      </c>
      <c r="B73" t="s">
        <v>307</v>
      </c>
      <c r="C73" t="s">
        <v>352</v>
      </c>
      <c r="D73" t="s">
        <v>381</v>
      </c>
      <c r="F73" t="s">
        <v>420</v>
      </c>
      <c r="G73" t="s">
        <v>138</v>
      </c>
      <c r="H73" t="s">
        <v>421</v>
      </c>
      <c r="I73" t="s">
        <v>139</v>
      </c>
      <c r="J73" t="s">
        <v>139</v>
      </c>
      <c r="M73" t="s">
        <v>139</v>
      </c>
    </row>
    <row r="74" spans="1:14" x14ac:dyDescent="0.45">
      <c r="A74" s="5" t="s">
        <v>354</v>
      </c>
      <c r="B74" s="5" t="s">
        <v>140</v>
      </c>
      <c r="C74" s="5" t="s">
        <v>355</v>
      </c>
      <c r="D74" s="5" t="s">
        <v>335</v>
      </c>
      <c r="E74" s="5" t="s">
        <v>356</v>
      </c>
      <c r="F74" s="5" t="s">
        <v>159</v>
      </c>
      <c r="G74" s="5" t="s">
        <v>160</v>
      </c>
      <c r="H74" s="5" t="s">
        <v>357</v>
      </c>
      <c r="I74" s="5" t="s">
        <v>139</v>
      </c>
      <c r="J74" s="5" t="s">
        <v>139</v>
      </c>
      <c r="K74" s="5"/>
      <c r="L74" s="5"/>
      <c r="M74" s="5" t="s">
        <v>139</v>
      </c>
      <c r="N74" s="5"/>
    </row>
    <row r="75" spans="1:14" x14ac:dyDescent="0.45">
      <c r="A75" t="s">
        <v>422</v>
      </c>
      <c r="B75" t="s">
        <v>133</v>
      </c>
      <c r="C75" t="s">
        <v>423</v>
      </c>
      <c r="D75" t="s">
        <v>424</v>
      </c>
      <c r="E75" t="s">
        <v>425</v>
      </c>
      <c r="F75" t="s">
        <v>426</v>
      </c>
      <c r="G75" t="s">
        <v>145</v>
      </c>
      <c r="J75" t="s">
        <v>139</v>
      </c>
      <c r="M75" t="s">
        <v>139</v>
      </c>
    </row>
    <row r="76" spans="1:14" x14ac:dyDescent="0.45">
      <c r="A76" s="6" t="s">
        <v>427</v>
      </c>
      <c r="B76" s="7"/>
      <c r="C76" s="7"/>
      <c r="D76" s="7"/>
      <c r="E76" s="7"/>
      <c r="F76" s="7"/>
      <c r="G76" s="7"/>
      <c r="H76" s="7"/>
      <c r="I76" s="7"/>
      <c r="J76" s="7"/>
      <c r="K76" s="7"/>
      <c r="L76" s="7"/>
      <c r="M76" s="7"/>
      <c r="N76" s="7"/>
    </row>
    <row r="77" spans="1:14" x14ac:dyDescent="0.45">
      <c r="A77" s="5" t="s">
        <v>428</v>
      </c>
      <c r="B77" s="5" t="s">
        <v>133</v>
      </c>
      <c r="C77" s="5" t="s">
        <v>429</v>
      </c>
      <c r="D77" s="5" t="s">
        <v>381</v>
      </c>
      <c r="E77" s="5" t="s">
        <v>430</v>
      </c>
      <c r="F77" s="5" t="s">
        <v>431</v>
      </c>
      <c r="G77" s="5" t="s">
        <v>145</v>
      </c>
      <c r="H77" s="5" t="s">
        <v>467</v>
      </c>
      <c r="I77" s="5" t="s">
        <v>139</v>
      </c>
      <c r="J77" s="5" t="s">
        <v>139</v>
      </c>
      <c r="K77" s="5"/>
      <c r="L77" s="5"/>
      <c r="M77" s="5" t="s">
        <v>139</v>
      </c>
      <c r="N77" s="5"/>
    </row>
    <row r="78" spans="1:14" x14ac:dyDescent="0.45">
      <c r="A78" t="s">
        <v>433</v>
      </c>
      <c r="B78" t="s">
        <v>140</v>
      </c>
      <c r="C78" t="s">
        <v>434</v>
      </c>
      <c r="D78" t="s">
        <v>435</v>
      </c>
      <c r="E78" t="s">
        <v>436</v>
      </c>
      <c r="F78" t="s">
        <v>159</v>
      </c>
      <c r="G78" t="s">
        <v>160</v>
      </c>
      <c r="J78" t="s">
        <v>139</v>
      </c>
      <c r="M78" t="s">
        <v>139</v>
      </c>
    </row>
    <row r="79" spans="1:14" x14ac:dyDescent="0.45">
      <c r="A79" s="5" t="s">
        <v>437</v>
      </c>
      <c r="B79" s="5" t="s">
        <v>140</v>
      </c>
      <c r="C79" s="5" t="s">
        <v>438</v>
      </c>
      <c r="D79" s="5" t="s">
        <v>435</v>
      </c>
      <c r="E79" s="5" t="s">
        <v>436</v>
      </c>
      <c r="F79" s="5" t="s">
        <v>159</v>
      </c>
      <c r="G79" s="5" t="s">
        <v>160</v>
      </c>
      <c r="H79" s="5"/>
      <c r="I79" s="5" t="s">
        <v>139</v>
      </c>
      <c r="J79" s="5" t="s">
        <v>139</v>
      </c>
      <c r="K79" s="5"/>
      <c r="L79" s="5"/>
      <c r="M79" s="5" t="s">
        <v>139</v>
      </c>
      <c r="N79" s="5"/>
    </row>
    <row r="80" spans="1:14" x14ac:dyDescent="0.45">
      <c r="A80" t="s">
        <v>439</v>
      </c>
      <c r="B80" t="s">
        <v>140</v>
      </c>
      <c r="C80" t="s">
        <v>440</v>
      </c>
      <c r="D80" t="s">
        <v>435</v>
      </c>
      <c r="E80" t="s">
        <v>436</v>
      </c>
      <c r="F80" t="s">
        <v>159</v>
      </c>
      <c r="G80" t="s">
        <v>160</v>
      </c>
      <c r="I80" t="s">
        <v>139</v>
      </c>
      <c r="J80" t="s">
        <v>139</v>
      </c>
      <c r="M80" t="s">
        <v>139</v>
      </c>
    </row>
    <row r="81" spans="1:14" x14ac:dyDescent="0.45">
      <c r="A81" s="5" t="s">
        <v>468</v>
      </c>
      <c r="B81" s="5" t="s">
        <v>140</v>
      </c>
      <c r="C81" s="5" t="s">
        <v>469</v>
      </c>
      <c r="D81" s="5" t="s">
        <v>470</v>
      </c>
      <c r="E81" s="5" t="s">
        <v>471</v>
      </c>
      <c r="F81" s="5" t="s">
        <v>159</v>
      </c>
      <c r="G81" s="5" t="s">
        <v>160</v>
      </c>
      <c r="H81" s="5"/>
      <c r="I81" s="5" t="s">
        <v>139</v>
      </c>
      <c r="J81" s="5" t="s">
        <v>139</v>
      </c>
      <c r="K81" s="5" t="s">
        <v>139</v>
      </c>
      <c r="L81" s="5"/>
      <c r="M81" s="5" t="s">
        <v>139</v>
      </c>
      <c r="N81" s="5"/>
    </row>
    <row r="82" spans="1:14" x14ac:dyDescent="0.45">
      <c r="A82" t="s">
        <v>472</v>
      </c>
      <c r="B82" t="s">
        <v>140</v>
      </c>
      <c r="C82" t="s">
        <v>473</v>
      </c>
      <c r="D82" t="s">
        <v>470</v>
      </c>
      <c r="E82" t="s">
        <v>474</v>
      </c>
      <c r="F82" t="s">
        <v>159</v>
      </c>
      <c r="G82" t="s">
        <v>160</v>
      </c>
      <c r="H82" t="s">
        <v>475</v>
      </c>
      <c r="I82" t="s">
        <v>139</v>
      </c>
      <c r="J82" t="s">
        <v>139</v>
      </c>
      <c r="M82" t="s">
        <v>139</v>
      </c>
    </row>
    <row r="83" spans="1:14" x14ac:dyDescent="0.45">
      <c r="A83" s="5" t="s">
        <v>441</v>
      </c>
      <c r="B83" s="5" t="s">
        <v>224</v>
      </c>
      <c r="C83" s="5" t="s">
        <v>442</v>
      </c>
      <c r="D83" s="5" t="s">
        <v>381</v>
      </c>
      <c r="E83" s="5" t="s">
        <v>443</v>
      </c>
      <c r="F83" s="5" t="s">
        <v>444</v>
      </c>
      <c r="G83" s="5" t="s">
        <v>138</v>
      </c>
      <c r="H83" s="5" t="s">
        <v>476</v>
      </c>
      <c r="I83" s="5"/>
      <c r="J83" s="5"/>
      <c r="K83" s="5"/>
      <c r="L83" s="5"/>
      <c r="M83" s="5" t="s">
        <v>139</v>
      </c>
      <c r="N83" s="5"/>
    </row>
    <row r="84" spans="1:14" x14ac:dyDescent="0.45">
      <c r="A84" t="s">
        <v>445</v>
      </c>
      <c r="B84" t="s">
        <v>133</v>
      </c>
      <c r="C84" t="s">
        <v>446</v>
      </c>
      <c r="D84" t="s">
        <v>381</v>
      </c>
      <c r="E84" t="s">
        <v>447</v>
      </c>
      <c r="F84" t="s">
        <v>448</v>
      </c>
      <c r="G84" t="s">
        <v>449</v>
      </c>
      <c r="H84" t="s">
        <v>477</v>
      </c>
      <c r="I84" t="s">
        <v>139</v>
      </c>
      <c r="J84" t="s">
        <v>139</v>
      </c>
      <c r="M84" t="s">
        <v>139</v>
      </c>
    </row>
  </sheetData>
  <mergeCells count="12">
    <mergeCell ref="B2:N2"/>
    <mergeCell ref="A1:N1"/>
    <mergeCell ref="A65:N65"/>
    <mergeCell ref="A76:N76"/>
    <mergeCell ref="A11:N11"/>
    <mergeCell ref="A49:N49"/>
    <mergeCell ref="B3:N3"/>
    <mergeCell ref="A56:N56"/>
    <mergeCell ref="B5:N5"/>
    <mergeCell ref="B4:N4"/>
    <mergeCell ref="A30:N30"/>
    <mergeCell ref="A7:N7"/>
  </mergeCells>
  <dataValidations count="1">
    <dataValidation type="list" allowBlank="1" errorTitle="Invalid Review Status" error="Choose a review status from the list." sqref="N2:N84" xr:uid="{00000000-0002-0000-0A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84"/>
  <sheetViews>
    <sheetView workbookViewId="0">
      <pane ySplit="6" topLeftCell="A7" activePane="bottomLeft" state="frozen"/>
      <selection pane="bottomLeft"/>
    </sheetView>
  </sheetViews>
  <sheetFormatPr defaultRowHeight="14.25" x14ac:dyDescent="0.45"/>
  <cols>
    <col min="1" max="1" width="50" customWidth="1"/>
    <col min="2" max="2" width="23"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478</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40</v>
      </c>
      <c r="C4" s="7"/>
      <c r="D4" s="7"/>
      <c r="E4" s="7"/>
      <c r="F4" s="7"/>
      <c r="G4" s="7"/>
      <c r="H4" s="7"/>
      <c r="I4" s="7"/>
      <c r="J4" s="7"/>
      <c r="K4" s="7"/>
      <c r="L4" s="7"/>
      <c r="M4" s="7"/>
      <c r="N4" s="7"/>
    </row>
    <row r="5" spans="1:14" x14ac:dyDescent="0.45">
      <c r="A5" s="4" t="s">
        <v>21</v>
      </c>
      <c r="B5" s="7" t="s">
        <v>56</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414</v>
      </c>
      <c r="E62" t="s">
        <v>415</v>
      </c>
      <c r="F62" t="s">
        <v>309</v>
      </c>
      <c r="G62" t="s">
        <v>138</v>
      </c>
      <c r="H62" t="s">
        <v>416</v>
      </c>
      <c r="I62" t="s">
        <v>139</v>
      </c>
      <c r="J62" t="s">
        <v>139</v>
      </c>
      <c r="M62" t="s">
        <v>139</v>
      </c>
    </row>
    <row r="63" spans="1:14" x14ac:dyDescent="0.45">
      <c r="A63" s="5" t="s">
        <v>314</v>
      </c>
      <c r="B63" s="5" t="s">
        <v>140</v>
      </c>
      <c r="C63" s="5" t="s">
        <v>315</v>
      </c>
      <c r="D63" s="5" t="s">
        <v>135</v>
      </c>
      <c r="E63" s="5" t="s">
        <v>316</v>
      </c>
      <c r="F63" s="5" t="s">
        <v>159</v>
      </c>
      <c r="G63" s="5" t="s">
        <v>160</v>
      </c>
      <c r="H63" s="5"/>
      <c r="I63" s="5"/>
      <c r="J63" s="5" t="s">
        <v>139</v>
      </c>
      <c r="K63" s="5"/>
      <c r="L63" s="5"/>
      <c r="M63" s="5" t="s">
        <v>139</v>
      </c>
      <c r="N63" s="5"/>
    </row>
    <row r="64" spans="1:14" x14ac:dyDescent="0.45">
      <c r="A64" t="s">
        <v>317</v>
      </c>
      <c r="B64" t="s">
        <v>224</v>
      </c>
      <c r="D64" t="s">
        <v>381</v>
      </c>
      <c r="F64" t="s">
        <v>319</v>
      </c>
      <c r="G64" t="s">
        <v>138</v>
      </c>
      <c r="H64" t="s">
        <v>417</v>
      </c>
      <c r="I64" t="s">
        <v>139</v>
      </c>
      <c r="J64" t="s">
        <v>139</v>
      </c>
      <c r="M64" t="s">
        <v>139</v>
      </c>
    </row>
    <row r="65" spans="1:14" x14ac:dyDescent="0.45">
      <c r="A65" s="6" t="s">
        <v>329</v>
      </c>
      <c r="B65" s="7"/>
      <c r="C65" s="7"/>
      <c r="D65" s="7"/>
      <c r="E65" s="7"/>
      <c r="F65" s="7"/>
      <c r="G65" s="7"/>
      <c r="H65" s="7"/>
      <c r="I65" s="7"/>
      <c r="J65" s="7"/>
      <c r="K65" s="7"/>
      <c r="L65" s="7"/>
      <c r="M65" s="7"/>
      <c r="N65" s="7"/>
    </row>
    <row r="66" spans="1:14" x14ac:dyDescent="0.45">
      <c r="A66" s="5" t="s">
        <v>330</v>
      </c>
      <c r="B66" s="5" t="s">
        <v>307</v>
      </c>
      <c r="C66" s="5" t="s">
        <v>331</v>
      </c>
      <c r="D66" s="5" t="s">
        <v>381</v>
      </c>
      <c r="E66" s="5"/>
      <c r="F66" s="5" t="s">
        <v>418</v>
      </c>
      <c r="G66" s="5" t="s">
        <v>138</v>
      </c>
      <c r="H66" s="5" t="s">
        <v>419</v>
      </c>
      <c r="I66" s="5" t="s">
        <v>139</v>
      </c>
      <c r="J66" s="5" t="s">
        <v>139</v>
      </c>
      <c r="K66" s="5"/>
      <c r="L66" s="5"/>
      <c r="M66" s="5" t="s">
        <v>139</v>
      </c>
      <c r="N66" s="5"/>
    </row>
    <row r="67" spans="1:14" x14ac:dyDescent="0.45">
      <c r="A67" t="s">
        <v>333</v>
      </c>
      <c r="B67" t="s">
        <v>140</v>
      </c>
      <c r="C67" t="s">
        <v>334</v>
      </c>
      <c r="D67" t="s">
        <v>335</v>
      </c>
      <c r="E67" t="s">
        <v>336</v>
      </c>
      <c r="F67" t="s">
        <v>159</v>
      </c>
      <c r="G67" t="s">
        <v>160</v>
      </c>
      <c r="I67" t="s">
        <v>139</v>
      </c>
      <c r="J67" t="s">
        <v>139</v>
      </c>
      <c r="M67" t="s">
        <v>139</v>
      </c>
    </row>
    <row r="68" spans="1:14" x14ac:dyDescent="0.45">
      <c r="A68" s="5" t="s">
        <v>337</v>
      </c>
      <c r="B68" s="5" t="s">
        <v>140</v>
      </c>
      <c r="C68" s="5" t="s">
        <v>338</v>
      </c>
      <c r="D68" s="5" t="s">
        <v>335</v>
      </c>
      <c r="E68" s="5" t="s">
        <v>339</v>
      </c>
      <c r="F68" s="5" t="s">
        <v>159</v>
      </c>
      <c r="G68" s="5" t="s">
        <v>160</v>
      </c>
      <c r="H68" s="5"/>
      <c r="I68" s="5" t="s">
        <v>139</v>
      </c>
      <c r="J68" s="5" t="s">
        <v>139</v>
      </c>
      <c r="K68" s="5"/>
      <c r="L68" s="5"/>
      <c r="M68" s="5" t="s">
        <v>139</v>
      </c>
      <c r="N68" s="5"/>
    </row>
    <row r="69" spans="1:14" x14ac:dyDescent="0.45">
      <c r="A69" t="s">
        <v>340</v>
      </c>
      <c r="B69" t="s">
        <v>140</v>
      </c>
      <c r="C69" t="s">
        <v>341</v>
      </c>
      <c r="D69" t="s">
        <v>335</v>
      </c>
      <c r="E69" t="s">
        <v>342</v>
      </c>
      <c r="F69" t="s">
        <v>159</v>
      </c>
      <c r="G69" t="s">
        <v>160</v>
      </c>
      <c r="I69" t="s">
        <v>139</v>
      </c>
      <c r="J69" t="s">
        <v>139</v>
      </c>
      <c r="M69" t="s">
        <v>139</v>
      </c>
    </row>
    <row r="70" spans="1:14" x14ac:dyDescent="0.45">
      <c r="A70" s="5" t="s">
        <v>343</v>
      </c>
      <c r="B70" s="5" t="s">
        <v>140</v>
      </c>
      <c r="C70" s="5" t="s">
        <v>344</v>
      </c>
      <c r="D70" s="5" t="s">
        <v>135</v>
      </c>
      <c r="E70" s="5" t="s">
        <v>345</v>
      </c>
      <c r="F70" s="5" t="s">
        <v>159</v>
      </c>
      <c r="G70" s="5" t="s">
        <v>138</v>
      </c>
      <c r="H70" s="5"/>
      <c r="I70" s="5" t="s">
        <v>139</v>
      </c>
      <c r="J70" s="5" t="s">
        <v>139</v>
      </c>
      <c r="K70" s="5"/>
      <c r="L70" s="5"/>
      <c r="M70" s="5" t="s">
        <v>139</v>
      </c>
      <c r="N70" s="5"/>
    </row>
    <row r="71" spans="1:14" x14ac:dyDescent="0.45">
      <c r="A71" t="s">
        <v>346</v>
      </c>
      <c r="B71" t="s">
        <v>140</v>
      </c>
      <c r="C71" t="s">
        <v>347</v>
      </c>
      <c r="D71" t="s">
        <v>135</v>
      </c>
      <c r="E71" t="s">
        <v>345</v>
      </c>
      <c r="F71" t="s">
        <v>159</v>
      </c>
      <c r="G71" t="s">
        <v>138</v>
      </c>
      <c r="I71" t="s">
        <v>139</v>
      </c>
      <c r="J71" t="s">
        <v>139</v>
      </c>
      <c r="M71" t="s">
        <v>139</v>
      </c>
    </row>
    <row r="72" spans="1:14" x14ac:dyDescent="0.45">
      <c r="A72" s="5" t="s">
        <v>348</v>
      </c>
      <c r="B72" s="5" t="s">
        <v>140</v>
      </c>
      <c r="C72" s="5" t="s">
        <v>349</v>
      </c>
      <c r="D72" s="5" t="s">
        <v>335</v>
      </c>
      <c r="E72" s="5" t="s">
        <v>350</v>
      </c>
      <c r="F72" s="5" t="s">
        <v>159</v>
      </c>
      <c r="G72" s="5" t="s">
        <v>160</v>
      </c>
      <c r="H72" s="5"/>
      <c r="I72" s="5" t="s">
        <v>139</v>
      </c>
      <c r="J72" s="5" t="s">
        <v>139</v>
      </c>
      <c r="K72" s="5"/>
      <c r="L72" s="5"/>
      <c r="M72" s="5" t="s">
        <v>139</v>
      </c>
      <c r="N72" s="5"/>
    </row>
    <row r="73" spans="1:14" x14ac:dyDescent="0.45">
      <c r="A73" t="s">
        <v>351</v>
      </c>
      <c r="B73" t="s">
        <v>307</v>
      </c>
      <c r="C73" t="s">
        <v>352</v>
      </c>
      <c r="D73" t="s">
        <v>381</v>
      </c>
      <c r="F73" t="s">
        <v>420</v>
      </c>
      <c r="G73" t="s">
        <v>138</v>
      </c>
      <c r="H73" t="s">
        <v>421</v>
      </c>
      <c r="I73" t="s">
        <v>139</v>
      </c>
      <c r="J73" t="s">
        <v>139</v>
      </c>
      <c r="M73" t="s">
        <v>139</v>
      </c>
    </row>
    <row r="74" spans="1:14" x14ac:dyDescent="0.45">
      <c r="A74" s="5" t="s">
        <v>354</v>
      </c>
      <c r="B74" s="5" t="s">
        <v>140</v>
      </c>
      <c r="C74" s="5" t="s">
        <v>355</v>
      </c>
      <c r="D74" s="5" t="s">
        <v>335</v>
      </c>
      <c r="E74" s="5" t="s">
        <v>356</v>
      </c>
      <c r="F74" s="5" t="s">
        <v>159</v>
      </c>
      <c r="G74" s="5" t="s">
        <v>160</v>
      </c>
      <c r="H74" s="5" t="s">
        <v>357</v>
      </c>
      <c r="I74" s="5" t="s">
        <v>139</v>
      </c>
      <c r="J74" s="5" t="s">
        <v>139</v>
      </c>
      <c r="K74" s="5"/>
      <c r="L74" s="5"/>
      <c r="M74" s="5" t="s">
        <v>139</v>
      </c>
      <c r="N74" s="5"/>
    </row>
    <row r="75" spans="1:14" x14ac:dyDescent="0.45">
      <c r="A75" t="s">
        <v>422</v>
      </c>
      <c r="B75" t="s">
        <v>133</v>
      </c>
      <c r="C75" t="s">
        <v>423</v>
      </c>
      <c r="D75" t="s">
        <v>424</v>
      </c>
      <c r="E75" t="s">
        <v>425</v>
      </c>
      <c r="F75" t="s">
        <v>426</v>
      </c>
      <c r="G75" t="s">
        <v>145</v>
      </c>
      <c r="J75" t="s">
        <v>139</v>
      </c>
      <c r="M75" t="s">
        <v>139</v>
      </c>
    </row>
    <row r="76" spans="1:14" x14ac:dyDescent="0.45">
      <c r="A76" s="6" t="s">
        <v>427</v>
      </c>
      <c r="B76" s="7"/>
      <c r="C76" s="7"/>
      <c r="D76" s="7"/>
      <c r="E76" s="7"/>
      <c r="F76" s="7"/>
      <c r="G76" s="7"/>
      <c r="H76" s="7"/>
      <c r="I76" s="7"/>
      <c r="J76" s="7"/>
      <c r="K76" s="7"/>
      <c r="L76" s="7"/>
      <c r="M76" s="7"/>
      <c r="N76" s="7"/>
    </row>
    <row r="77" spans="1:14" x14ac:dyDescent="0.45">
      <c r="A77" s="5" t="s">
        <v>428</v>
      </c>
      <c r="B77" s="5" t="s">
        <v>133</v>
      </c>
      <c r="C77" s="5" t="s">
        <v>429</v>
      </c>
      <c r="D77" s="5" t="s">
        <v>381</v>
      </c>
      <c r="E77" s="5" t="s">
        <v>430</v>
      </c>
      <c r="F77" s="5" t="s">
        <v>431</v>
      </c>
      <c r="G77" s="5" t="s">
        <v>145</v>
      </c>
      <c r="H77" s="5" t="s">
        <v>467</v>
      </c>
      <c r="I77" s="5" t="s">
        <v>139</v>
      </c>
      <c r="J77" s="5" t="s">
        <v>139</v>
      </c>
      <c r="K77" s="5"/>
      <c r="L77" s="5"/>
      <c r="M77" s="5" t="s">
        <v>139</v>
      </c>
      <c r="N77" s="5"/>
    </row>
    <row r="78" spans="1:14" x14ac:dyDescent="0.45">
      <c r="A78" t="s">
        <v>433</v>
      </c>
      <c r="B78" t="s">
        <v>140</v>
      </c>
      <c r="C78" t="s">
        <v>434</v>
      </c>
      <c r="D78" t="s">
        <v>435</v>
      </c>
      <c r="E78" t="s">
        <v>436</v>
      </c>
      <c r="F78" t="s">
        <v>159</v>
      </c>
      <c r="G78" t="s">
        <v>160</v>
      </c>
      <c r="J78" t="s">
        <v>139</v>
      </c>
      <c r="M78" t="s">
        <v>139</v>
      </c>
    </row>
    <row r="79" spans="1:14" x14ac:dyDescent="0.45">
      <c r="A79" s="5" t="s">
        <v>437</v>
      </c>
      <c r="B79" s="5" t="s">
        <v>140</v>
      </c>
      <c r="C79" s="5" t="s">
        <v>438</v>
      </c>
      <c r="D79" s="5" t="s">
        <v>435</v>
      </c>
      <c r="E79" s="5" t="s">
        <v>436</v>
      </c>
      <c r="F79" s="5" t="s">
        <v>159</v>
      </c>
      <c r="G79" s="5" t="s">
        <v>160</v>
      </c>
      <c r="H79" s="5"/>
      <c r="I79" s="5" t="s">
        <v>139</v>
      </c>
      <c r="J79" s="5" t="s">
        <v>139</v>
      </c>
      <c r="K79" s="5"/>
      <c r="L79" s="5"/>
      <c r="M79" s="5" t="s">
        <v>139</v>
      </c>
      <c r="N79" s="5"/>
    </row>
    <row r="80" spans="1:14" x14ac:dyDescent="0.45">
      <c r="A80" t="s">
        <v>439</v>
      </c>
      <c r="B80" t="s">
        <v>140</v>
      </c>
      <c r="C80" t="s">
        <v>440</v>
      </c>
      <c r="D80" t="s">
        <v>435</v>
      </c>
      <c r="E80" t="s">
        <v>436</v>
      </c>
      <c r="F80" t="s">
        <v>159</v>
      </c>
      <c r="G80" t="s">
        <v>160</v>
      </c>
      <c r="I80" t="s">
        <v>139</v>
      </c>
      <c r="J80" t="s">
        <v>139</v>
      </c>
      <c r="M80" t="s">
        <v>139</v>
      </c>
    </row>
    <row r="81" spans="1:14" x14ac:dyDescent="0.45">
      <c r="A81" s="5" t="s">
        <v>468</v>
      </c>
      <c r="B81" s="5" t="s">
        <v>140</v>
      </c>
      <c r="C81" s="5" t="s">
        <v>442</v>
      </c>
      <c r="D81" s="5" t="s">
        <v>470</v>
      </c>
      <c r="E81" s="5" t="s">
        <v>479</v>
      </c>
      <c r="F81" s="5" t="s">
        <v>159</v>
      </c>
      <c r="G81" s="5" t="s">
        <v>160</v>
      </c>
      <c r="H81" s="5"/>
      <c r="I81" s="5" t="s">
        <v>139</v>
      </c>
      <c r="J81" s="5" t="s">
        <v>139</v>
      </c>
      <c r="K81" s="5" t="s">
        <v>139</v>
      </c>
      <c r="L81" s="5"/>
      <c r="M81" s="5" t="s">
        <v>139</v>
      </c>
      <c r="N81" s="5"/>
    </row>
    <row r="82" spans="1:14" x14ac:dyDescent="0.45">
      <c r="A82" t="s">
        <v>472</v>
      </c>
      <c r="B82" t="s">
        <v>140</v>
      </c>
      <c r="C82" t="s">
        <v>480</v>
      </c>
      <c r="D82" t="s">
        <v>470</v>
      </c>
      <c r="E82" t="s">
        <v>481</v>
      </c>
      <c r="F82" t="s">
        <v>159</v>
      </c>
      <c r="G82" t="s">
        <v>160</v>
      </c>
      <c r="H82" t="s">
        <v>482</v>
      </c>
      <c r="I82" t="s">
        <v>139</v>
      </c>
      <c r="J82" t="s">
        <v>139</v>
      </c>
      <c r="M82" t="s">
        <v>139</v>
      </c>
    </row>
    <row r="83" spans="1:14" x14ac:dyDescent="0.45">
      <c r="A83" s="5" t="s">
        <v>441</v>
      </c>
      <c r="B83" s="5" t="s">
        <v>224</v>
      </c>
      <c r="C83" s="5" t="s">
        <v>442</v>
      </c>
      <c r="D83" s="5" t="s">
        <v>381</v>
      </c>
      <c r="E83" s="5" t="s">
        <v>443</v>
      </c>
      <c r="F83" s="5" t="s">
        <v>444</v>
      </c>
      <c r="G83" s="5" t="s">
        <v>138</v>
      </c>
      <c r="H83" s="5" t="s">
        <v>483</v>
      </c>
      <c r="I83" s="5"/>
      <c r="J83" s="5"/>
      <c r="K83" s="5"/>
      <c r="L83" s="5"/>
      <c r="M83" s="5" t="s">
        <v>139</v>
      </c>
      <c r="N83" s="5"/>
    </row>
    <row r="84" spans="1:14" x14ac:dyDescent="0.45">
      <c r="A84" t="s">
        <v>445</v>
      </c>
      <c r="B84" t="s">
        <v>133</v>
      </c>
      <c r="C84" t="s">
        <v>446</v>
      </c>
      <c r="D84" t="s">
        <v>381</v>
      </c>
      <c r="E84" t="s">
        <v>447</v>
      </c>
      <c r="F84" t="s">
        <v>448</v>
      </c>
      <c r="G84" t="s">
        <v>449</v>
      </c>
      <c r="H84" t="s">
        <v>477</v>
      </c>
      <c r="I84" t="s">
        <v>139</v>
      </c>
      <c r="J84" t="s">
        <v>139</v>
      </c>
      <c r="M84" t="s">
        <v>139</v>
      </c>
    </row>
  </sheetData>
  <mergeCells count="12">
    <mergeCell ref="B2:N2"/>
    <mergeCell ref="A1:N1"/>
    <mergeCell ref="A65:N65"/>
    <mergeCell ref="A76:N76"/>
    <mergeCell ref="A11:N11"/>
    <mergeCell ref="A49:N49"/>
    <mergeCell ref="B3:N3"/>
    <mergeCell ref="A56:N56"/>
    <mergeCell ref="B5:N5"/>
    <mergeCell ref="B4:N4"/>
    <mergeCell ref="A30:N30"/>
    <mergeCell ref="A7:N7"/>
  </mergeCells>
  <dataValidations count="1">
    <dataValidation type="list" allowBlank="1" errorTitle="Invalid Review Status" error="Choose a review status from the list." sqref="N2:N84" xr:uid="{00000000-0002-0000-0B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86"/>
  <sheetViews>
    <sheetView workbookViewId="0">
      <pane ySplit="6" topLeftCell="A7" activePane="bottomLeft" state="frozen"/>
      <selection pane="bottomLeft"/>
    </sheetView>
  </sheetViews>
  <sheetFormatPr defaultRowHeight="14.25" x14ac:dyDescent="0.45"/>
  <cols>
    <col min="1" max="1" width="50" customWidth="1"/>
    <col min="2" max="2" width="18"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484</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40</v>
      </c>
      <c r="C4" s="7"/>
      <c r="D4" s="7"/>
      <c r="E4" s="7"/>
      <c r="F4" s="7"/>
      <c r="G4" s="7"/>
      <c r="H4" s="7"/>
      <c r="I4" s="7"/>
      <c r="J4" s="7"/>
      <c r="K4" s="7"/>
      <c r="L4" s="7"/>
      <c r="M4" s="7"/>
      <c r="N4" s="7"/>
    </row>
    <row r="5" spans="1:14" x14ac:dyDescent="0.45">
      <c r="A5" s="4" t="s">
        <v>21</v>
      </c>
      <c r="B5" s="7" t="s">
        <v>59</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414</v>
      </c>
      <c r="E62" t="s">
        <v>415</v>
      </c>
      <c r="F62" t="s">
        <v>309</v>
      </c>
      <c r="G62" t="s">
        <v>138</v>
      </c>
      <c r="H62" t="s">
        <v>416</v>
      </c>
      <c r="I62" t="s">
        <v>139</v>
      </c>
      <c r="J62" t="s">
        <v>139</v>
      </c>
      <c r="M62" t="s">
        <v>139</v>
      </c>
    </row>
    <row r="63" spans="1:14" x14ac:dyDescent="0.45">
      <c r="A63" s="5" t="s">
        <v>314</v>
      </c>
      <c r="B63" s="5" t="s">
        <v>140</v>
      </c>
      <c r="C63" s="5" t="s">
        <v>315</v>
      </c>
      <c r="D63" s="5" t="s">
        <v>135</v>
      </c>
      <c r="E63" s="5" t="s">
        <v>316</v>
      </c>
      <c r="F63" s="5" t="s">
        <v>159</v>
      </c>
      <c r="G63" s="5" t="s">
        <v>160</v>
      </c>
      <c r="H63" s="5"/>
      <c r="I63" s="5"/>
      <c r="J63" s="5" t="s">
        <v>139</v>
      </c>
      <c r="K63" s="5"/>
      <c r="L63" s="5"/>
      <c r="M63" s="5" t="s">
        <v>139</v>
      </c>
      <c r="N63" s="5"/>
    </row>
    <row r="64" spans="1:14" x14ac:dyDescent="0.45">
      <c r="A64" t="s">
        <v>317</v>
      </c>
      <c r="B64" t="s">
        <v>224</v>
      </c>
      <c r="D64" t="s">
        <v>381</v>
      </c>
      <c r="F64" t="s">
        <v>319</v>
      </c>
      <c r="G64" t="s">
        <v>138</v>
      </c>
      <c r="H64" t="s">
        <v>417</v>
      </c>
      <c r="I64" t="s">
        <v>139</v>
      </c>
      <c r="J64" t="s">
        <v>139</v>
      </c>
      <c r="M64" t="s">
        <v>139</v>
      </c>
    </row>
    <row r="65" spans="1:14" x14ac:dyDescent="0.45">
      <c r="A65" s="6" t="s">
        <v>329</v>
      </c>
      <c r="B65" s="7"/>
      <c r="C65" s="7"/>
      <c r="D65" s="7"/>
      <c r="E65" s="7"/>
      <c r="F65" s="7"/>
      <c r="G65" s="7"/>
      <c r="H65" s="7"/>
      <c r="I65" s="7"/>
      <c r="J65" s="7"/>
      <c r="K65" s="7"/>
      <c r="L65" s="7"/>
      <c r="M65" s="7"/>
      <c r="N65" s="7"/>
    </row>
    <row r="66" spans="1:14" x14ac:dyDescent="0.45">
      <c r="A66" s="5" t="s">
        <v>330</v>
      </c>
      <c r="B66" s="5" t="s">
        <v>307</v>
      </c>
      <c r="C66" s="5" t="s">
        <v>331</v>
      </c>
      <c r="D66" s="5" t="s">
        <v>381</v>
      </c>
      <c r="E66" s="5"/>
      <c r="F66" s="5" t="s">
        <v>418</v>
      </c>
      <c r="G66" s="5" t="s">
        <v>138</v>
      </c>
      <c r="H66" s="5" t="s">
        <v>419</v>
      </c>
      <c r="I66" s="5" t="s">
        <v>139</v>
      </c>
      <c r="J66" s="5" t="s">
        <v>139</v>
      </c>
      <c r="K66" s="5"/>
      <c r="L66" s="5"/>
      <c r="M66" s="5" t="s">
        <v>139</v>
      </c>
      <c r="N66" s="5"/>
    </row>
    <row r="67" spans="1:14" x14ac:dyDescent="0.45">
      <c r="A67" t="s">
        <v>333</v>
      </c>
      <c r="B67" t="s">
        <v>140</v>
      </c>
      <c r="C67" t="s">
        <v>334</v>
      </c>
      <c r="D67" t="s">
        <v>335</v>
      </c>
      <c r="E67" t="s">
        <v>336</v>
      </c>
      <c r="F67" t="s">
        <v>159</v>
      </c>
      <c r="G67" t="s">
        <v>160</v>
      </c>
      <c r="I67" t="s">
        <v>139</v>
      </c>
      <c r="J67" t="s">
        <v>139</v>
      </c>
      <c r="M67" t="s">
        <v>139</v>
      </c>
    </row>
    <row r="68" spans="1:14" x14ac:dyDescent="0.45">
      <c r="A68" s="5" t="s">
        <v>337</v>
      </c>
      <c r="B68" s="5" t="s">
        <v>140</v>
      </c>
      <c r="C68" s="5" t="s">
        <v>338</v>
      </c>
      <c r="D68" s="5" t="s">
        <v>335</v>
      </c>
      <c r="E68" s="5" t="s">
        <v>339</v>
      </c>
      <c r="F68" s="5" t="s">
        <v>159</v>
      </c>
      <c r="G68" s="5" t="s">
        <v>160</v>
      </c>
      <c r="H68" s="5"/>
      <c r="I68" s="5" t="s">
        <v>139</v>
      </c>
      <c r="J68" s="5" t="s">
        <v>139</v>
      </c>
      <c r="K68" s="5"/>
      <c r="L68" s="5"/>
      <c r="M68" s="5" t="s">
        <v>139</v>
      </c>
      <c r="N68" s="5"/>
    </row>
    <row r="69" spans="1:14" x14ac:dyDescent="0.45">
      <c r="A69" t="s">
        <v>340</v>
      </c>
      <c r="B69" t="s">
        <v>140</v>
      </c>
      <c r="C69" t="s">
        <v>341</v>
      </c>
      <c r="D69" t="s">
        <v>335</v>
      </c>
      <c r="E69" t="s">
        <v>342</v>
      </c>
      <c r="F69" t="s">
        <v>159</v>
      </c>
      <c r="G69" t="s">
        <v>160</v>
      </c>
      <c r="I69" t="s">
        <v>139</v>
      </c>
      <c r="J69" t="s">
        <v>139</v>
      </c>
      <c r="M69" t="s">
        <v>139</v>
      </c>
    </row>
    <row r="70" spans="1:14" x14ac:dyDescent="0.45">
      <c r="A70" s="5" t="s">
        <v>343</v>
      </c>
      <c r="B70" s="5" t="s">
        <v>140</v>
      </c>
      <c r="C70" s="5" t="s">
        <v>344</v>
      </c>
      <c r="D70" s="5" t="s">
        <v>135</v>
      </c>
      <c r="E70" s="5" t="s">
        <v>345</v>
      </c>
      <c r="F70" s="5" t="s">
        <v>159</v>
      </c>
      <c r="G70" s="5" t="s">
        <v>138</v>
      </c>
      <c r="H70" s="5"/>
      <c r="I70" s="5" t="s">
        <v>139</v>
      </c>
      <c r="J70" s="5" t="s">
        <v>139</v>
      </c>
      <c r="K70" s="5"/>
      <c r="L70" s="5"/>
      <c r="M70" s="5" t="s">
        <v>139</v>
      </c>
      <c r="N70" s="5"/>
    </row>
    <row r="71" spans="1:14" x14ac:dyDescent="0.45">
      <c r="A71" t="s">
        <v>346</v>
      </c>
      <c r="B71" t="s">
        <v>140</v>
      </c>
      <c r="C71" t="s">
        <v>347</v>
      </c>
      <c r="D71" t="s">
        <v>135</v>
      </c>
      <c r="E71" t="s">
        <v>345</v>
      </c>
      <c r="F71" t="s">
        <v>159</v>
      </c>
      <c r="G71" t="s">
        <v>138</v>
      </c>
      <c r="I71" t="s">
        <v>139</v>
      </c>
      <c r="J71" t="s">
        <v>139</v>
      </c>
      <c r="M71" t="s">
        <v>139</v>
      </c>
    </row>
    <row r="72" spans="1:14" x14ac:dyDescent="0.45">
      <c r="A72" s="5" t="s">
        <v>348</v>
      </c>
      <c r="B72" s="5" t="s">
        <v>140</v>
      </c>
      <c r="C72" s="5" t="s">
        <v>349</v>
      </c>
      <c r="D72" s="5" t="s">
        <v>335</v>
      </c>
      <c r="E72" s="5" t="s">
        <v>350</v>
      </c>
      <c r="F72" s="5" t="s">
        <v>159</v>
      </c>
      <c r="G72" s="5" t="s">
        <v>160</v>
      </c>
      <c r="H72" s="5"/>
      <c r="I72" s="5" t="s">
        <v>139</v>
      </c>
      <c r="J72" s="5" t="s">
        <v>139</v>
      </c>
      <c r="K72" s="5"/>
      <c r="L72" s="5"/>
      <c r="M72" s="5" t="s">
        <v>139</v>
      </c>
      <c r="N72" s="5"/>
    </row>
    <row r="73" spans="1:14" x14ac:dyDescent="0.45">
      <c r="A73" t="s">
        <v>351</v>
      </c>
      <c r="B73" t="s">
        <v>307</v>
      </c>
      <c r="C73" t="s">
        <v>352</v>
      </c>
      <c r="D73" t="s">
        <v>381</v>
      </c>
      <c r="F73" t="s">
        <v>420</v>
      </c>
      <c r="G73" t="s">
        <v>138</v>
      </c>
      <c r="H73" t="s">
        <v>421</v>
      </c>
      <c r="I73" t="s">
        <v>139</v>
      </c>
      <c r="J73" t="s">
        <v>139</v>
      </c>
      <c r="M73" t="s">
        <v>139</v>
      </c>
    </row>
    <row r="74" spans="1:14" x14ac:dyDescent="0.45">
      <c r="A74" s="5" t="s">
        <v>354</v>
      </c>
      <c r="B74" s="5" t="s">
        <v>140</v>
      </c>
      <c r="C74" s="5" t="s">
        <v>355</v>
      </c>
      <c r="D74" s="5" t="s">
        <v>335</v>
      </c>
      <c r="E74" s="5" t="s">
        <v>356</v>
      </c>
      <c r="F74" s="5" t="s">
        <v>159</v>
      </c>
      <c r="G74" s="5" t="s">
        <v>160</v>
      </c>
      <c r="H74" s="5" t="s">
        <v>357</v>
      </c>
      <c r="I74" s="5" t="s">
        <v>139</v>
      </c>
      <c r="J74" s="5" t="s">
        <v>139</v>
      </c>
      <c r="K74" s="5"/>
      <c r="L74" s="5"/>
      <c r="M74" s="5" t="s">
        <v>139</v>
      </c>
      <c r="N74" s="5"/>
    </row>
    <row r="75" spans="1:14" x14ac:dyDescent="0.45">
      <c r="A75" t="s">
        <v>422</v>
      </c>
      <c r="B75" t="s">
        <v>133</v>
      </c>
      <c r="C75" t="s">
        <v>423</v>
      </c>
      <c r="D75" t="s">
        <v>424</v>
      </c>
      <c r="E75" t="s">
        <v>425</v>
      </c>
      <c r="F75" t="s">
        <v>426</v>
      </c>
      <c r="G75" t="s">
        <v>145</v>
      </c>
      <c r="J75" t="s">
        <v>139</v>
      </c>
      <c r="M75" t="s">
        <v>139</v>
      </c>
    </row>
    <row r="76" spans="1:14" x14ac:dyDescent="0.45">
      <c r="A76" s="6" t="s">
        <v>427</v>
      </c>
      <c r="B76" s="7"/>
      <c r="C76" s="7"/>
      <c r="D76" s="7"/>
      <c r="E76" s="7"/>
      <c r="F76" s="7"/>
      <c r="G76" s="7"/>
      <c r="H76" s="7"/>
      <c r="I76" s="7"/>
      <c r="J76" s="7"/>
      <c r="K76" s="7"/>
      <c r="L76" s="7"/>
      <c r="M76" s="7"/>
      <c r="N76" s="7"/>
    </row>
    <row r="77" spans="1:14" x14ac:dyDescent="0.45">
      <c r="A77" s="5" t="s">
        <v>428</v>
      </c>
      <c r="B77" s="5" t="s">
        <v>133</v>
      </c>
      <c r="C77" s="5" t="s">
        <v>429</v>
      </c>
      <c r="D77" s="5" t="s">
        <v>381</v>
      </c>
      <c r="E77" s="5" t="s">
        <v>430</v>
      </c>
      <c r="F77" s="5" t="s">
        <v>431</v>
      </c>
      <c r="G77" s="5" t="s">
        <v>145</v>
      </c>
      <c r="H77" s="5" t="s">
        <v>467</v>
      </c>
      <c r="I77" s="5" t="s">
        <v>139</v>
      </c>
      <c r="J77" s="5" t="s">
        <v>139</v>
      </c>
      <c r="K77" s="5"/>
      <c r="L77" s="5"/>
      <c r="M77" s="5" t="s">
        <v>139</v>
      </c>
      <c r="N77" s="5"/>
    </row>
    <row r="78" spans="1:14" x14ac:dyDescent="0.45">
      <c r="A78" t="s">
        <v>433</v>
      </c>
      <c r="B78" t="s">
        <v>140</v>
      </c>
      <c r="C78" t="s">
        <v>434</v>
      </c>
      <c r="D78" t="s">
        <v>435</v>
      </c>
      <c r="E78" t="s">
        <v>436</v>
      </c>
      <c r="F78" t="s">
        <v>159</v>
      </c>
      <c r="G78" t="s">
        <v>160</v>
      </c>
      <c r="J78" t="s">
        <v>139</v>
      </c>
      <c r="M78" t="s">
        <v>139</v>
      </c>
    </row>
    <row r="79" spans="1:14" x14ac:dyDescent="0.45">
      <c r="A79" s="5" t="s">
        <v>437</v>
      </c>
      <c r="B79" s="5" t="s">
        <v>140</v>
      </c>
      <c r="C79" s="5" t="s">
        <v>438</v>
      </c>
      <c r="D79" s="5" t="s">
        <v>435</v>
      </c>
      <c r="E79" s="5" t="s">
        <v>436</v>
      </c>
      <c r="F79" s="5" t="s">
        <v>159</v>
      </c>
      <c r="G79" s="5" t="s">
        <v>160</v>
      </c>
      <c r="H79" s="5"/>
      <c r="I79" s="5" t="s">
        <v>139</v>
      </c>
      <c r="J79" s="5" t="s">
        <v>139</v>
      </c>
      <c r="K79" s="5"/>
      <c r="L79" s="5"/>
      <c r="M79" s="5" t="s">
        <v>139</v>
      </c>
      <c r="N79" s="5"/>
    </row>
    <row r="80" spans="1:14" x14ac:dyDescent="0.45">
      <c r="A80" t="s">
        <v>439</v>
      </c>
      <c r="B80" t="s">
        <v>140</v>
      </c>
      <c r="C80" t="s">
        <v>440</v>
      </c>
      <c r="D80" t="s">
        <v>435</v>
      </c>
      <c r="E80" t="s">
        <v>436</v>
      </c>
      <c r="F80" t="s">
        <v>159</v>
      </c>
      <c r="G80" t="s">
        <v>160</v>
      </c>
      <c r="I80" t="s">
        <v>139</v>
      </c>
      <c r="J80" t="s">
        <v>139</v>
      </c>
      <c r="M80" t="s">
        <v>139</v>
      </c>
    </row>
    <row r="81" spans="1:14" x14ac:dyDescent="0.45">
      <c r="A81" s="5" t="s">
        <v>468</v>
      </c>
      <c r="B81" s="5" t="s">
        <v>140</v>
      </c>
      <c r="C81" s="5" t="s">
        <v>442</v>
      </c>
      <c r="D81" s="5" t="s">
        <v>470</v>
      </c>
      <c r="E81" s="5" t="s">
        <v>485</v>
      </c>
      <c r="F81" s="5" t="s">
        <v>159</v>
      </c>
      <c r="G81" s="5" t="s">
        <v>160</v>
      </c>
      <c r="H81" s="5"/>
      <c r="I81" s="5" t="s">
        <v>139</v>
      </c>
      <c r="J81" s="5" t="s">
        <v>139</v>
      </c>
      <c r="K81" s="5" t="s">
        <v>139</v>
      </c>
      <c r="L81" s="5"/>
      <c r="M81" s="5" t="s">
        <v>139</v>
      </c>
      <c r="N81" s="5"/>
    </row>
    <row r="82" spans="1:14" x14ac:dyDescent="0.45">
      <c r="A82" t="s">
        <v>486</v>
      </c>
      <c r="B82" t="s">
        <v>133</v>
      </c>
      <c r="C82" t="s">
        <v>487</v>
      </c>
      <c r="D82" t="s">
        <v>381</v>
      </c>
      <c r="E82" t="s">
        <v>488</v>
      </c>
      <c r="F82" t="s">
        <v>489</v>
      </c>
      <c r="G82" t="s">
        <v>145</v>
      </c>
      <c r="H82" t="s">
        <v>490</v>
      </c>
      <c r="J82" t="s">
        <v>139</v>
      </c>
      <c r="M82" t="s">
        <v>139</v>
      </c>
    </row>
    <row r="83" spans="1:14" x14ac:dyDescent="0.45">
      <c r="A83" s="5" t="s">
        <v>491</v>
      </c>
      <c r="B83" s="5" t="s">
        <v>133</v>
      </c>
      <c r="C83" s="5" t="s">
        <v>492</v>
      </c>
      <c r="D83" s="5" t="s">
        <v>493</v>
      </c>
      <c r="E83" s="5" t="s">
        <v>494</v>
      </c>
      <c r="F83" s="5" t="s">
        <v>495</v>
      </c>
      <c r="G83" s="5" t="s">
        <v>145</v>
      </c>
      <c r="H83" s="5" t="s">
        <v>496</v>
      </c>
      <c r="I83" s="5"/>
      <c r="J83" s="5"/>
      <c r="K83" s="5"/>
      <c r="L83" s="5"/>
      <c r="M83" s="5" t="s">
        <v>139</v>
      </c>
      <c r="N83" s="5"/>
    </row>
    <row r="84" spans="1:14" x14ac:dyDescent="0.45">
      <c r="A84" t="s">
        <v>497</v>
      </c>
      <c r="B84" t="s">
        <v>140</v>
      </c>
      <c r="C84" t="s">
        <v>498</v>
      </c>
      <c r="D84" t="s">
        <v>470</v>
      </c>
      <c r="E84" t="s">
        <v>499</v>
      </c>
      <c r="F84" t="s">
        <v>159</v>
      </c>
      <c r="G84" t="s">
        <v>160</v>
      </c>
      <c r="I84" t="s">
        <v>139</v>
      </c>
      <c r="J84" t="s">
        <v>139</v>
      </c>
      <c r="M84" t="s">
        <v>139</v>
      </c>
    </row>
    <row r="85" spans="1:14" x14ac:dyDescent="0.45">
      <c r="A85" s="5" t="s">
        <v>441</v>
      </c>
      <c r="B85" s="5" t="s">
        <v>224</v>
      </c>
      <c r="C85" s="5" t="s">
        <v>442</v>
      </c>
      <c r="D85" s="5" t="s">
        <v>381</v>
      </c>
      <c r="E85" s="5" t="s">
        <v>443</v>
      </c>
      <c r="F85" s="5" t="s">
        <v>444</v>
      </c>
      <c r="G85" s="5" t="s">
        <v>138</v>
      </c>
      <c r="H85" s="5" t="s">
        <v>483</v>
      </c>
      <c r="I85" s="5"/>
      <c r="J85" s="5"/>
      <c r="K85" s="5"/>
      <c r="L85" s="5"/>
      <c r="M85" s="5" t="s">
        <v>139</v>
      </c>
      <c r="N85" s="5"/>
    </row>
    <row r="86" spans="1:14" x14ac:dyDescent="0.45">
      <c r="A86" t="s">
        <v>445</v>
      </c>
      <c r="B86" t="s">
        <v>133</v>
      </c>
      <c r="C86" t="s">
        <v>446</v>
      </c>
      <c r="D86" t="s">
        <v>381</v>
      </c>
      <c r="E86" t="s">
        <v>447</v>
      </c>
      <c r="F86" t="s">
        <v>448</v>
      </c>
      <c r="G86" t="s">
        <v>449</v>
      </c>
      <c r="H86" t="s">
        <v>477</v>
      </c>
      <c r="I86" t="s">
        <v>139</v>
      </c>
      <c r="J86" t="s">
        <v>139</v>
      </c>
      <c r="M86" t="s">
        <v>139</v>
      </c>
    </row>
  </sheetData>
  <mergeCells count="12">
    <mergeCell ref="B2:N2"/>
    <mergeCell ref="A1:N1"/>
    <mergeCell ref="A65:N65"/>
    <mergeCell ref="A76:N76"/>
    <mergeCell ref="A11:N11"/>
    <mergeCell ref="A49:N49"/>
    <mergeCell ref="B3:N3"/>
    <mergeCell ref="A56:N56"/>
    <mergeCell ref="B5:N5"/>
    <mergeCell ref="B4:N4"/>
    <mergeCell ref="A30:N30"/>
    <mergeCell ref="A7:N7"/>
  </mergeCells>
  <dataValidations count="1">
    <dataValidation type="list" allowBlank="1" errorTitle="Invalid Review Status" error="Choose a review status from the list." sqref="N2:N86" xr:uid="{00000000-0002-0000-0C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85"/>
  <sheetViews>
    <sheetView workbookViewId="0">
      <pane ySplit="6" topLeftCell="A7" activePane="bottomLeft" state="frozen"/>
      <selection pane="bottomLeft"/>
    </sheetView>
  </sheetViews>
  <sheetFormatPr defaultRowHeight="14.25" x14ac:dyDescent="0.45"/>
  <cols>
    <col min="1" max="1" width="50" customWidth="1"/>
    <col min="2" max="2" width="18"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500</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40</v>
      </c>
      <c r="C4" s="7"/>
      <c r="D4" s="7"/>
      <c r="E4" s="7"/>
      <c r="F4" s="7"/>
      <c r="G4" s="7"/>
      <c r="H4" s="7"/>
      <c r="I4" s="7"/>
      <c r="J4" s="7"/>
      <c r="K4" s="7"/>
      <c r="L4" s="7"/>
      <c r="M4" s="7"/>
      <c r="N4" s="7"/>
    </row>
    <row r="5" spans="1:14" x14ac:dyDescent="0.45">
      <c r="A5" s="4" t="s">
        <v>21</v>
      </c>
      <c r="B5" s="7" t="s">
        <v>62</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414</v>
      </c>
      <c r="E62" t="s">
        <v>415</v>
      </c>
      <c r="F62" t="s">
        <v>309</v>
      </c>
      <c r="G62" t="s">
        <v>138</v>
      </c>
      <c r="H62" t="s">
        <v>416</v>
      </c>
      <c r="I62" t="s">
        <v>139</v>
      </c>
      <c r="J62" t="s">
        <v>139</v>
      </c>
      <c r="M62" t="s">
        <v>139</v>
      </c>
    </row>
    <row r="63" spans="1:14" x14ac:dyDescent="0.45">
      <c r="A63" s="5" t="s">
        <v>314</v>
      </c>
      <c r="B63" s="5" t="s">
        <v>140</v>
      </c>
      <c r="C63" s="5" t="s">
        <v>315</v>
      </c>
      <c r="D63" s="5" t="s">
        <v>135</v>
      </c>
      <c r="E63" s="5" t="s">
        <v>316</v>
      </c>
      <c r="F63" s="5" t="s">
        <v>159</v>
      </c>
      <c r="G63" s="5" t="s">
        <v>160</v>
      </c>
      <c r="H63" s="5"/>
      <c r="I63" s="5"/>
      <c r="J63" s="5" t="s">
        <v>139</v>
      </c>
      <c r="K63" s="5"/>
      <c r="L63" s="5"/>
      <c r="M63" s="5" t="s">
        <v>139</v>
      </c>
      <c r="N63" s="5"/>
    </row>
    <row r="64" spans="1:14" x14ac:dyDescent="0.45">
      <c r="A64" t="s">
        <v>317</v>
      </c>
      <c r="B64" t="s">
        <v>224</v>
      </c>
      <c r="D64" t="s">
        <v>381</v>
      </c>
      <c r="F64" t="s">
        <v>319</v>
      </c>
      <c r="G64" t="s">
        <v>138</v>
      </c>
      <c r="H64" t="s">
        <v>417</v>
      </c>
      <c r="I64" t="s">
        <v>139</v>
      </c>
      <c r="J64" t="s">
        <v>139</v>
      </c>
      <c r="M64" t="s">
        <v>139</v>
      </c>
    </row>
    <row r="65" spans="1:14" x14ac:dyDescent="0.45">
      <c r="A65" s="6" t="s">
        <v>329</v>
      </c>
      <c r="B65" s="7"/>
      <c r="C65" s="7"/>
      <c r="D65" s="7"/>
      <c r="E65" s="7"/>
      <c r="F65" s="7"/>
      <c r="G65" s="7"/>
      <c r="H65" s="7"/>
      <c r="I65" s="7"/>
      <c r="J65" s="7"/>
      <c r="K65" s="7"/>
      <c r="L65" s="7"/>
      <c r="M65" s="7"/>
      <c r="N65" s="7"/>
    </row>
    <row r="66" spans="1:14" x14ac:dyDescent="0.45">
      <c r="A66" s="5" t="s">
        <v>330</v>
      </c>
      <c r="B66" s="5" t="s">
        <v>307</v>
      </c>
      <c r="C66" s="5" t="s">
        <v>331</v>
      </c>
      <c r="D66" s="5" t="s">
        <v>381</v>
      </c>
      <c r="E66" s="5"/>
      <c r="F66" s="5" t="s">
        <v>418</v>
      </c>
      <c r="G66" s="5" t="s">
        <v>138</v>
      </c>
      <c r="H66" s="5" t="s">
        <v>419</v>
      </c>
      <c r="I66" s="5" t="s">
        <v>139</v>
      </c>
      <c r="J66" s="5" t="s">
        <v>139</v>
      </c>
      <c r="K66" s="5"/>
      <c r="L66" s="5"/>
      <c r="M66" s="5" t="s">
        <v>139</v>
      </c>
      <c r="N66" s="5"/>
    </row>
    <row r="67" spans="1:14" x14ac:dyDescent="0.45">
      <c r="A67" t="s">
        <v>333</v>
      </c>
      <c r="B67" t="s">
        <v>140</v>
      </c>
      <c r="C67" t="s">
        <v>334</v>
      </c>
      <c r="D67" t="s">
        <v>335</v>
      </c>
      <c r="E67" t="s">
        <v>336</v>
      </c>
      <c r="F67" t="s">
        <v>159</v>
      </c>
      <c r="G67" t="s">
        <v>160</v>
      </c>
      <c r="I67" t="s">
        <v>139</v>
      </c>
      <c r="J67" t="s">
        <v>139</v>
      </c>
      <c r="M67" t="s">
        <v>139</v>
      </c>
    </row>
    <row r="68" spans="1:14" x14ac:dyDescent="0.45">
      <c r="A68" s="5" t="s">
        <v>337</v>
      </c>
      <c r="B68" s="5" t="s">
        <v>140</v>
      </c>
      <c r="C68" s="5" t="s">
        <v>338</v>
      </c>
      <c r="D68" s="5" t="s">
        <v>335</v>
      </c>
      <c r="E68" s="5" t="s">
        <v>339</v>
      </c>
      <c r="F68" s="5" t="s">
        <v>159</v>
      </c>
      <c r="G68" s="5" t="s">
        <v>160</v>
      </c>
      <c r="H68" s="5"/>
      <c r="I68" s="5" t="s">
        <v>139</v>
      </c>
      <c r="J68" s="5" t="s">
        <v>139</v>
      </c>
      <c r="K68" s="5"/>
      <c r="L68" s="5"/>
      <c r="M68" s="5" t="s">
        <v>139</v>
      </c>
      <c r="N68" s="5"/>
    </row>
    <row r="69" spans="1:14" x14ac:dyDescent="0.45">
      <c r="A69" t="s">
        <v>340</v>
      </c>
      <c r="B69" t="s">
        <v>140</v>
      </c>
      <c r="C69" t="s">
        <v>341</v>
      </c>
      <c r="D69" t="s">
        <v>335</v>
      </c>
      <c r="E69" t="s">
        <v>342</v>
      </c>
      <c r="F69" t="s">
        <v>159</v>
      </c>
      <c r="G69" t="s">
        <v>160</v>
      </c>
      <c r="I69" t="s">
        <v>139</v>
      </c>
      <c r="J69" t="s">
        <v>139</v>
      </c>
      <c r="M69" t="s">
        <v>139</v>
      </c>
    </row>
    <row r="70" spans="1:14" x14ac:dyDescent="0.45">
      <c r="A70" s="5" t="s">
        <v>343</v>
      </c>
      <c r="B70" s="5" t="s">
        <v>140</v>
      </c>
      <c r="C70" s="5" t="s">
        <v>344</v>
      </c>
      <c r="D70" s="5" t="s">
        <v>135</v>
      </c>
      <c r="E70" s="5" t="s">
        <v>345</v>
      </c>
      <c r="F70" s="5" t="s">
        <v>159</v>
      </c>
      <c r="G70" s="5" t="s">
        <v>138</v>
      </c>
      <c r="H70" s="5"/>
      <c r="I70" s="5" t="s">
        <v>139</v>
      </c>
      <c r="J70" s="5" t="s">
        <v>139</v>
      </c>
      <c r="K70" s="5"/>
      <c r="L70" s="5"/>
      <c r="M70" s="5" t="s">
        <v>139</v>
      </c>
      <c r="N70" s="5"/>
    </row>
    <row r="71" spans="1:14" x14ac:dyDescent="0.45">
      <c r="A71" t="s">
        <v>346</v>
      </c>
      <c r="B71" t="s">
        <v>140</v>
      </c>
      <c r="C71" t="s">
        <v>347</v>
      </c>
      <c r="D71" t="s">
        <v>135</v>
      </c>
      <c r="E71" t="s">
        <v>345</v>
      </c>
      <c r="F71" t="s">
        <v>159</v>
      </c>
      <c r="G71" t="s">
        <v>138</v>
      </c>
      <c r="I71" t="s">
        <v>139</v>
      </c>
      <c r="J71" t="s">
        <v>139</v>
      </c>
      <c r="M71" t="s">
        <v>139</v>
      </c>
    </row>
    <row r="72" spans="1:14" x14ac:dyDescent="0.45">
      <c r="A72" s="5" t="s">
        <v>348</v>
      </c>
      <c r="B72" s="5" t="s">
        <v>140</v>
      </c>
      <c r="C72" s="5" t="s">
        <v>349</v>
      </c>
      <c r="D72" s="5" t="s">
        <v>335</v>
      </c>
      <c r="E72" s="5" t="s">
        <v>350</v>
      </c>
      <c r="F72" s="5" t="s">
        <v>159</v>
      </c>
      <c r="G72" s="5" t="s">
        <v>160</v>
      </c>
      <c r="H72" s="5"/>
      <c r="I72" s="5" t="s">
        <v>139</v>
      </c>
      <c r="J72" s="5" t="s">
        <v>139</v>
      </c>
      <c r="K72" s="5"/>
      <c r="L72" s="5"/>
      <c r="M72" s="5" t="s">
        <v>139</v>
      </c>
      <c r="N72" s="5"/>
    </row>
    <row r="73" spans="1:14" x14ac:dyDescent="0.45">
      <c r="A73" t="s">
        <v>351</v>
      </c>
      <c r="B73" t="s">
        <v>307</v>
      </c>
      <c r="C73" t="s">
        <v>352</v>
      </c>
      <c r="D73" t="s">
        <v>381</v>
      </c>
      <c r="F73" t="s">
        <v>420</v>
      </c>
      <c r="G73" t="s">
        <v>138</v>
      </c>
      <c r="H73" t="s">
        <v>421</v>
      </c>
      <c r="I73" t="s">
        <v>139</v>
      </c>
      <c r="J73" t="s">
        <v>139</v>
      </c>
      <c r="M73" t="s">
        <v>139</v>
      </c>
    </row>
    <row r="74" spans="1:14" x14ac:dyDescent="0.45">
      <c r="A74" s="5" t="s">
        <v>354</v>
      </c>
      <c r="B74" s="5" t="s">
        <v>140</v>
      </c>
      <c r="C74" s="5" t="s">
        <v>355</v>
      </c>
      <c r="D74" s="5" t="s">
        <v>335</v>
      </c>
      <c r="E74" s="5" t="s">
        <v>356</v>
      </c>
      <c r="F74" s="5" t="s">
        <v>159</v>
      </c>
      <c r="G74" s="5" t="s">
        <v>160</v>
      </c>
      <c r="H74" s="5" t="s">
        <v>357</v>
      </c>
      <c r="I74" s="5" t="s">
        <v>139</v>
      </c>
      <c r="J74" s="5" t="s">
        <v>139</v>
      </c>
      <c r="K74" s="5"/>
      <c r="L74" s="5"/>
      <c r="M74" s="5" t="s">
        <v>139</v>
      </c>
      <c r="N74" s="5"/>
    </row>
    <row r="75" spans="1:14" x14ac:dyDescent="0.45">
      <c r="A75" t="s">
        <v>422</v>
      </c>
      <c r="B75" t="s">
        <v>133</v>
      </c>
      <c r="C75" t="s">
        <v>423</v>
      </c>
      <c r="D75" t="s">
        <v>424</v>
      </c>
      <c r="E75" t="s">
        <v>425</v>
      </c>
      <c r="F75" t="s">
        <v>426</v>
      </c>
      <c r="G75" t="s">
        <v>145</v>
      </c>
      <c r="J75" t="s">
        <v>139</v>
      </c>
      <c r="M75" t="s">
        <v>139</v>
      </c>
    </row>
    <row r="76" spans="1:14" x14ac:dyDescent="0.45">
      <c r="A76" s="6" t="s">
        <v>427</v>
      </c>
      <c r="B76" s="7"/>
      <c r="C76" s="7"/>
      <c r="D76" s="7"/>
      <c r="E76" s="7"/>
      <c r="F76" s="7"/>
      <c r="G76" s="7"/>
      <c r="H76" s="7"/>
      <c r="I76" s="7"/>
      <c r="J76" s="7"/>
      <c r="K76" s="7"/>
      <c r="L76" s="7"/>
      <c r="M76" s="7"/>
      <c r="N76" s="7"/>
    </row>
    <row r="77" spans="1:14" x14ac:dyDescent="0.45">
      <c r="A77" s="5" t="s">
        <v>428</v>
      </c>
      <c r="B77" s="5" t="s">
        <v>133</v>
      </c>
      <c r="C77" s="5" t="s">
        <v>429</v>
      </c>
      <c r="D77" s="5" t="s">
        <v>381</v>
      </c>
      <c r="E77" s="5" t="s">
        <v>430</v>
      </c>
      <c r="F77" s="5" t="s">
        <v>431</v>
      </c>
      <c r="G77" s="5" t="s">
        <v>145</v>
      </c>
      <c r="H77" s="5" t="s">
        <v>467</v>
      </c>
      <c r="I77" s="5" t="s">
        <v>139</v>
      </c>
      <c r="J77" s="5" t="s">
        <v>139</v>
      </c>
      <c r="K77" s="5"/>
      <c r="L77" s="5"/>
      <c r="M77" s="5" t="s">
        <v>139</v>
      </c>
      <c r="N77" s="5"/>
    </row>
    <row r="78" spans="1:14" x14ac:dyDescent="0.45">
      <c r="A78" t="s">
        <v>433</v>
      </c>
      <c r="B78" t="s">
        <v>140</v>
      </c>
      <c r="C78" t="s">
        <v>434</v>
      </c>
      <c r="D78" t="s">
        <v>435</v>
      </c>
      <c r="E78" t="s">
        <v>436</v>
      </c>
      <c r="F78" t="s">
        <v>159</v>
      </c>
      <c r="G78" t="s">
        <v>160</v>
      </c>
      <c r="J78" t="s">
        <v>139</v>
      </c>
      <c r="M78" t="s">
        <v>139</v>
      </c>
    </row>
    <row r="79" spans="1:14" x14ac:dyDescent="0.45">
      <c r="A79" s="5" t="s">
        <v>437</v>
      </c>
      <c r="B79" s="5" t="s">
        <v>140</v>
      </c>
      <c r="C79" s="5" t="s">
        <v>438</v>
      </c>
      <c r="D79" s="5" t="s">
        <v>435</v>
      </c>
      <c r="E79" s="5" t="s">
        <v>436</v>
      </c>
      <c r="F79" s="5" t="s">
        <v>159</v>
      </c>
      <c r="G79" s="5" t="s">
        <v>160</v>
      </c>
      <c r="H79" s="5"/>
      <c r="I79" s="5" t="s">
        <v>139</v>
      </c>
      <c r="J79" s="5" t="s">
        <v>139</v>
      </c>
      <c r="K79" s="5"/>
      <c r="L79" s="5"/>
      <c r="M79" s="5" t="s">
        <v>139</v>
      </c>
      <c r="N79" s="5"/>
    </row>
    <row r="80" spans="1:14" x14ac:dyDescent="0.45">
      <c r="A80" t="s">
        <v>439</v>
      </c>
      <c r="B80" t="s">
        <v>140</v>
      </c>
      <c r="C80" t="s">
        <v>440</v>
      </c>
      <c r="D80" t="s">
        <v>435</v>
      </c>
      <c r="E80" t="s">
        <v>436</v>
      </c>
      <c r="F80" t="s">
        <v>159</v>
      </c>
      <c r="G80" t="s">
        <v>160</v>
      </c>
      <c r="I80" t="s">
        <v>139</v>
      </c>
      <c r="J80" t="s">
        <v>139</v>
      </c>
      <c r="M80" t="s">
        <v>139</v>
      </c>
    </row>
    <row r="81" spans="1:14" x14ac:dyDescent="0.45">
      <c r="A81" s="5" t="s">
        <v>468</v>
      </c>
      <c r="B81" s="5" t="s">
        <v>140</v>
      </c>
      <c r="C81" s="5" t="s">
        <v>442</v>
      </c>
      <c r="D81" s="5" t="s">
        <v>470</v>
      </c>
      <c r="E81" s="5" t="s">
        <v>501</v>
      </c>
      <c r="F81" s="5" t="s">
        <v>159</v>
      </c>
      <c r="G81" s="5" t="s">
        <v>160</v>
      </c>
      <c r="H81" s="5" t="s">
        <v>502</v>
      </c>
      <c r="I81" s="5" t="s">
        <v>139</v>
      </c>
      <c r="J81" s="5" t="s">
        <v>139</v>
      </c>
      <c r="K81" s="5" t="s">
        <v>139</v>
      </c>
      <c r="L81" s="5"/>
      <c r="M81" s="5" t="s">
        <v>139</v>
      </c>
      <c r="N81" s="5"/>
    </row>
    <row r="82" spans="1:14" x14ac:dyDescent="0.45">
      <c r="A82" t="s">
        <v>503</v>
      </c>
      <c r="B82" t="s">
        <v>140</v>
      </c>
      <c r="C82" t="s">
        <v>504</v>
      </c>
      <c r="D82" t="s">
        <v>470</v>
      </c>
      <c r="E82" t="s">
        <v>505</v>
      </c>
      <c r="F82" t="s">
        <v>159</v>
      </c>
      <c r="G82" t="s">
        <v>160</v>
      </c>
      <c r="H82" t="s">
        <v>505</v>
      </c>
      <c r="J82" t="s">
        <v>139</v>
      </c>
      <c r="M82" t="s">
        <v>139</v>
      </c>
    </row>
    <row r="83" spans="1:14" x14ac:dyDescent="0.45">
      <c r="A83" s="5" t="s">
        <v>506</v>
      </c>
      <c r="B83" s="5" t="s">
        <v>140</v>
      </c>
      <c r="C83" s="5" t="s">
        <v>507</v>
      </c>
      <c r="D83" s="5" t="s">
        <v>470</v>
      </c>
      <c r="E83" s="5" t="s">
        <v>501</v>
      </c>
      <c r="F83" s="5" t="s">
        <v>159</v>
      </c>
      <c r="G83" s="5" t="s">
        <v>160</v>
      </c>
      <c r="H83" s="5" t="s">
        <v>502</v>
      </c>
      <c r="I83" s="5" t="s">
        <v>139</v>
      </c>
      <c r="J83" s="5" t="s">
        <v>139</v>
      </c>
      <c r="K83" s="5"/>
      <c r="L83" s="5"/>
      <c r="M83" s="5" t="s">
        <v>139</v>
      </c>
      <c r="N83" s="5"/>
    </row>
    <row r="84" spans="1:14" x14ac:dyDescent="0.45">
      <c r="A84" t="s">
        <v>441</v>
      </c>
      <c r="B84" t="s">
        <v>224</v>
      </c>
      <c r="D84" t="s">
        <v>381</v>
      </c>
      <c r="F84" t="s">
        <v>444</v>
      </c>
      <c r="G84" t="s">
        <v>138</v>
      </c>
      <c r="H84" t="s">
        <v>476</v>
      </c>
      <c r="M84" t="s">
        <v>139</v>
      </c>
    </row>
    <row r="85" spans="1:14" x14ac:dyDescent="0.45">
      <c r="A85" s="5" t="s">
        <v>445</v>
      </c>
      <c r="B85" s="5" t="s">
        <v>133</v>
      </c>
      <c r="C85" s="5" t="s">
        <v>446</v>
      </c>
      <c r="D85" s="5" t="s">
        <v>381</v>
      </c>
      <c r="E85" s="5" t="s">
        <v>447</v>
      </c>
      <c r="F85" s="5" t="s">
        <v>448</v>
      </c>
      <c r="G85" s="5" t="s">
        <v>449</v>
      </c>
      <c r="H85" s="5"/>
      <c r="I85" s="5" t="s">
        <v>139</v>
      </c>
      <c r="J85" s="5" t="s">
        <v>139</v>
      </c>
      <c r="K85" s="5"/>
      <c r="L85" s="5"/>
      <c r="M85" s="5" t="s">
        <v>139</v>
      </c>
      <c r="N85" s="5"/>
    </row>
  </sheetData>
  <mergeCells count="12">
    <mergeCell ref="B2:N2"/>
    <mergeCell ref="A1:N1"/>
    <mergeCell ref="A65:N65"/>
    <mergeCell ref="A76:N76"/>
    <mergeCell ref="A11:N11"/>
    <mergeCell ref="A49:N49"/>
    <mergeCell ref="B3:N3"/>
    <mergeCell ref="A56:N56"/>
    <mergeCell ref="B5:N5"/>
    <mergeCell ref="B4:N4"/>
    <mergeCell ref="A30:N30"/>
    <mergeCell ref="A7:N7"/>
  </mergeCells>
  <dataValidations count="1">
    <dataValidation type="list" allowBlank="1" errorTitle="Invalid Review Status" error="Choose a review status from the list." sqref="N2:N85" xr:uid="{00000000-0002-0000-0D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83"/>
  <sheetViews>
    <sheetView workbookViewId="0">
      <pane ySplit="6" topLeftCell="A7" activePane="bottomLeft" state="frozen"/>
      <selection pane="bottomLeft"/>
    </sheetView>
  </sheetViews>
  <sheetFormatPr defaultRowHeight="14.25" x14ac:dyDescent="0.45"/>
  <cols>
    <col min="1" max="1" width="50" customWidth="1"/>
    <col min="2" max="2" width="18"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508</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40</v>
      </c>
      <c r="C4" s="7"/>
      <c r="D4" s="7"/>
      <c r="E4" s="7"/>
      <c r="F4" s="7"/>
      <c r="G4" s="7"/>
      <c r="H4" s="7"/>
      <c r="I4" s="7"/>
      <c r="J4" s="7"/>
      <c r="K4" s="7"/>
      <c r="L4" s="7"/>
      <c r="M4" s="7"/>
      <c r="N4" s="7"/>
    </row>
    <row r="5" spans="1:14" x14ac:dyDescent="0.45">
      <c r="A5" s="4" t="s">
        <v>21</v>
      </c>
      <c r="B5" s="7" t="s">
        <v>65</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509</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414</v>
      </c>
      <c r="E62" t="s">
        <v>415</v>
      </c>
      <c r="F62" t="s">
        <v>309</v>
      </c>
      <c r="G62" t="s">
        <v>138</v>
      </c>
      <c r="H62" t="s">
        <v>416</v>
      </c>
      <c r="I62" t="s">
        <v>139</v>
      </c>
      <c r="J62" t="s">
        <v>139</v>
      </c>
      <c r="M62" t="s">
        <v>139</v>
      </c>
    </row>
    <row r="63" spans="1:14" x14ac:dyDescent="0.45">
      <c r="A63" s="5" t="s">
        <v>314</v>
      </c>
      <c r="B63" s="5" t="s">
        <v>140</v>
      </c>
      <c r="C63" s="5" t="s">
        <v>315</v>
      </c>
      <c r="D63" s="5" t="s">
        <v>135</v>
      </c>
      <c r="E63" s="5" t="s">
        <v>316</v>
      </c>
      <c r="F63" s="5" t="s">
        <v>159</v>
      </c>
      <c r="G63" s="5" t="s">
        <v>160</v>
      </c>
      <c r="H63" s="5"/>
      <c r="I63" s="5"/>
      <c r="J63" s="5" t="s">
        <v>139</v>
      </c>
      <c r="K63" s="5"/>
      <c r="L63" s="5"/>
      <c r="M63" s="5" t="s">
        <v>139</v>
      </c>
      <c r="N63" s="5"/>
    </row>
    <row r="64" spans="1:14" x14ac:dyDescent="0.45">
      <c r="A64" t="s">
        <v>317</v>
      </c>
      <c r="B64" t="s">
        <v>224</v>
      </c>
      <c r="D64" t="s">
        <v>381</v>
      </c>
      <c r="F64" t="s">
        <v>319</v>
      </c>
      <c r="G64" t="s">
        <v>138</v>
      </c>
      <c r="H64" t="s">
        <v>417</v>
      </c>
      <c r="I64" t="s">
        <v>139</v>
      </c>
      <c r="J64" t="s">
        <v>139</v>
      </c>
      <c r="M64" t="s">
        <v>139</v>
      </c>
    </row>
    <row r="65" spans="1:14" x14ac:dyDescent="0.45">
      <c r="A65" s="6" t="s">
        <v>329</v>
      </c>
      <c r="B65" s="7"/>
      <c r="C65" s="7"/>
      <c r="D65" s="7"/>
      <c r="E65" s="7"/>
      <c r="F65" s="7"/>
      <c r="G65" s="7"/>
      <c r="H65" s="7"/>
      <c r="I65" s="7"/>
      <c r="J65" s="7"/>
      <c r="K65" s="7"/>
      <c r="L65" s="7"/>
      <c r="M65" s="7"/>
      <c r="N65" s="7"/>
    </row>
    <row r="66" spans="1:14" x14ac:dyDescent="0.45">
      <c r="A66" s="5" t="s">
        <v>330</v>
      </c>
      <c r="B66" s="5" t="s">
        <v>307</v>
      </c>
      <c r="C66" s="5" t="s">
        <v>331</v>
      </c>
      <c r="D66" s="5" t="s">
        <v>381</v>
      </c>
      <c r="E66" s="5"/>
      <c r="F66" s="5" t="s">
        <v>418</v>
      </c>
      <c r="G66" s="5" t="s">
        <v>138</v>
      </c>
      <c r="H66" s="5" t="s">
        <v>419</v>
      </c>
      <c r="I66" s="5" t="s">
        <v>139</v>
      </c>
      <c r="J66" s="5" t="s">
        <v>139</v>
      </c>
      <c r="K66" s="5"/>
      <c r="L66" s="5"/>
      <c r="M66" s="5" t="s">
        <v>139</v>
      </c>
      <c r="N66" s="5"/>
    </row>
    <row r="67" spans="1:14" x14ac:dyDescent="0.45">
      <c r="A67" t="s">
        <v>333</v>
      </c>
      <c r="B67" t="s">
        <v>140</v>
      </c>
      <c r="C67" t="s">
        <v>334</v>
      </c>
      <c r="D67" t="s">
        <v>335</v>
      </c>
      <c r="E67" t="s">
        <v>336</v>
      </c>
      <c r="F67" t="s">
        <v>159</v>
      </c>
      <c r="G67" t="s">
        <v>160</v>
      </c>
      <c r="I67" t="s">
        <v>139</v>
      </c>
      <c r="J67" t="s">
        <v>139</v>
      </c>
      <c r="M67" t="s">
        <v>139</v>
      </c>
    </row>
    <row r="68" spans="1:14" x14ac:dyDescent="0.45">
      <c r="A68" s="5" t="s">
        <v>337</v>
      </c>
      <c r="B68" s="5" t="s">
        <v>140</v>
      </c>
      <c r="C68" s="5" t="s">
        <v>338</v>
      </c>
      <c r="D68" s="5" t="s">
        <v>335</v>
      </c>
      <c r="E68" s="5" t="s">
        <v>339</v>
      </c>
      <c r="F68" s="5" t="s">
        <v>159</v>
      </c>
      <c r="G68" s="5" t="s">
        <v>160</v>
      </c>
      <c r="H68" s="5"/>
      <c r="I68" s="5" t="s">
        <v>139</v>
      </c>
      <c r="J68" s="5" t="s">
        <v>139</v>
      </c>
      <c r="K68" s="5"/>
      <c r="L68" s="5"/>
      <c r="M68" s="5" t="s">
        <v>139</v>
      </c>
      <c r="N68" s="5"/>
    </row>
    <row r="69" spans="1:14" x14ac:dyDescent="0.45">
      <c r="A69" t="s">
        <v>340</v>
      </c>
      <c r="B69" t="s">
        <v>140</v>
      </c>
      <c r="C69" t="s">
        <v>341</v>
      </c>
      <c r="D69" t="s">
        <v>335</v>
      </c>
      <c r="E69" t="s">
        <v>342</v>
      </c>
      <c r="F69" t="s">
        <v>159</v>
      </c>
      <c r="G69" t="s">
        <v>160</v>
      </c>
      <c r="I69" t="s">
        <v>139</v>
      </c>
      <c r="J69" t="s">
        <v>139</v>
      </c>
      <c r="M69" t="s">
        <v>139</v>
      </c>
    </row>
    <row r="70" spans="1:14" x14ac:dyDescent="0.45">
      <c r="A70" s="5" t="s">
        <v>343</v>
      </c>
      <c r="B70" s="5" t="s">
        <v>140</v>
      </c>
      <c r="C70" s="5" t="s">
        <v>344</v>
      </c>
      <c r="D70" s="5" t="s">
        <v>135</v>
      </c>
      <c r="E70" s="5" t="s">
        <v>345</v>
      </c>
      <c r="F70" s="5" t="s">
        <v>159</v>
      </c>
      <c r="G70" s="5" t="s">
        <v>138</v>
      </c>
      <c r="H70" s="5"/>
      <c r="I70" s="5" t="s">
        <v>139</v>
      </c>
      <c r="J70" s="5" t="s">
        <v>139</v>
      </c>
      <c r="K70" s="5"/>
      <c r="L70" s="5"/>
      <c r="M70" s="5" t="s">
        <v>139</v>
      </c>
      <c r="N70" s="5"/>
    </row>
    <row r="71" spans="1:14" x14ac:dyDescent="0.45">
      <c r="A71" t="s">
        <v>346</v>
      </c>
      <c r="B71" t="s">
        <v>140</v>
      </c>
      <c r="C71" t="s">
        <v>347</v>
      </c>
      <c r="D71" t="s">
        <v>135</v>
      </c>
      <c r="E71" t="s">
        <v>345</v>
      </c>
      <c r="F71" t="s">
        <v>159</v>
      </c>
      <c r="G71" t="s">
        <v>138</v>
      </c>
      <c r="I71" t="s">
        <v>139</v>
      </c>
      <c r="J71" t="s">
        <v>139</v>
      </c>
      <c r="M71" t="s">
        <v>139</v>
      </c>
    </row>
    <row r="72" spans="1:14" x14ac:dyDescent="0.45">
      <c r="A72" s="5" t="s">
        <v>348</v>
      </c>
      <c r="B72" s="5" t="s">
        <v>140</v>
      </c>
      <c r="C72" s="5" t="s">
        <v>349</v>
      </c>
      <c r="D72" s="5" t="s">
        <v>335</v>
      </c>
      <c r="E72" s="5" t="s">
        <v>350</v>
      </c>
      <c r="F72" s="5" t="s">
        <v>159</v>
      </c>
      <c r="G72" s="5" t="s">
        <v>160</v>
      </c>
      <c r="H72" s="5"/>
      <c r="I72" s="5" t="s">
        <v>139</v>
      </c>
      <c r="J72" s="5" t="s">
        <v>139</v>
      </c>
      <c r="K72" s="5"/>
      <c r="L72" s="5"/>
      <c r="M72" s="5" t="s">
        <v>139</v>
      </c>
      <c r="N72" s="5"/>
    </row>
    <row r="73" spans="1:14" x14ac:dyDescent="0.45">
      <c r="A73" t="s">
        <v>351</v>
      </c>
      <c r="B73" t="s">
        <v>307</v>
      </c>
      <c r="C73" t="s">
        <v>352</v>
      </c>
      <c r="D73" t="s">
        <v>381</v>
      </c>
      <c r="F73" t="s">
        <v>420</v>
      </c>
      <c r="G73" t="s">
        <v>138</v>
      </c>
      <c r="H73" t="s">
        <v>421</v>
      </c>
      <c r="I73" t="s">
        <v>139</v>
      </c>
      <c r="J73" t="s">
        <v>139</v>
      </c>
      <c r="M73" t="s">
        <v>139</v>
      </c>
    </row>
    <row r="74" spans="1:14" x14ac:dyDescent="0.45">
      <c r="A74" s="5" t="s">
        <v>354</v>
      </c>
      <c r="B74" s="5" t="s">
        <v>140</v>
      </c>
      <c r="C74" s="5" t="s">
        <v>355</v>
      </c>
      <c r="D74" s="5" t="s">
        <v>335</v>
      </c>
      <c r="E74" s="5" t="s">
        <v>356</v>
      </c>
      <c r="F74" s="5" t="s">
        <v>159</v>
      </c>
      <c r="G74" s="5" t="s">
        <v>160</v>
      </c>
      <c r="H74" s="5" t="s">
        <v>357</v>
      </c>
      <c r="I74" s="5" t="s">
        <v>139</v>
      </c>
      <c r="J74" s="5" t="s">
        <v>139</v>
      </c>
      <c r="K74" s="5"/>
      <c r="L74" s="5"/>
      <c r="M74" s="5" t="s">
        <v>139</v>
      </c>
      <c r="N74" s="5"/>
    </row>
    <row r="75" spans="1:14" x14ac:dyDescent="0.45">
      <c r="A75" t="s">
        <v>422</v>
      </c>
      <c r="B75" t="s">
        <v>133</v>
      </c>
      <c r="C75" t="s">
        <v>423</v>
      </c>
      <c r="D75" t="s">
        <v>424</v>
      </c>
      <c r="E75" t="s">
        <v>425</v>
      </c>
      <c r="F75" t="s">
        <v>426</v>
      </c>
      <c r="G75" t="s">
        <v>145</v>
      </c>
      <c r="J75" t="s">
        <v>139</v>
      </c>
      <c r="M75" t="s">
        <v>139</v>
      </c>
    </row>
    <row r="76" spans="1:14" x14ac:dyDescent="0.45">
      <c r="A76" s="6" t="s">
        <v>427</v>
      </c>
      <c r="B76" s="7"/>
      <c r="C76" s="7"/>
      <c r="D76" s="7"/>
      <c r="E76" s="7"/>
      <c r="F76" s="7"/>
      <c r="G76" s="7"/>
      <c r="H76" s="7"/>
      <c r="I76" s="7"/>
      <c r="J76" s="7"/>
      <c r="K76" s="7"/>
      <c r="L76" s="7"/>
      <c r="M76" s="7"/>
      <c r="N76" s="7"/>
    </row>
    <row r="77" spans="1:14" x14ac:dyDescent="0.45">
      <c r="A77" s="5" t="s">
        <v>428</v>
      </c>
      <c r="B77" s="5" t="s">
        <v>133</v>
      </c>
      <c r="C77" s="5" t="s">
        <v>429</v>
      </c>
      <c r="D77" s="5" t="s">
        <v>381</v>
      </c>
      <c r="E77" s="5" t="s">
        <v>430</v>
      </c>
      <c r="F77" s="5" t="s">
        <v>431</v>
      </c>
      <c r="G77" s="5" t="s">
        <v>145</v>
      </c>
      <c r="H77" s="5" t="s">
        <v>467</v>
      </c>
      <c r="I77" s="5" t="s">
        <v>139</v>
      </c>
      <c r="J77" s="5" t="s">
        <v>139</v>
      </c>
      <c r="K77" s="5"/>
      <c r="L77" s="5"/>
      <c r="M77" s="5" t="s">
        <v>139</v>
      </c>
      <c r="N77" s="5"/>
    </row>
    <row r="78" spans="1:14" x14ac:dyDescent="0.45">
      <c r="A78" t="s">
        <v>433</v>
      </c>
      <c r="B78" t="s">
        <v>140</v>
      </c>
      <c r="C78" t="s">
        <v>434</v>
      </c>
      <c r="D78" t="s">
        <v>435</v>
      </c>
      <c r="E78" t="s">
        <v>436</v>
      </c>
      <c r="F78" t="s">
        <v>159</v>
      </c>
      <c r="G78" t="s">
        <v>160</v>
      </c>
      <c r="J78" t="s">
        <v>139</v>
      </c>
      <c r="M78" t="s">
        <v>139</v>
      </c>
    </row>
    <row r="79" spans="1:14" x14ac:dyDescent="0.45">
      <c r="A79" s="5" t="s">
        <v>437</v>
      </c>
      <c r="B79" s="5" t="s">
        <v>140</v>
      </c>
      <c r="C79" s="5" t="s">
        <v>438</v>
      </c>
      <c r="D79" s="5" t="s">
        <v>435</v>
      </c>
      <c r="E79" s="5" t="s">
        <v>436</v>
      </c>
      <c r="F79" s="5" t="s">
        <v>159</v>
      </c>
      <c r="G79" s="5" t="s">
        <v>160</v>
      </c>
      <c r="H79" s="5"/>
      <c r="I79" s="5" t="s">
        <v>139</v>
      </c>
      <c r="J79" s="5" t="s">
        <v>139</v>
      </c>
      <c r="K79" s="5"/>
      <c r="L79" s="5"/>
      <c r="M79" s="5" t="s">
        <v>139</v>
      </c>
      <c r="N79" s="5"/>
    </row>
    <row r="80" spans="1:14" x14ac:dyDescent="0.45">
      <c r="A80" t="s">
        <v>439</v>
      </c>
      <c r="B80" t="s">
        <v>140</v>
      </c>
      <c r="C80" t="s">
        <v>440</v>
      </c>
      <c r="D80" t="s">
        <v>435</v>
      </c>
      <c r="E80" t="s">
        <v>436</v>
      </c>
      <c r="F80" t="s">
        <v>159</v>
      </c>
      <c r="G80" t="s">
        <v>160</v>
      </c>
      <c r="I80" t="s">
        <v>139</v>
      </c>
      <c r="J80" t="s">
        <v>139</v>
      </c>
      <c r="M80" t="s">
        <v>139</v>
      </c>
    </row>
    <row r="81" spans="1:14" x14ac:dyDescent="0.45">
      <c r="A81" s="5" t="s">
        <v>510</v>
      </c>
      <c r="B81" s="5" t="s">
        <v>140</v>
      </c>
      <c r="C81" s="5"/>
      <c r="D81" s="5" t="s">
        <v>511</v>
      </c>
      <c r="E81" s="5" t="s">
        <v>512</v>
      </c>
      <c r="F81" s="5" t="s">
        <v>159</v>
      </c>
      <c r="G81" s="5" t="s">
        <v>449</v>
      </c>
      <c r="H81" s="5" t="s">
        <v>513</v>
      </c>
      <c r="I81" s="5" t="s">
        <v>139</v>
      </c>
      <c r="J81" s="5" t="s">
        <v>139</v>
      </c>
      <c r="K81" s="5"/>
      <c r="L81" s="5"/>
      <c r="M81" s="5" t="s">
        <v>139</v>
      </c>
      <c r="N81" s="5"/>
    </row>
    <row r="82" spans="1:14" x14ac:dyDescent="0.45">
      <c r="A82" t="s">
        <v>441</v>
      </c>
      <c r="B82" t="s">
        <v>224</v>
      </c>
      <c r="D82" t="s">
        <v>381</v>
      </c>
      <c r="E82" t="s">
        <v>443</v>
      </c>
      <c r="F82" t="s">
        <v>444</v>
      </c>
      <c r="G82" t="s">
        <v>138</v>
      </c>
      <c r="H82" t="s">
        <v>514</v>
      </c>
      <c r="M82" t="s">
        <v>139</v>
      </c>
    </row>
    <row r="83" spans="1:14" x14ac:dyDescent="0.45">
      <c r="A83" s="5" t="s">
        <v>445</v>
      </c>
      <c r="B83" s="5" t="s">
        <v>133</v>
      </c>
      <c r="C83" s="5" t="s">
        <v>446</v>
      </c>
      <c r="D83" s="5" t="s">
        <v>381</v>
      </c>
      <c r="E83" s="5" t="s">
        <v>447</v>
      </c>
      <c r="F83" s="5" t="s">
        <v>448</v>
      </c>
      <c r="G83" s="5" t="s">
        <v>449</v>
      </c>
      <c r="H83" s="5"/>
      <c r="I83" s="5" t="s">
        <v>139</v>
      </c>
      <c r="J83" s="5" t="s">
        <v>139</v>
      </c>
      <c r="K83" s="5"/>
      <c r="L83" s="5"/>
      <c r="M83" s="5" t="s">
        <v>139</v>
      </c>
      <c r="N83" s="5"/>
    </row>
  </sheetData>
  <mergeCells count="12">
    <mergeCell ref="B2:N2"/>
    <mergeCell ref="A1:N1"/>
    <mergeCell ref="A65:N65"/>
    <mergeCell ref="A76:N76"/>
    <mergeCell ref="A11:N11"/>
    <mergeCell ref="A49:N49"/>
    <mergeCell ref="B3:N3"/>
    <mergeCell ref="A56:N56"/>
    <mergeCell ref="B5:N5"/>
    <mergeCell ref="B4:N4"/>
    <mergeCell ref="A30:N30"/>
    <mergeCell ref="A7:N7"/>
  </mergeCells>
  <dataValidations count="1">
    <dataValidation type="list" allowBlank="1" errorTitle="Invalid Review Status" error="Choose a review status from the list." sqref="N2:N83" xr:uid="{00000000-0002-0000-0E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87"/>
  <sheetViews>
    <sheetView workbookViewId="0">
      <pane ySplit="6" topLeftCell="A7" activePane="bottomLeft" state="frozen"/>
      <selection pane="bottomLeft"/>
    </sheetView>
  </sheetViews>
  <sheetFormatPr defaultRowHeight="14.25" x14ac:dyDescent="0.45"/>
  <cols>
    <col min="1" max="1" width="50" customWidth="1"/>
    <col min="2" max="2" width="20"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515</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44</v>
      </c>
      <c r="C4" s="7"/>
      <c r="D4" s="7"/>
      <c r="E4" s="7"/>
      <c r="F4" s="7"/>
      <c r="G4" s="7"/>
      <c r="H4" s="7"/>
      <c r="I4" s="7"/>
      <c r="J4" s="7"/>
      <c r="K4" s="7"/>
      <c r="L4" s="7"/>
      <c r="M4" s="7"/>
      <c r="N4" s="7"/>
    </row>
    <row r="5" spans="1:14" x14ac:dyDescent="0.45">
      <c r="A5" s="4" t="s">
        <v>21</v>
      </c>
      <c r="B5" s="7" t="s">
        <v>68</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414</v>
      </c>
      <c r="E62" t="s">
        <v>415</v>
      </c>
      <c r="F62" t="s">
        <v>309</v>
      </c>
      <c r="G62" t="s">
        <v>138</v>
      </c>
      <c r="H62" t="s">
        <v>416</v>
      </c>
      <c r="I62" t="s">
        <v>139</v>
      </c>
      <c r="J62" t="s">
        <v>139</v>
      </c>
      <c r="M62" t="s">
        <v>139</v>
      </c>
    </row>
    <row r="63" spans="1:14" x14ac:dyDescent="0.45">
      <c r="A63" s="5" t="s">
        <v>314</v>
      </c>
      <c r="B63" s="5" t="s">
        <v>140</v>
      </c>
      <c r="C63" s="5" t="s">
        <v>315</v>
      </c>
      <c r="D63" s="5" t="s">
        <v>135</v>
      </c>
      <c r="E63" s="5" t="s">
        <v>316</v>
      </c>
      <c r="F63" s="5" t="s">
        <v>159</v>
      </c>
      <c r="G63" s="5" t="s">
        <v>160</v>
      </c>
      <c r="H63" s="5"/>
      <c r="I63" s="5"/>
      <c r="J63" s="5" t="s">
        <v>139</v>
      </c>
      <c r="K63" s="5"/>
      <c r="L63" s="5"/>
      <c r="M63" s="5" t="s">
        <v>139</v>
      </c>
      <c r="N63" s="5"/>
    </row>
    <row r="64" spans="1:14" x14ac:dyDescent="0.45">
      <c r="A64" t="s">
        <v>317</v>
      </c>
      <c r="B64" t="s">
        <v>224</v>
      </c>
      <c r="D64" t="s">
        <v>381</v>
      </c>
      <c r="F64" t="s">
        <v>319</v>
      </c>
      <c r="G64" t="s">
        <v>138</v>
      </c>
      <c r="H64" t="s">
        <v>417</v>
      </c>
      <c r="I64" t="s">
        <v>139</v>
      </c>
      <c r="J64" t="s">
        <v>139</v>
      </c>
      <c r="M64" t="s">
        <v>139</v>
      </c>
    </row>
    <row r="65" spans="1:14" x14ac:dyDescent="0.45">
      <c r="A65" s="6" t="s">
        <v>329</v>
      </c>
      <c r="B65" s="7"/>
      <c r="C65" s="7"/>
      <c r="D65" s="7"/>
      <c r="E65" s="7"/>
      <c r="F65" s="7"/>
      <c r="G65" s="7"/>
      <c r="H65" s="7"/>
      <c r="I65" s="7"/>
      <c r="J65" s="7"/>
      <c r="K65" s="7"/>
      <c r="L65" s="7"/>
      <c r="M65" s="7"/>
      <c r="N65" s="7"/>
    </row>
    <row r="66" spans="1:14" x14ac:dyDescent="0.45">
      <c r="A66" s="5" t="s">
        <v>330</v>
      </c>
      <c r="B66" s="5" t="s">
        <v>307</v>
      </c>
      <c r="C66" s="5" t="s">
        <v>331</v>
      </c>
      <c r="D66" s="5" t="s">
        <v>381</v>
      </c>
      <c r="E66" s="5"/>
      <c r="F66" s="5" t="s">
        <v>418</v>
      </c>
      <c r="G66" s="5" t="s">
        <v>138</v>
      </c>
      <c r="H66" s="5" t="s">
        <v>419</v>
      </c>
      <c r="I66" s="5" t="s">
        <v>139</v>
      </c>
      <c r="J66" s="5" t="s">
        <v>139</v>
      </c>
      <c r="K66" s="5"/>
      <c r="L66" s="5"/>
      <c r="M66" s="5" t="s">
        <v>139</v>
      </c>
      <c r="N66" s="5"/>
    </row>
    <row r="67" spans="1:14" x14ac:dyDescent="0.45">
      <c r="A67" t="s">
        <v>333</v>
      </c>
      <c r="B67" t="s">
        <v>140</v>
      </c>
      <c r="C67" t="s">
        <v>334</v>
      </c>
      <c r="D67" t="s">
        <v>335</v>
      </c>
      <c r="E67" t="s">
        <v>336</v>
      </c>
      <c r="F67" t="s">
        <v>159</v>
      </c>
      <c r="G67" t="s">
        <v>160</v>
      </c>
      <c r="I67" t="s">
        <v>139</v>
      </c>
      <c r="J67" t="s">
        <v>139</v>
      </c>
      <c r="M67" t="s">
        <v>139</v>
      </c>
    </row>
    <row r="68" spans="1:14" x14ac:dyDescent="0.45">
      <c r="A68" s="5" t="s">
        <v>337</v>
      </c>
      <c r="B68" s="5" t="s">
        <v>140</v>
      </c>
      <c r="C68" s="5" t="s">
        <v>338</v>
      </c>
      <c r="D68" s="5" t="s">
        <v>335</v>
      </c>
      <c r="E68" s="5" t="s">
        <v>339</v>
      </c>
      <c r="F68" s="5" t="s">
        <v>159</v>
      </c>
      <c r="G68" s="5" t="s">
        <v>160</v>
      </c>
      <c r="H68" s="5"/>
      <c r="I68" s="5" t="s">
        <v>139</v>
      </c>
      <c r="J68" s="5" t="s">
        <v>139</v>
      </c>
      <c r="K68" s="5"/>
      <c r="L68" s="5"/>
      <c r="M68" s="5" t="s">
        <v>139</v>
      </c>
      <c r="N68" s="5"/>
    </row>
    <row r="69" spans="1:14" x14ac:dyDescent="0.45">
      <c r="A69" t="s">
        <v>340</v>
      </c>
      <c r="B69" t="s">
        <v>140</v>
      </c>
      <c r="C69" t="s">
        <v>341</v>
      </c>
      <c r="D69" t="s">
        <v>335</v>
      </c>
      <c r="E69" t="s">
        <v>342</v>
      </c>
      <c r="F69" t="s">
        <v>159</v>
      </c>
      <c r="G69" t="s">
        <v>160</v>
      </c>
      <c r="I69" t="s">
        <v>139</v>
      </c>
      <c r="J69" t="s">
        <v>139</v>
      </c>
      <c r="M69" t="s">
        <v>139</v>
      </c>
    </row>
    <row r="70" spans="1:14" x14ac:dyDescent="0.45">
      <c r="A70" s="5" t="s">
        <v>343</v>
      </c>
      <c r="B70" s="5" t="s">
        <v>140</v>
      </c>
      <c r="C70" s="5" t="s">
        <v>344</v>
      </c>
      <c r="D70" s="5" t="s">
        <v>135</v>
      </c>
      <c r="E70" s="5" t="s">
        <v>345</v>
      </c>
      <c r="F70" s="5" t="s">
        <v>159</v>
      </c>
      <c r="G70" s="5" t="s">
        <v>138</v>
      </c>
      <c r="H70" s="5"/>
      <c r="I70" s="5" t="s">
        <v>139</v>
      </c>
      <c r="J70" s="5" t="s">
        <v>139</v>
      </c>
      <c r="K70" s="5"/>
      <c r="L70" s="5"/>
      <c r="M70" s="5" t="s">
        <v>139</v>
      </c>
      <c r="N70" s="5"/>
    </row>
    <row r="71" spans="1:14" x14ac:dyDescent="0.45">
      <c r="A71" t="s">
        <v>346</v>
      </c>
      <c r="B71" t="s">
        <v>140</v>
      </c>
      <c r="C71" t="s">
        <v>347</v>
      </c>
      <c r="D71" t="s">
        <v>135</v>
      </c>
      <c r="E71" t="s">
        <v>345</v>
      </c>
      <c r="F71" t="s">
        <v>159</v>
      </c>
      <c r="G71" t="s">
        <v>138</v>
      </c>
      <c r="I71" t="s">
        <v>139</v>
      </c>
      <c r="J71" t="s">
        <v>139</v>
      </c>
      <c r="M71" t="s">
        <v>139</v>
      </c>
    </row>
    <row r="72" spans="1:14" x14ac:dyDescent="0.45">
      <c r="A72" s="5" t="s">
        <v>348</v>
      </c>
      <c r="B72" s="5" t="s">
        <v>140</v>
      </c>
      <c r="C72" s="5" t="s">
        <v>349</v>
      </c>
      <c r="D72" s="5" t="s">
        <v>335</v>
      </c>
      <c r="E72" s="5" t="s">
        <v>350</v>
      </c>
      <c r="F72" s="5" t="s">
        <v>159</v>
      </c>
      <c r="G72" s="5" t="s">
        <v>160</v>
      </c>
      <c r="H72" s="5"/>
      <c r="I72" s="5" t="s">
        <v>139</v>
      </c>
      <c r="J72" s="5" t="s">
        <v>139</v>
      </c>
      <c r="K72" s="5"/>
      <c r="L72" s="5"/>
      <c r="M72" s="5" t="s">
        <v>139</v>
      </c>
      <c r="N72" s="5"/>
    </row>
    <row r="73" spans="1:14" x14ac:dyDescent="0.45">
      <c r="A73" t="s">
        <v>351</v>
      </c>
      <c r="B73" t="s">
        <v>307</v>
      </c>
      <c r="C73" t="s">
        <v>352</v>
      </c>
      <c r="D73" t="s">
        <v>381</v>
      </c>
      <c r="F73" t="s">
        <v>420</v>
      </c>
      <c r="G73" t="s">
        <v>138</v>
      </c>
      <c r="H73" t="s">
        <v>421</v>
      </c>
      <c r="I73" t="s">
        <v>139</v>
      </c>
      <c r="J73" t="s">
        <v>139</v>
      </c>
      <c r="M73" t="s">
        <v>139</v>
      </c>
    </row>
    <row r="74" spans="1:14" x14ac:dyDescent="0.45">
      <c r="A74" s="5" t="s">
        <v>354</v>
      </c>
      <c r="B74" s="5" t="s">
        <v>140</v>
      </c>
      <c r="C74" s="5" t="s">
        <v>355</v>
      </c>
      <c r="D74" s="5" t="s">
        <v>335</v>
      </c>
      <c r="E74" s="5" t="s">
        <v>356</v>
      </c>
      <c r="F74" s="5" t="s">
        <v>159</v>
      </c>
      <c r="G74" s="5" t="s">
        <v>160</v>
      </c>
      <c r="H74" s="5" t="s">
        <v>357</v>
      </c>
      <c r="I74" s="5" t="s">
        <v>139</v>
      </c>
      <c r="J74" s="5" t="s">
        <v>139</v>
      </c>
      <c r="K74" s="5"/>
      <c r="L74" s="5"/>
      <c r="M74" s="5" t="s">
        <v>139</v>
      </c>
      <c r="N74" s="5"/>
    </row>
    <row r="75" spans="1:14" x14ac:dyDescent="0.45">
      <c r="A75" t="s">
        <v>422</v>
      </c>
      <c r="B75" t="s">
        <v>133</v>
      </c>
      <c r="C75" t="s">
        <v>423</v>
      </c>
      <c r="D75" t="s">
        <v>424</v>
      </c>
      <c r="E75" t="s">
        <v>425</v>
      </c>
      <c r="F75" t="s">
        <v>426</v>
      </c>
      <c r="G75" t="s">
        <v>145</v>
      </c>
      <c r="J75" t="s">
        <v>139</v>
      </c>
      <c r="M75" t="s">
        <v>139</v>
      </c>
    </row>
    <row r="76" spans="1:14" x14ac:dyDescent="0.45">
      <c r="A76" s="6" t="s">
        <v>427</v>
      </c>
      <c r="B76" s="7"/>
      <c r="C76" s="7"/>
      <c r="D76" s="7"/>
      <c r="E76" s="7"/>
      <c r="F76" s="7"/>
      <c r="G76" s="7"/>
      <c r="H76" s="7"/>
      <c r="I76" s="7"/>
      <c r="J76" s="7"/>
      <c r="K76" s="7"/>
      <c r="L76" s="7"/>
      <c r="M76" s="7"/>
      <c r="N76" s="7"/>
    </row>
    <row r="77" spans="1:14" x14ac:dyDescent="0.45">
      <c r="A77" s="5" t="s">
        <v>428</v>
      </c>
      <c r="B77" s="5" t="s">
        <v>133</v>
      </c>
      <c r="C77" s="5" t="s">
        <v>429</v>
      </c>
      <c r="D77" s="5" t="s">
        <v>381</v>
      </c>
      <c r="E77" s="5" t="s">
        <v>430</v>
      </c>
      <c r="F77" s="5" t="s">
        <v>431</v>
      </c>
      <c r="G77" s="5" t="s">
        <v>145</v>
      </c>
      <c r="H77" s="5" t="s">
        <v>432</v>
      </c>
      <c r="I77" s="5" t="s">
        <v>139</v>
      </c>
      <c r="J77" s="5" t="s">
        <v>139</v>
      </c>
      <c r="K77" s="5"/>
      <c r="L77" s="5"/>
      <c r="M77" s="5" t="s">
        <v>139</v>
      </c>
      <c r="N77" s="5"/>
    </row>
    <row r="78" spans="1:14" x14ac:dyDescent="0.45">
      <c r="A78" t="s">
        <v>433</v>
      </c>
      <c r="B78" t="s">
        <v>140</v>
      </c>
      <c r="C78" t="s">
        <v>434</v>
      </c>
      <c r="D78" t="s">
        <v>435</v>
      </c>
      <c r="E78" t="s">
        <v>436</v>
      </c>
      <c r="F78" t="s">
        <v>159</v>
      </c>
      <c r="G78" t="s">
        <v>160</v>
      </c>
      <c r="J78" t="s">
        <v>139</v>
      </c>
      <c r="M78" t="s">
        <v>139</v>
      </c>
    </row>
    <row r="79" spans="1:14" x14ac:dyDescent="0.45">
      <c r="A79" s="5" t="s">
        <v>437</v>
      </c>
      <c r="B79" s="5" t="s">
        <v>140</v>
      </c>
      <c r="C79" s="5" t="s">
        <v>438</v>
      </c>
      <c r="D79" s="5" t="s">
        <v>435</v>
      </c>
      <c r="E79" s="5" t="s">
        <v>436</v>
      </c>
      <c r="F79" s="5" t="s">
        <v>159</v>
      </c>
      <c r="G79" s="5" t="s">
        <v>160</v>
      </c>
      <c r="H79" s="5"/>
      <c r="I79" s="5" t="s">
        <v>139</v>
      </c>
      <c r="J79" s="5" t="s">
        <v>139</v>
      </c>
      <c r="K79" s="5"/>
      <c r="L79" s="5"/>
      <c r="M79" s="5" t="s">
        <v>139</v>
      </c>
      <c r="N79" s="5"/>
    </row>
    <row r="80" spans="1:14" x14ac:dyDescent="0.45">
      <c r="A80" t="s">
        <v>439</v>
      </c>
      <c r="B80" t="s">
        <v>140</v>
      </c>
      <c r="C80" t="s">
        <v>440</v>
      </c>
      <c r="D80" t="s">
        <v>435</v>
      </c>
      <c r="E80" t="s">
        <v>436</v>
      </c>
      <c r="F80" t="s">
        <v>159</v>
      </c>
      <c r="G80" t="s">
        <v>160</v>
      </c>
      <c r="I80" t="s">
        <v>139</v>
      </c>
      <c r="J80" t="s">
        <v>139</v>
      </c>
      <c r="M80" t="s">
        <v>139</v>
      </c>
    </row>
    <row r="81" spans="1:14" x14ac:dyDescent="0.45">
      <c r="A81" s="5" t="s">
        <v>468</v>
      </c>
      <c r="B81" s="5" t="s">
        <v>140</v>
      </c>
      <c r="C81" s="5" t="s">
        <v>442</v>
      </c>
      <c r="D81" s="5" t="s">
        <v>470</v>
      </c>
      <c r="E81" s="5" t="s">
        <v>516</v>
      </c>
      <c r="F81" s="5" t="s">
        <v>159</v>
      </c>
      <c r="G81" s="5" t="s">
        <v>160</v>
      </c>
      <c r="H81" s="5"/>
      <c r="I81" s="5" t="s">
        <v>139</v>
      </c>
      <c r="J81" s="5" t="s">
        <v>139</v>
      </c>
      <c r="K81" s="5" t="s">
        <v>139</v>
      </c>
      <c r="L81" s="5"/>
      <c r="M81" s="5" t="s">
        <v>139</v>
      </c>
      <c r="N81" s="5"/>
    </row>
    <row r="82" spans="1:14" x14ac:dyDescent="0.45">
      <c r="A82" t="s">
        <v>517</v>
      </c>
      <c r="B82" t="s">
        <v>140</v>
      </c>
      <c r="C82" t="s">
        <v>518</v>
      </c>
      <c r="D82" t="s">
        <v>135</v>
      </c>
      <c r="E82" t="s">
        <v>519</v>
      </c>
      <c r="F82" t="s">
        <v>520</v>
      </c>
      <c r="G82" t="s">
        <v>521</v>
      </c>
      <c r="H82" t="s">
        <v>522</v>
      </c>
      <c r="J82" t="s">
        <v>139</v>
      </c>
      <c r="M82" t="s">
        <v>139</v>
      </c>
    </row>
    <row r="83" spans="1:14" x14ac:dyDescent="0.45">
      <c r="A83" s="5" t="s">
        <v>523</v>
      </c>
      <c r="B83" s="5" t="s">
        <v>140</v>
      </c>
      <c r="C83" s="5" t="s">
        <v>524</v>
      </c>
      <c r="D83" s="5" t="s">
        <v>470</v>
      </c>
      <c r="E83" s="5" t="s">
        <v>525</v>
      </c>
      <c r="F83" s="5" t="s">
        <v>159</v>
      </c>
      <c r="G83" s="5" t="s">
        <v>160</v>
      </c>
      <c r="H83" s="5" t="s">
        <v>526</v>
      </c>
      <c r="I83" s="5" t="s">
        <v>139</v>
      </c>
      <c r="J83" s="5" t="s">
        <v>139</v>
      </c>
      <c r="K83" s="5"/>
      <c r="L83" s="5"/>
      <c r="M83" s="5" t="s">
        <v>139</v>
      </c>
      <c r="N83" s="5"/>
    </row>
    <row r="84" spans="1:14" x14ac:dyDescent="0.45">
      <c r="A84" t="s">
        <v>441</v>
      </c>
      <c r="B84" t="s">
        <v>224</v>
      </c>
      <c r="C84" t="s">
        <v>442</v>
      </c>
      <c r="D84" t="s">
        <v>381</v>
      </c>
      <c r="E84" t="s">
        <v>443</v>
      </c>
      <c r="F84" t="s">
        <v>444</v>
      </c>
      <c r="G84" t="s">
        <v>138</v>
      </c>
      <c r="H84" t="s">
        <v>483</v>
      </c>
      <c r="M84" t="s">
        <v>139</v>
      </c>
    </row>
    <row r="85" spans="1:14" x14ac:dyDescent="0.45">
      <c r="A85" s="5" t="s">
        <v>445</v>
      </c>
      <c r="B85" s="5" t="s">
        <v>133</v>
      </c>
      <c r="C85" s="5" t="s">
        <v>446</v>
      </c>
      <c r="D85" s="5" t="s">
        <v>381</v>
      </c>
      <c r="E85" s="5" t="s">
        <v>447</v>
      </c>
      <c r="F85" s="5" t="s">
        <v>448</v>
      </c>
      <c r="G85" s="5" t="s">
        <v>449</v>
      </c>
      <c r="H85" s="5"/>
      <c r="I85" s="5" t="s">
        <v>139</v>
      </c>
      <c r="J85" s="5" t="s">
        <v>139</v>
      </c>
      <c r="K85" s="5"/>
      <c r="L85" s="5"/>
      <c r="M85" s="5" t="s">
        <v>139</v>
      </c>
      <c r="N85" s="5"/>
    </row>
    <row r="86" spans="1:14" x14ac:dyDescent="0.45">
      <c r="A86" s="6" t="s">
        <v>358</v>
      </c>
      <c r="B86" s="7"/>
      <c r="C86" s="7"/>
      <c r="D86" s="7"/>
      <c r="E86" s="7"/>
      <c r="F86" s="7"/>
      <c r="G86" s="7"/>
      <c r="H86" s="7"/>
      <c r="I86" s="7"/>
      <c r="J86" s="7"/>
      <c r="K86" s="7"/>
      <c r="L86" s="7"/>
      <c r="M86" s="7"/>
      <c r="N86" s="7"/>
    </row>
    <row r="87" spans="1:14" x14ac:dyDescent="0.45">
      <c r="A87" t="s">
        <v>452</v>
      </c>
      <c r="B87" t="s">
        <v>133</v>
      </c>
      <c r="C87" t="s">
        <v>453</v>
      </c>
      <c r="D87" t="s">
        <v>381</v>
      </c>
      <c r="E87" t="s">
        <v>454</v>
      </c>
      <c r="F87" t="s">
        <v>455</v>
      </c>
      <c r="G87" t="s">
        <v>138</v>
      </c>
      <c r="M87" t="s">
        <v>139</v>
      </c>
    </row>
  </sheetData>
  <mergeCells count="13">
    <mergeCell ref="B3:N3"/>
    <mergeCell ref="B2:N2"/>
    <mergeCell ref="A1:N1"/>
    <mergeCell ref="A56:N56"/>
    <mergeCell ref="B5:N5"/>
    <mergeCell ref="B4:N4"/>
    <mergeCell ref="A30:N30"/>
    <mergeCell ref="A86:N86"/>
    <mergeCell ref="A7:N7"/>
    <mergeCell ref="A65:N65"/>
    <mergeCell ref="A76:N76"/>
    <mergeCell ref="A11:N11"/>
    <mergeCell ref="A49:N49"/>
  </mergeCells>
  <dataValidations count="1">
    <dataValidation type="list" allowBlank="1" errorTitle="Invalid Review Status" error="Choose a review status from the list." sqref="N2:N87" xr:uid="{00000000-0002-0000-0F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88"/>
  <sheetViews>
    <sheetView workbookViewId="0">
      <pane ySplit="6" topLeftCell="A7" activePane="bottomLeft" state="frozen"/>
      <selection pane="bottomLeft"/>
    </sheetView>
  </sheetViews>
  <sheetFormatPr defaultRowHeight="14.25" x14ac:dyDescent="0.45"/>
  <cols>
    <col min="1" max="1" width="50" customWidth="1"/>
    <col min="2" max="2" width="18"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527</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44</v>
      </c>
      <c r="C4" s="7"/>
      <c r="D4" s="7"/>
      <c r="E4" s="7"/>
      <c r="F4" s="7"/>
      <c r="G4" s="7"/>
      <c r="H4" s="7"/>
      <c r="I4" s="7"/>
      <c r="J4" s="7"/>
      <c r="K4" s="7"/>
      <c r="L4" s="7"/>
      <c r="M4" s="7"/>
      <c r="N4" s="7"/>
    </row>
    <row r="5" spans="1:14" x14ac:dyDescent="0.45">
      <c r="A5" s="4" t="s">
        <v>21</v>
      </c>
      <c r="B5" s="7" t="s">
        <v>71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414</v>
      </c>
      <c r="E62" t="s">
        <v>415</v>
      </c>
      <c r="F62" t="s">
        <v>309</v>
      </c>
      <c r="G62" t="s">
        <v>138</v>
      </c>
      <c r="H62" t="s">
        <v>416</v>
      </c>
      <c r="I62" t="s">
        <v>139</v>
      </c>
      <c r="J62" t="s">
        <v>139</v>
      </c>
      <c r="M62" t="s">
        <v>139</v>
      </c>
    </row>
    <row r="63" spans="1:14" x14ac:dyDescent="0.45">
      <c r="A63" s="5" t="s">
        <v>314</v>
      </c>
      <c r="B63" s="5" t="s">
        <v>140</v>
      </c>
      <c r="C63" s="5" t="s">
        <v>315</v>
      </c>
      <c r="D63" s="5" t="s">
        <v>135</v>
      </c>
      <c r="E63" s="5" t="s">
        <v>316</v>
      </c>
      <c r="F63" s="5" t="s">
        <v>159</v>
      </c>
      <c r="G63" s="5" t="s">
        <v>160</v>
      </c>
      <c r="H63" s="5"/>
      <c r="I63" s="5"/>
      <c r="J63" s="5" t="s">
        <v>139</v>
      </c>
      <c r="K63" s="5"/>
      <c r="L63" s="5"/>
      <c r="M63" s="5" t="s">
        <v>139</v>
      </c>
      <c r="N63" s="5"/>
    </row>
    <row r="64" spans="1:14" x14ac:dyDescent="0.45">
      <c r="A64" t="s">
        <v>317</v>
      </c>
      <c r="B64" t="s">
        <v>224</v>
      </c>
      <c r="D64" t="s">
        <v>381</v>
      </c>
      <c r="F64" t="s">
        <v>319</v>
      </c>
      <c r="G64" t="s">
        <v>138</v>
      </c>
      <c r="H64" t="s">
        <v>417</v>
      </c>
      <c r="I64" t="s">
        <v>139</v>
      </c>
      <c r="J64" t="s">
        <v>139</v>
      </c>
      <c r="M64" t="s">
        <v>139</v>
      </c>
    </row>
    <row r="65" spans="1:14" x14ac:dyDescent="0.45">
      <c r="A65" s="6" t="s">
        <v>329</v>
      </c>
      <c r="B65" s="7"/>
      <c r="C65" s="7"/>
      <c r="D65" s="7"/>
      <c r="E65" s="7"/>
      <c r="F65" s="7"/>
      <c r="G65" s="7"/>
      <c r="H65" s="7"/>
      <c r="I65" s="7"/>
      <c r="J65" s="7"/>
      <c r="K65" s="7"/>
      <c r="L65" s="7"/>
      <c r="M65" s="7"/>
      <c r="N65" s="7"/>
    </row>
    <row r="66" spans="1:14" x14ac:dyDescent="0.45">
      <c r="A66" s="5" t="s">
        <v>330</v>
      </c>
      <c r="B66" s="5" t="s">
        <v>307</v>
      </c>
      <c r="C66" s="5" t="s">
        <v>331</v>
      </c>
      <c r="D66" s="5" t="s">
        <v>381</v>
      </c>
      <c r="E66" s="5"/>
      <c r="F66" s="5" t="s">
        <v>418</v>
      </c>
      <c r="G66" s="5" t="s">
        <v>138</v>
      </c>
      <c r="H66" s="5" t="s">
        <v>419</v>
      </c>
      <c r="I66" s="5" t="s">
        <v>139</v>
      </c>
      <c r="J66" s="5" t="s">
        <v>139</v>
      </c>
      <c r="K66" s="5"/>
      <c r="L66" s="5"/>
      <c r="M66" s="5" t="s">
        <v>139</v>
      </c>
      <c r="N66" s="5"/>
    </row>
    <row r="67" spans="1:14" x14ac:dyDescent="0.45">
      <c r="A67" t="s">
        <v>333</v>
      </c>
      <c r="B67" t="s">
        <v>140</v>
      </c>
      <c r="C67" t="s">
        <v>334</v>
      </c>
      <c r="D67" t="s">
        <v>335</v>
      </c>
      <c r="E67" t="s">
        <v>336</v>
      </c>
      <c r="F67" t="s">
        <v>159</v>
      </c>
      <c r="G67" t="s">
        <v>160</v>
      </c>
      <c r="I67" t="s">
        <v>139</v>
      </c>
      <c r="J67" t="s">
        <v>139</v>
      </c>
      <c r="M67" t="s">
        <v>139</v>
      </c>
    </row>
    <row r="68" spans="1:14" x14ac:dyDescent="0.45">
      <c r="A68" s="5" t="s">
        <v>337</v>
      </c>
      <c r="B68" s="5" t="s">
        <v>140</v>
      </c>
      <c r="C68" s="5" t="s">
        <v>338</v>
      </c>
      <c r="D68" s="5" t="s">
        <v>335</v>
      </c>
      <c r="E68" s="5" t="s">
        <v>339</v>
      </c>
      <c r="F68" s="5" t="s">
        <v>159</v>
      </c>
      <c r="G68" s="5" t="s">
        <v>160</v>
      </c>
      <c r="H68" s="5"/>
      <c r="I68" s="5" t="s">
        <v>139</v>
      </c>
      <c r="J68" s="5" t="s">
        <v>139</v>
      </c>
      <c r="K68" s="5"/>
      <c r="L68" s="5"/>
      <c r="M68" s="5" t="s">
        <v>139</v>
      </c>
      <c r="N68" s="5"/>
    </row>
    <row r="69" spans="1:14" x14ac:dyDescent="0.45">
      <c r="A69" t="s">
        <v>340</v>
      </c>
      <c r="B69" t="s">
        <v>140</v>
      </c>
      <c r="C69" t="s">
        <v>341</v>
      </c>
      <c r="D69" t="s">
        <v>335</v>
      </c>
      <c r="E69" t="s">
        <v>342</v>
      </c>
      <c r="F69" t="s">
        <v>159</v>
      </c>
      <c r="G69" t="s">
        <v>160</v>
      </c>
      <c r="I69" t="s">
        <v>139</v>
      </c>
      <c r="J69" t="s">
        <v>139</v>
      </c>
      <c r="M69" t="s">
        <v>139</v>
      </c>
    </row>
    <row r="70" spans="1:14" x14ac:dyDescent="0.45">
      <c r="A70" s="5" t="s">
        <v>343</v>
      </c>
      <c r="B70" s="5" t="s">
        <v>140</v>
      </c>
      <c r="C70" s="5" t="s">
        <v>344</v>
      </c>
      <c r="D70" s="5" t="s">
        <v>135</v>
      </c>
      <c r="E70" s="5" t="s">
        <v>345</v>
      </c>
      <c r="F70" s="5" t="s">
        <v>159</v>
      </c>
      <c r="G70" s="5" t="s">
        <v>138</v>
      </c>
      <c r="H70" s="5"/>
      <c r="I70" s="5" t="s">
        <v>139</v>
      </c>
      <c r="J70" s="5" t="s">
        <v>139</v>
      </c>
      <c r="K70" s="5"/>
      <c r="L70" s="5"/>
      <c r="M70" s="5" t="s">
        <v>139</v>
      </c>
      <c r="N70" s="5"/>
    </row>
    <row r="71" spans="1:14" x14ac:dyDescent="0.45">
      <c r="A71" t="s">
        <v>346</v>
      </c>
      <c r="B71" t="s">
        <v>140</v>
      </c>
      <c r="C71" t="s">
        <v>347</v>
      </c>
      <c r="D71" t="s">
        <v>135</v>
      </c>
      <c r="E71" t="s">
        <v>345</v>
      </c>
      <c r="F71" t="s">
        <v>159</v>
      </c>
      <c r="G71" t="s">
        <v>138</v>
      </c>
      <c r="I71" t="s">
        <v>139</v>
      </c>
      <c r="J71" t="s">
        <v>139</v>
      </c>
      <c r="M71" t="s">
        <v>139</v>
      </c>
    </row>
    <row r="72" spans="1:14" x14ac:dyDescent="0.45">
      <c r="A72" s="5" t="s">
        <v>348</v>
      </c>
      <c r="B72" s="5" t="s">
        <v>140</v>
      </c>
      <c r="C72" s="5" t="s">
        <v>349</v>
      </c>
      <c r="D72" s="5" t="s">
        <v>335</v>
      </c>
      <c r="E72" s="5" t="s">
        <v>350</v>
      </c>
      <c r="F72" s="5" t="s">
        <v>159</v>
      </c>
      <c r="G72" s="5" t="s">
        <v>160</v>
      </c>
      <c r="H72" s="5"/>
      <c r="I72" s="5" t="s">
        <v>139</v>
      </c>
      <c r="J72" s="5" t="s">
        <v>139</v>
      </c>
      <c r="K72" s="5"/>
      <c r="L72" s="5"/>
      <c r="M72" s="5" t="s">
        <v>139</v>
      </c>
      <c r="N72" s="5"/>
    </row>
    <row r="73" spans="1:14" x14ac:dyDescent="0.45">
      <c r="A73" t="s">
        <v>351</v>
      </c>
      <c r="B73" t="s">
        <v>307</v>
      </c>
      <c r="C73" t="s">
        <v>352</v>
      </c>
      <c r="D73" t="s">
        <v>381</v>
      </c>
      <c r="F73" t="s">
        <v>420</v>
      </c>
      <c r="G73" t="s">
        <v>138</v>
      </c>
      <c r="H73" t="s">
        <v>421</v>
      </c>
      <c r="I73" t="s">
        <v>139</v>
      </c>
      <c r="J73" t="s">
        <v>139</v>
      </c>
      <c r="M73" t="s">
        <v>139</v>
      </c>
    </row>
    <row r="74" spans="1:14" x14ac:dyDescent="0.45">
      <c r="A74" s="5" t="s">
        <v>354</v>
      </c>
      <c r="B74" s="5" t="s">
        <v>140</v>
      </c>
      <c r="C74" s="5" t="s">
        <v>355</v>
      </c>
      <c r="D74" s="5" t="s">
        <v>335</v>
      </c>
      <c r="E74" s="5" t="s">
        <v>356</v>
      </c>
      <c r="F74" s="5" t="s">
        <v>159</v>
      </c>
      <c r="G74" s="5" t="s">
        <v>160</v>
      </c>
      <c r="H74" s="5" t="s">
        <v>357</v>
      </c>
      <c r="I74" s="5" t="s">
        <v>139</v>
      </c>
      <c r="J74" s="5" t="s">
        <v>139</v>
      </c>
      <c r="K74" s="5"/>
      <c r="L74" s="5"/>
      <c r="M74" s="5" t="s">
        <v>139</v>
      </c>
      <c r="N74" s="5"/>
    </row>
    <row r="75" spans="1:14" x14ac:dyDescent="0.45">
      <c r="A75" t="s">
        <v>422</v>
      </c>
      <c r="B75" t="s">
        <v>133</v>
      </c>
      <c r="C75" t="s">
        <v>423</v>
      </c>
      <c r="D75" t="s">
        <v>424</v>
      </c>
      <c r="E75" t="s">
        <v>425</v>
      </c>
      <c r="F75" t="s">
        <v>426</v>
      </c>
      <c r="G75" t="s">
        <v>145</v>
      </c>
      <c r="J75" t="s">
        <v>139</v>
      </c>
      <c r="M75" t="s">
        <v>139</v>
      </c>
    </row>
    <row r="76" spans="1:14" x14ac:dyDescent="0.45">
      <c r="A76" s="6" t="s">
        <v>427</v>
      </c>
      <c r="B76" s="7"/>
      <c r="C76" s="7"/>
      <c r="D76" s="7"/>
      <c r="E76" s="7"/>
      <c r="F76" s="7"/>
      <c r="G76" s="7"/>
      <c r="H76" s="7"/>
      <c r="I76" s="7"/>
      <c r="J76" s="7"/>
      <c r="K76" s="7"/>
      <c r="L76" s="7"/>
      <c r="M76" s="7"/>
      <c r="N76" s="7"/>
    </row>
    <row r="77" spans="1:14" x14ac:dyDescent="0.45">
      <c r="A77" s="5" t="s">
        <v>428</v>
      </c>
      <c r="B77" s="5" t="s">
        <v>133</v>
      </c>
      <c r="C77" s="5" t="s">
        <v>429</v>
      </c>
      <c r="D77" s="5" t="s">
        <v>381</v>
      </c>
      <c r="E77" s="5" t="s">
        <v>430</v>
      </c>
      <c r="F77" s="5" t="s">
        <v>431</v>
      </c>
      <c r="G77" s="5" t="s">
        <v>145</v>
      </c>
      <c r="H77" s="5" t="s">
        <v>432</v>
      </c>
      <c r="I77" s="5" t="s">
        <v>139</v>
      </c>
      <c r="J77" s="5" t="s">
        <v>139</v>
      </c>
      <c r="K77" s="5"/>
      <c r="L77" s="5"/>
      <c r="M77" s="5" t="s">
        <v>139</v>
      </c>
      <c r="N77" s="5"/>
    </row>
    <row r="78" spans="1:14" x14ac:dyDescent="0.45">
      <c r="A78" t="s">
        <v>433</v>
      </c>
      <c r="B78" t="s">
        <v>140</v>
      </c>
      <c r="C78" t="s">
        <v>434</v>
      </c>
      <c r="D78" t="s">
        <v>435</v>
      </c>
      <c r="E78" t="s">
        <v>436</v>
      </c>
      <c r="F78" t="s">
        <v>159</v>
      </c>
      <c r="G78" t="s">
        <v>160</v>
      </c>
      <c r="J78" t="s">
        <v>139</v>
      </c>
      <c r="M78" t="s">
        <v>139</v>
      </c>
    </row>
    <row r="79" spans="1:14" x14ac:dyDescent="0.45">
      <c r="A79" s="5" t="s">
        <v>437</v>
      </c>
      <c r="B79" s="5" t="s">
        <v>140</v>
      </c>
      <c r="C79" s="5" t="s">
        <v>438</v>
      </c>
      <c r="D79" s="5" t="s">
        <v>435</v>
      </c>
      <c r="E79" s="5" t="s">
        <v>436</v>
      </c>
      <c r="F79" s="5" t="s">
        <v>159</v>
      </c>
      <c r="G79" s="5" t="s">
        <v>160</v>
      </c>
      <c r="H79" s="5"/>
      <c r="I79" s="5" t="s">
        <v>139</v>
      </c>
      <c r="J79" s="5" t="s">
        <v>139</v>
      </c>
      <c r="K79" s="5"/>
      <c r="L79" s="5"/>
      <c r="M79" s="5" t="s">
        <v>139</v>
      </c>
      <c r="N79" s="5"/>
    </row>
    <row r="80" spans="1:14" x14ac:dyDescent="0.45">
      <c r="A80" t="s">
        <v>439</v>
      </c>
      <c r="B80" t="s">
        <v>140</v>
      </c>
      <c r="C80" t="s">
        <v>440</v>
      </c>
      <c r="D80" t="s">
        <v>435</v>
      </c>
      <c r="E80" t="s">
        <v>436</v>
      </c>
      <c r="F80" t="s">
        <v>159</v>
      </c>
      <c r="G80" t="s">
        <v>160</v>
      </c>
      <c r="I80" t="s">
        <v>139</v>
      </c>
      <c r="J80" t="s">
        <v>139</v>
      </c>
      <c r="M80" t="s">
        <v>139</v>
      </c>
    </row>
    <row r="81" spans="1:14" x14ac:dyDescent="0.45">
      <c r="A81" s="5" t="s">
        <v>468</v>
      </c>
      <c r="B81" s="5" t="s">
        <v>140</v>
      </c>
      <c r="C81" s="5" t="s">
        <v>442</v>
      </c>
      <c r="D81" s="5" t="s">
        <v>470</v>
      </c>
      <c r="E81" s="5" t="s">
        <v>528</v>
      </c>
      <c r="F81" s="5" t="s">
        <v>159</v>
      </c>
      <c r="G81" s="5" t="s">
        <v>160</v>
      </c>
      <c r="H81" s="5"/>
      <c r="I81" s="5" t="s">
        <v>139</v>
      </c>
      <c r="J81" s="5" t="s">
        <v>139</v>
      </c>
      <c r="K81" s="5" t="s">
        <v>139</v>
      </c>
      <c r="L81" s="5"/>
      <c r="M81" s="5" t="s">
        <v>139</v>
      </c>
      <c r="N81" s="5"/>
    </row>
    <row r="82" spans="1:14" x14ac:dyDescent="0.45">
      <c r="A82" t="s">
        <v>529</v>
      </c>
      <c r="B82" t="s">
        <v>140</v>
      </c>
      <c r="C82" t="s">
        <v>530</v>
      </c>
      <c r="D82" t="s">
        <v>435</v>
      </c>
      <c r="E82" t="s">
        <v>531</v>
      </c>
      <c r="F82" t="s">
        <v>159</v>
      </c>
      <c r="G82" t="s">
        <v>160</v>
      </c>
      <c r="H82" t="s">
        <v>532</v>
      </c>
      <c r="I82" t="s">
        <v>139</v>
      </c>
      <c r="J82" t="s">
        <v>139</v>
      </c>
      <c r="M82" t="s">
        <v>139</v>
      </c>
    </row>
    <row r="83" spans="1:14" x14ac:dyDescent="0.45">
      <c r="A83" s="5" t="s">
        <v>533</v>
      </c>
      <c r="B83" s="5" t="s">
        <v>140</v>
      </c>
      <c r="C83" s="5" t="s">
        <v>534</v>
      </c>
      <c r="D83" s="5" t="s">
        <v>435</v>
      </c>
      <c r="E83" s="5" t="s">
        <v>535</v>
      </c>
      <c r="F83" s="5" t="s">
        <v>159</v>
      </c>
      <c r="G83" s="5" t="s">
        <v>160</v>
      </c>
      <c r="H83" s="5" t="s">
        <v>536</v>
      </c>
      <c r="I83" s="5"/>
      <c r="J83" s="5"/>
      <c r="K83" s="5"/>
      <c r="L83" s="5"/>
      <c r="M83" s="5" t="s">
        <v>139</v>
      </c>
      <c r="N83" s="5"/>
    </row>
    <row r="84" spans="1:14" x14ac:dyDescent="0.45">
      <c r="A84" t="s">
        <v>537</v>
      </c>
      <c r="B84" t="s">
        <v>140</v>
      </c>
      <c r="C84" t="s">
        <v>538</v>
      </c>
      <c r="D84" t="s">
        <v>470</v>
      </c>
      <c r="E84" t="s">
        <v>539</v>
      </c>
      <c r="F84" t="s">
        <v>159</v>
      </c>
      <c r="G84" t="s">
        <v>160</v>
      </c>
      <c r="H84" t="s">
        <v>540</v>
      </c>
      <c r="I84" t="s">
        <v>139</v>
      </c>
      <c r="J84" t="s">
        <v>139</v>
      </c>
      <c r="M84" t="s">
        <v>139</v>
      </c>
    </row>
    <row r="85" spans="1:14" x14ac:dyDescent="0.45">
      <c r="A85" s="5" t="s">
        <v>441</v>
      </c>
      <c r="B85" s="5" t="s">
        <v>224</v>
      </c>
      <c r="C85" s="5" t="s">
        <v>442</v>
      </c>
      <c r="D85" s="5" t="s">
        <v>381</v>
      </c>
      <c r="E85" s="5" t="s">
        <v>443</v>
      </c>
      <c r="F85" s="5" t="s">
        <v>444</v>
      </c>
      <c r="G85" s="5" t="s">
        <v>138</v>
      </c>
      <c r="H85" s="5" t="s">
        <v>483</v>
      </c>
      <c r="I85" s="5"/>
      <c r="J85" s="5"/>
      <c r="K85" s="5"/>
      <c r="L85" s="5"/>
      <c r="M85" s="5" t="s">
        <v>139</v>
      </c>
      <c r="N85" s="5"/>
    </row>
    <row r="86" spans="1:14" x14ac:dyDescent="0.45">
      <c r="A86" t="s">
        <v>445</v>
      </c>
      <c r="B86" t="s">
        <v>133</v>
      </c>
      <c r="C86" t="s">
        <v>446</v>
      </c>
      <c r="D86" t="s">
        <v>381</v>
      </c>
      <c r="E86" t="s">
        <v>447</v>
      </c>
      <c r="F86" t="s">
        <v>448</v>
      </c>
      <c r="G86" t="s">
        <v>449</v>
      </c>
      <c r="H86" t="s">
        <v>477</v>
      </c>
      <c r="I86" t="s">
        <v>139</v>
      </c>
      <c r="J86" t="s">
        <v>139</v>
      </c>
      <c r="M86" t="s">
        <v>139</v>
      </c>
    </row>
    <row r="87" spans="1:14" x14ac:dyDescent="0.45">
      <c r="A87" s="6" t="s">
        <v>358</v>
      </c>
      <c r="B87" s="7"/>
      <c r="C87" s="7"/>
      <c r="D87" s="7"/>
      <c r="E87" s="7"/>
      <c r="F87" s="7"/>
      <c r="G87" s="7"/>
      <c r="H87" s="7"/>
      <c r="I87" s="7"/>
      <c r="J87" s="7"/>
      <c r="K87" s="7"/>
      <c r="L87" s="7"/>
      <c r="M87" s="7"/>
      <c r="N87" s="7"/>
    </row>
    <row r="88" spans="1:14" x14ac:dyDescent="0.45">
      <c r="A88" s="5" t="s">
        <v>452</v>
      </c>
      <c r="B88" s="5" t="s">
        <v>133</v>
      </c>
      <c r="C88" s="5" t="s">
        <v>453</v>
      </c>
      <c r="D88" s="5" t="s">
        <v>381</v>
      </c>
      <c r="E88" s="5" t="s">
        <v>454</v>
      </c>
      <c r="F88" s="5" t="s">
        <v>455</v>
      </c>
      <c r="G88" s="5" t="s">
        <v>138</v>
      </c>
      <c r="H88" s="5"/>
      <c r="I88" s="5"/>
      <c r="J88" s="5"/>
      <c r="K88" s="5"/>
      <c r="L88" s="5"/>
      <c r="M88" s="5" t="s">
        <v>139</v>
      </c>
      <c r="N88" s="5"/>
    </row>
  </sheetData>
  <mergeCells count="13">
    <mergeCell ref="B3:N3"/>
    <mergeCell ref="B2:N2"/>
    <mergeCell ref="A1:N1"/>
    <mergeCell ref="A56:N56"/>
    <mergeCell ref="B5:N5"/>
    <mergeCell ref="A87:N87"/>
    <mergeCell ref="B4:N4"/>
    <mergeCell ref="A30:N30"/>
    <mergeCell ref="A7:N7"/>
    <mergeCell ref="A65:N65"/>
    <mergeCell ref="A76:N76"/>
    <mergeCell ref="A11:N11"/>
    <mergeCell ref="A49:N49"/>
  </mergeCells>
  <dataValidations count="1">
    <dataValidation type="list" allowBlank="1" errorTitle="Invalid Review Status" error="Choose a review status from the list." sqref="N2:N88" xr:uid="{00000000-0002-0000-10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87"/>
  <sheetViews>
    <sheetView workbookViewId="0">
      <pane ySplit="6" topLeftCell="A7" activePane="bottomLeft" state="frozen"/>
      <selection pane="bottomLeft" sqref="A1:N1"/>
    </sheetView>
  </sheetViews>
  <sheetFormatPr defaultRowHeight="14.25" x14ac:dyDescent="0.45"/>
  <cols>
    <col min="1" max="1" width="50" customWidth="1"/>
    <col min="2" max="2" width="18"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541</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44</v>
      </c>
      <c r="C4" s="7"/>
      <c r="D4" s="7"/>
      <c r="E4" s="7"/>
      <c r="F4" s="7"/>
      <c r="G4" s="7"/>
      <c r="H4" s="7"/>
      <c r="I4" s="7"/>
      <c r="J4" s="7"/>
      <c r="K4" s="7"/>
      <c r="L4" s="7"/>
      <c r="M4" s="7"/>
      <c r="N4" s="7"/>
    </row>
    <row r="5" spans="1:14" x14ac:dyDescent="0.45">
      <c r="A5" s="4" t="s">
        <v>21</v>
      </c>
      <c r="B5" s="7" t="s">
        <v>59</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414</v>
      </c>
      <c r="E62" t="s">
        <v>415</v>
      </c>
      <c r="F62" t="s">
        <v>309</v>
      </c>
      <c r="G62" t="s">
        <v>138</v>
      </c>
      <c r="H62" t="s">
        <v>416</v>
      </c>
      <c r="I62" t="s">
        <v>139</v>
      </c>
      <c r="J62" t="s">
        <v>139</v>
      </c>
      <c r="M62" t="s">
        <v>139</v>
      </c>
    </row>
    <row r="63" spans="1:14" x14ac:dyDescent="0.45">
      <c r="A63" s="5" t="s">
        <v>314</v>
      </c>
      <c r="B63" s="5" t="s">
        <v>140</v>
      </c>
      <c r="C63" s="5" t="s">
        <v>315</v>
      </c>
      <c r="D63" s="5" t="s">
        <v>135</v>
      </c>
      <c r="E63" s="5" t="s">
        <v>316</v>
      </c>
      <c r="F63" s="5" t="s">
        <v>159</v>
      </c>
      <c r="G63" s="5" t="s">
        <v>160</v>
      </c>
      <c r="H63" s="5"/>
      <c r="I63" s="5"/>
      <c r="J63" s="5" t="s">
        <v>139</v>
      </c>
      <c r="K63" s="5"/>
      <c r="L63" s="5"/>
      <c r="M63" s="5" t="s">
        <v>139</v>
      </c>
      <c r="N63" s="5"/>
    </row>
    <row r="64" spans="1:14" x14ac:dyDescent="0.45">
      <c r="A64" t="s">
        <v>317</v>
      </c>
      <c r="B64" t="s">
        <v>224</v>
      </c>
      <c r="D64" t="s">
        <v>381</v>
      </c>
      <c r="F64" t="s">
        <v>319</v>
      </c>
      <c r="G64" t="s">
        <v>138</v>
      </c>
      <c r="H64" t="s">
        <v>417</v>
      </c>
      <c r="I64" t="s">
        <v>139</v>
      </c>
      <c r="J64" t="s">
        <v>139</v>
      </c>
      <c r="M64" t="s">
        <v>139</v>
      </c>
    </row>
    <row r="65" spans="1:14" x14ac:dyDescent="0.45">
      <c r="A65" s="6" t="s">
        <v>329</v>
      </c>
      <c r="B65" s="7"/>
      <c r="C65" s="7"/>
      <c r="D65" s="7"/>
      <c r="E65" s="7"/>
      <c r="F65" s="7"/>
      <c r="G65" s="7"/>
      <c r="H65" s="7"/>
      <c r="I65" s="7"/>
      <c r="J65" s="7"/>
      <c r="K65" s="7"/>
      <c r="L65" s="7"/>
      <c r="M65" s="7"/>
      <c r="N65" s="7"/>
    </row>
    <row r="66" spans="1:14" x14ac:dyDescent="0.45">
      <c r="A66" s="5" t="s">
        <v>330</v>
      </c>
      <c r="B66" s="5" t="s">
        <v>307</v>
      </c>
      <c r="C66" s="5" t="s">
        <v>331</v>
      </c>
      <c r="D66" s="5" t="s">
        <v>381</v>
      </c>
      <c r="E66" s="5"/>
      <c r="F66" s="5" t="s">
        <v>418</v>
      </c>
      <c r="G66" s="5" t="s">
        <v>138</v>
      </c>
      <c r="H66" s="5" t="s">
        <v>419</v>
      </c>
      <c r="I66" s="5" t="s">
        <v>139</v>
      </c>
      <c r="J66" s="5" t="s">
        <v>139</v>
      </c>
      <c r="K66" s="5"/>
      <c r="L66" s="5"/>
      <c r="M66" s="5" t="s">
        <v>139</v>
      </c>
      <c r="N66" s="5"/>
    </row>
    <row r="67" spans="1:14" x14ac:dyDescent="0.45">
      <c r="A67" t="s">
        <v>333</v>
      </c>
      <c r="B67" t="s">
        <v>140</v>
      </c>
      <c r="C67" t="s">
        <v>334</v>
      </c>
      <c r="D67" t="s">
        <v>335</v>
      </c>
      <c r="E67" t="s">
        <v>336</v>
      </c>
      <c r="F67" t="s">
        <v>159</v>
      </c>
      <c r="G67" t="s">
        <v>160</v>
      </c>
      <c r="I67" t="s">
        <v>139</v>
      </c>
      <c r="J67" t="s">
        <v>139</v>
      </c>
      <c r="M67" t="s">
        <v>139</v>
      </c>
    </row>
    <row r="68" spans="1:14" x14ac:dyDescent="0.45">
      <c r="A68" s="5" t="s">
        <v>337</v>
      </c>
      <c r="B68" s="5" t="s">
        <v>140</v>
      </c>
      <c r="C68" s="5" t="s">
        <v>338</v>
      </c>
      <c r="D68" s="5" t="s">
        <v>335</v>
      </c>
      <c r="E68" s="5" t="s">
        <v>339</v>
      </c>
      <c r="F68" s="5" t="s">
        <v>159</v>
      </c>
      <c r="G68" s="5" t="s">
        <v>160</v>
      </c>
      <c r="H68" s="5"/>
      <c r="I68" s="5" t="s">
        <v>139</v>
      </c>
      <c r="J68" s="5" t="s">
        <v>139</v>
      </c>
      <c r="K68" s="5"/>
      <c r="L68" s="5"/>
      <c r="M68" s="5" t="s">
        <v>139</v>
      </c>
      <c r="N68" s="5"/>
    </row>
    <row r="69" spans="1:14" x14ac:dyDescent="0.45">
      <c r="A69" t="s">
        <v>340</v>
      </c>
      <c r="B69" t="s">
        <v>140</v>
      </c>
      <c r="C69" t="s">
        <v>341</v>
      </c>
      <c r="D69" t="s">
        <v>335</v>
      </c>
      <c r="E69" t="s">
        <v>342</v>
      </c>
      <c r="F69" t="s">
        <v>159</v>
      </c>
      <c r="G69" t="s">
        <v>160</v>
      </c>
      <c r="I69" t="s">
        <v>139</v>
      </c>
      <c r="J69" t="s">
        <v>139</v>
      </c>
      <c r="M69" t="s">
        <v>139</v>
      </c>
    </row>
    <row r="70" spans="1:14" x14ac:dyDescent="0.45">
      <c r="A70" s="5" t="s">
        <v>343</v>
      </c>
      <c r="B70" s="5" t="s">
        <v>140</v>
      </c>
      <c r="C70" s="5" t="s">
        <v>344</v>
      </c>
      <c r="D70" s="5" t="s">
        <v>135</v>
      </c>
      <c r="E70" s="5" t="s">
        <v>345</v>
      </c>
      <c r="F70" s="5" t="s">
        <v>159</v>
      </c>
      <c r="G70" s="5" t="s">
        <v>138</v>
      </c>
      <c r="H70" s="5"/>
      <c r="I70" s="5" t="s">
        <v>139</v>
      </c>
      <c r="J70" s="5" t="s">
        <v>139</v>
      </c>
      <c r="K70" s="5"/>
      <c r="L70" s="5"/>
      <c r="M70" s="5" t="s">
        <v>139</v>
      </c>
      <c r="N70" s="5"/>
    </row>
    <row r="71" spans="1:14" x14ac:dyDescent="0.45">
      <c r="A71" t="s">
        <v>346</v>
      </c>
      <c r="B71" t="s">
        <v>140</v>
      </c>
      <c r="C71" t="s">
        <v>347</v>
      </c>
      <c r="D71" t="s">
        <v>135</v>
      </c>
      <c r="E71" t="s">
        <v>345</v>
      </c>
      <c r="F71" t="s">
        <v>159</v>
      </c>
      <c r="G71" t="s">
        <v>138</v>
      </c>
      <c r="I71" t="s">
        <v>139</v>
      </c>
      <c r="J71" t="s">
        <v>139</v>
      </c>
      <c r="M71" t="s">
        <v>139</v>
      </c>
    </row>
    <row r="72" spans="1:14" x14ac:dyDescent="0.45">
      <c r="A72" s="5" t="s">
        <v>348</v>
      </c>
      <c r="B72" s="5" t="s">
        <v>140</v>
      </c>
      <c r="C72" s="5" t="s">
        <v>349</v>
      </c>
      <c r="D72" s="5" t="s">
        <v>335</v>
      </c>
      <c r="E72" s="5" t="s">
        <v>350</v>
      </c>
      <c r="F72" s="5" t="s">
        <v>159</v>
      </c>
      <c r="G72" s="5" t="s">
        <v>160</v>
      </c>
      <c r="H72" s="5"/>
      <c r="I72" s="5" t="s">
        <v>139</v>
      </c>
      <c r="J72" s="5" t="s">
        <v>139</v>
      </c>
      <c r="K72" s="5"/>
      <c r="L72" s="5"/>
      <c r="M72" s="5" t="s">
        <v>139</v>
      </c>
      <c r="N72" s="5"/>
    </row>
    <row r="73" spans="1:14" x14ac:dyDescent="0.45">
      <c r="A73" t="s">
        <v>351</v>
      </c>
      <c r="B73" t="s">
        <v>307</v>
      </c>
      <c r="C73" t="s">
        <v>352</v>
      </c>
      <c r="D73" t="s">
        <v>381</v>
      </c>
      <c r="F73" t="s">
        <v>420</v>
      </c>
      <c r="G73" t="s">
        <v>138</v>
      </c>
      <c r="H73" t="s">
        <v>421</v>
      </c>
      <c r="I73" t="s">
        <v>139</v>
      </c>
      <c r="J73" t="s">
        <v>139</v>
      </c>
      <c r="M73" t="s">
        <v>139</v>
      </c>
    </row>
    <row r="74" spans="1:14" x14ac:dyDescent="0.45">
      <c r="A74" s="5" t="s">
        <v>354</v>
      </c>
      <c r="B74" s="5" t="s">
        <v>140</v>
      </c>
      <c r="C74" s="5" t="s">
        <v>355</v>
      </c>
      <c r="D74" s="5" t="s">
        <v>335</v>
      </c>
      <c r="E74" s="5" t="s">
        <v>356</v>
      </c>
      <c r="F74" s="5" t="s">
        <v>159</v>
      </c>
      <c r="G74" s="5" t="s">
        <v>160</v>
      </c>
      <c r="H74" s="5" t="s">
        <v>357</v>
      </c>
      <c r="I74" s="5" t="s">
        <v>139</v>
      </c>
      <c r="J74" s="5" t="s">
        <v>139</v>
      </c>
      <c r="K74" s="5"/>
      <c r="L74" s="5"/>
      <c r="M74" s="5" t="s">
        <v>139</v>
      </c>
      <c r="N74" s="5"/>
    </row>
    <row r="75" spans="1:14" x14ac:dyDescent="0.45">
      <c r="A75" t="s">
        <v>422</v>
      </c>
      <c r="B75" t="s">
        <v>133</v>
      </c>
      <c r="C75" t="s">
        <v>423</v>
      </c>
      <c r="D75" t="s">
        <v>424</v>
      </c>
      <c r="E75" t="s">
        <v>425</v>
      </c>
      <c r="F75" t="s">
        <v>426</v>
      </c>
      <c r="G75" t="s">
        <v>145</v>
      </c>
      <c r="J75" t="s">
        <v>139</v>
      </c>
      <c r="M75" t="s">
        <v>139</v>
      </c>
    </row>
    <row r="76" spans="1:14" x14ac:dyDescent="0.45">
      <c r="A76" s="6" t="s">
        <v>427</v>
      </c>
      <c r="B76" s="7"/>
      <c r="C76" s="7"/>
      <c r="D76" s="7"/>
      <c r="E76" s="7"/>
      <c r="F76" s="7"/>
      <c r="G76" s="7"/>
      <c r="H76" s="7"/>
      <c r="I76" s="7"/>
      <c r="J76" s="7"/>
      <c r="K76" s="7"/>
      <c r="L76" s="7"/>
      <c r="M76" s="7"/>
      <c r="N76" s="7"/>
    </row>
    <row r="77" spans="1:14" x14ac:dyDescent="0.45">
      <c r="A77" s="5" t="s">
        <v>428</v>
      </c>
      <c r="B77" s="5" t="s">
        <v>133</v>
      </c>
      <c r="C77" s="5" t="s">
        <v>429</v>
      </c>
      <c r="D77" s="5" t="s">
        <v>381</v>
      </c>
      <c r="E77" s="5" t="s">
        <v>430</v>
      </c>
      <c r="F77" s="5" t="s">
        <v>431</v>
      </c>
      <c r="G77" s="5" t="s">
        <v>145</v>
      </c>
      <c r="H77" s="5" t="s">
        <v>432</v>
      </c>
      <c r="I77" s="5" t="s">
        <v>139</v>
      </c>
      <c r="J77" s="5" t="s">
        <v>139</v>
      </c>
      <c r="K77" s="5"/>
      <c r="L77" s="5"/>
      <c r="M77" s="5" t="s">
        <v>139</v>
      </c>
      <c r="N77" s="5"/>
    </row>
    <row r="78" spans="1:14" x14ac:dyDescent="0.45">
      <c r="A78" t="s">
        <v>433</v>
      </c>
      <c r="B78" t="s">
        <v>140</v>
      </c>
      <c r="C78" t="s">
        <v>434</v>
      </c>
      <c r="D78" t="s">
        <v>435</v>
      </c>
      <c r="E78" t="s">
        <v>436</v>
      </c>
      <c r="F78" t="s">
        <v>159</v>
      </c>
      <c r="G78" t="s">
        <v>160</v>
      </c>
      <c r="J78" t="s">
        <v>139</v>
      </c>
      <c r="M78" t="s">
        <v>139</v>
      </c>
    </row>
    <row r="79" spans="1:14" x14ac:dyDescent="0.45">
      <c r="A79" s="5" t="s">
        <v>437</v>
      </c>
      <c r="B79" s="5" t="s">
        <v>140</v>
      </c>
      <c r="C79" s="5" t="s">
        <v>438</v>
      </c>
      <c r="D79" s="5" t="s">
        <v>435</v>
      </c>
      <c r="E79" s="5" t="s">
        <v>436</v>
      </c>
      <c r="F79" s="5" t="s">
        <v>159</v>
      </c>
      <c r="G79" s="5" t="s">
        <v>160</v>
      </c>
      <c r="H79" s="5"/>
      <c r="I79" s="5" t="s">
        <v>139</v>
      </c>
      <c r="J79" s="5" t="s">
        <v>139</v>
      </c>
      <c r="K79" s="5"/>
      <c r="L79" s="5"/>
      <c r="M79" s="5" t="s">
        <v>139</v>
      </c>
      <c r="N79" s="5"/>
    </row>
    <row r="80" spans="1:14" x14ac:dyDescent="0.45">
      <c r="A80" t="s">
        <v>439</v>
      </c>
      <c r="B80" t="s">
        <v>140</v>
      </c>
      <c r="C80" t="s">
        <v>440</v>
      </c>
      <c r="D80" t="s">
        <v>435</v>
      </c>
      <c r="E80" t="s">
        <v>436</v>
      </c>
      <c r="F80" t="s">
        <v>159</v>
      </c>
      <c r="G80" t="s">
        <v>160</v>
      </c>
      <c r="I80" t="s">
        <v>139</v>
      </c>
      <c r="J80" t="s">
        <v>139</v>
      </c>
      <c r="M80" t="s">
        <v>139</v>
      </c>
    </row>
    <row r="81" spans="1:14" x14ac:dyDescent="0.45">
      <c r="A81" s="5" t="s">
        <v>468</v>
      </c>
      <c r="B81" s="5" t="s">
        <v>140</v>
      </c>
      <c r="C81" s="5" t="s">
        <v>442</v>
      </c>
      <c r="D81" s="5" t="s">
        <v>470</v>
      </c>
      <c r="E81" s="5" t="s">
        <v>485</v>
      </c>
      <c r="F81" s="5" t="s">
        <v>159</v>
      </c>
      <c r="G81" s="5" t="s">
        <v>160</v>
      </c>
      <c r="H81" s="5"/>
      <c r="I81" s="5" t="s">
        <v>139</v>
      </c>
      <c r="J81" s="5" t="s">
        <v>139</v>
      </c>
      <c r="K81" s="5" t="s">
        <v>139</v>
      </c>
      <c r="L81" s="5"/>
      <c r="M81" s="5" t="s">
        <v>139</v>
      </c>
      <c r="N81" s="5"/>
    </row>
    <row r="82" spans="1:14" x14ac:dyDescent="0.45">
      <c r="A82" t="s">
        <v>486</v>
      </c>
      <c r="B82" t="s">
        <v>133</v>
      </c>
      <c r="C82" t="s">
        <v>487</v>
      </c>
      <c r="D82" t="s">
        <v>381</v>
      </c>
      <c r="E82" t="s">
        <v>488</v>
      </c>
      <c r="F82" t="s">
        <v>489</v>
      </c>
      <c r="G82" t="s">
        <v>145</v>
      </c>
      <c r="H82" t="s">
        <v>490</v>
      </c>
      <c r="J82" t="s">
        <v>139</v>
      </c>
      <c r="M82" t="s">
        <v>139</v>
      </c>
    </row>
    <row r="83" spans="1:14" x14ac:dyDescent="0.45">
      <c r="A83" s="5" t="s">
        <v>497</v>
      </c>
      <c r="B83" s="5" t="s">
        <v>140</v>
      </c>
      <c r="C83" s="5" t="s">
        <v>498</v>
      </c>
      <c r="D83" s="5" t="s">
        <v>470</v>
      </c>
      <c r="E83" s="5" t="s">
        <v>499</v>
      </c>
      <c r="F83" s="5" t="s">
        <v>159</v>
      </c>
      <c r="G83" s="5" t="s">
        <v>160</v>
      </c>
      <c r="H83" s="5"/>
      <c r="I83" s="5" t="s">
        <v>139</v>
      </c>
      <c r="J83" s="5" t="s">
        <v>139</v>
      </c>
      <c r="K83" s="5"/>
      <c r="L83" s="5"/>
      <c r="M83" s="5" t="s">
        <v>139</v>
      </c>
      <c r="N83" s="5"/>
    </row>
    <row r="84" spans="1:14" x14ac:dyDescent="0.45">
      <c r="A84" t="s">
        <v>441</v>
      </c>
      <c r="B84" t="s">
        <v>224</v>
      </c>
      <c r="C84" t="s">
        <v>442</v>
      </c>
      <c r="D84" t="s">
        <v>381</v>
      </c>
      <c r="E84" t="s">
        <v>443</v>
      </c>
      <c r="F84" t="s">
        <v>444</v>
      </c>
      <c r="G84" t="s">
        <v>138</v>
      </c>
      <c r="H84" t="s">
        <v>483</v>
      </c>
      <c r="M84" t="s">
        <v>139</v>
      </c>
    </row>
    <row r="85" spans="1:14" x14ac:dyDescent="0.45">
      <c r="A85" s="5" t="s">
        <v>445</v>
      </c>
      <c r="B85" s="5" t="s">
        <v>133</v>
      </c>
      <c r="C85" s="5" t="s">
        <v>446</v>
      </c>
      <c r="D85" s="5" t="s">
        <v>381</v>
      </c>
      <c r="E85" s="5" t="s">
        <v>447</v>
      </c>
      <c r="F85" s="5" t="s">
        <v>448</v>
      </c>
      <c r="G85" s="5" t="s">
        <v>449</v>
      </c>
      <c r="H85" s="5" t="s">
        <v>477</v>
      </c>
      <c r="I85" s="5" t="s">
        <v>139</v>
      </c>
      <c r="J85" s="5" t="s">
        <v>139</v>
      </c>
      <c r="K85" s="5"/>
      <c r="L85" s="5"/>
      <c r="M85" s="5" t="s">
        <v>139</v>
      </c>
      <c r="N85" s="5"/>
    </row>
    <row r="86" spans="1:14" x14ac:dyDescent="0.45">
      <c r="A86" s="6" t="s">
        <v>358</v>
      </c>
      <c r="B86" s="7"/>
      <c r="C86" s="7"/>
      <c r="D86" s="7"/>
      <c r="E86" s="7"/>
      <c r="F86" s="7"/>
      <c r="G86" s="7"/>
      <c r="H86" s="7"/>
      <c r="I86" s="7"/>
      <c r="J86" s="7"/>
      <c r="K86" s="7"/>
      <c r="L86" s="7"/>
      <c r="M86" s="7"/>
      <c r="N86" s="7"/>
    </row>
    <row r="87" spans="1:14" x14ac:dyDescent="0.45">
      <c r="A87" t="s">
        <v>452</v>
      </c>
      <c r="B87" t="s">
        <v>133</v>
      </c>
      <c r="C87" t="s">
        <v>453</v>
      </c>
      <c r="D87" t="s">
        <v>381</v>
      </c>
      <c r="E87" t="s">
        <v>454</v>
      </c>
      <c r="F87" t="s">
        <v>455</v>
      </c>
      <c r="G87" t="s">
        <v>138</v>
      </c>
      <c r="M87" t="s">
        <v>139</v>
      </c>
    </row>
  </sheetData>
  <mergeCells count="13">
    <mergeCell ref="B3:N3"/>
    <mergeCell ref="B2:N2"/>
    <mergeCell ref="A1:N1"/>
    <mergeCell ref="A56:N56"/>
    <mergeCell ref="B5:N5"/>
    <mergeCell ref="B4:N4"/>
    <mergeCell ref="A30:N30"/>
    <mergeCell ref="A86:N86"/>
    <mergeCell ref="A7:N7"/>
    <mergeCell ref="A65:N65"/>
    <mergeCell ref="A76:N76"/>
    <mergeCell ref="A11:N11"/>
    <mergeCell ref="A49:N49"/>
  </mergeCells>
  <dataValidations count="1">
    <dataValidation type="list" allowBlank="1" errorTitle="Invalid Review Status" error="Choose a review status from the list." sqref="N2:N87" xr:uid="{00000000-0002-0000-11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87"/>
  <sheetViews>
    <sheetView workbookViewId="0">
      <pane ySplit="6" topLeftCell="A7" activePane="bottomLeft" state="frozen"/>
      <selection pane="bottomLeft"/>
    </sheetView>
  </sheetViews>
  <sheetFormatPr defaultRowHeight="14.25" x14ac:dyDescent="0.45"/>
  <cols>
    <col min="1" max="1" width="50" customWidth="1"/>
    <col min="2" max="2" width="18"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542</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44</v>
      </c>
      <c r="C4" s="7"/>
      <c r="D4" s="7"/>
      <c r="E4" s="7"/>
      <c r="F4" s="7"/>
      <c r="G4" s="7"/>
      <c r="H4" s="7"/>
      <c r="I4" s="7"/>
      <c r="J4" s="7"/>
      <c r="K4" s="7"/>
      <c r="L4" s="7"/>
      <c r="M4" s="7"/>
      <c r="N4" s="7"/>
    </row>
    <row r="5" spans="1:14" x14ac:dyDescent="0.45">
      <c r="A5" s="4" t="s">
        <v>21</v>
      </c>
      <c r="B5" s="7" t="s">
        <v>62</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414</v>
      </c>
      <c r="E62" t="s">
        <v>415</v>
      </c>
      <c r="F62" t="s">
        <v>309</v>
      </c>
      <c r="G62" t="s">
        <v>138</v>
      </c>
      <c r="H62" t="s">
        <v>416</v>
      </c>
      <c r="I62" t="s">
        <v>139</v>
      </c>
      <c r="J62" t="s">
        <v>139</v>
      </c>
      <c r="M62" t="s">
        <v>139</v>
      </c>
    </row>
    <row r="63" spans="1:14" x14ac:dyDescent="0.45">
      <c r="A63" s="5" t="s">
        <v>314</v>
      </c>
      <c r="B63" s="5" t="s">
        <v>140</v>
      </c>
      <c r="C63" s="5" t="s">
        <v>315</v>
      </c>
      <c r="D63" s="5" t="s">
        <v>135</v>
      </c>
      <c r="E63" s="5" t="s">
        <v>316</v>
      </c>
      <c r="F63" s="5" t="s">
        <v>159</v>
      </c>
      <c r="G63" s="5" t="s">
        <v>160</v>
      </c>
      <c r="H63" s="5"/>
      <c r="I63" s="5"/>
      <c r="J63" s="5" t="s">
        <v>139</v>
      </c>
      <c r="K63" s="5"/>
      <c r="L63" s="5"/>
      <c r="M63" s="5" t="s">
        <v>139</v>
      </c>
      <c r="N63" s="5"/>
    </row>
    <row r="64" spans="1:14" x14ac:dyDescent="0.45">
      <c r="A64" t="s">
        <v>317</v>
      </c>
      <c r="B64" t="s">
        <v>224</v>
      </c>
      <c r="D64" t="s">
        <v>381</v>
      </c>
      <c r="F64" t="s">
        <v>319</v>
      </c>
      <c r="G64" t="s">
        <v>138</v>
      </c>
      <c r="H64" t="s">
        <v>417</v>
      </c>
      <c r="I64" t="s">
        <v>139</v>
      </c>
      <c r="J64" t="s">
        <v>139</v>
      </c>
      <c r="M64" t="s">
        <v>139</v>
      </c>
    </row>
    <row r="65" spans="1:14" x14ac:dyDescent="0.45">
      <c r="A65" s="6" t="s">
        <v>329</v>
      </c>
      <c r="B65" s="7"/>
      <c r="C65" s="7"/>
      <c r="D65" s="7"/>
      <c r="E65" s="7"/>
      <c r="F65" s="7"/>
      <c r="G65" s="7"/>
      <c r="H65" s="7"/>
      <c r="I65" s="7"/>
      <c r="J65" s="7"/>
      <c r="K65" s="7"/>
      <c r="L65" s="7"/>
      <c r="M65" s="7"/>
      <c r="N65" s="7"/>
    </row>
    <row r="66" spans="1:14" x14ac:dyDescent="0.45">
      <c r="A66" s="5" t="s">
        <v>330</v>
      </c>
      <c r="B66" s="5" t="s">
        <v>307</v>
      </c>
      <c r="C66" s="5" t="s">
        <v>331</v>
      </c>
      <c r="D66" s="5" t="s">
        <v>381</v>
      </c>
      <c r="E66" s="5"/>
      <c r="F66" s="5" t="s">
        <v>418</v>
      </c>
      <c r="G66" s="5" t="s">
        <v>138</v>
      </c>
      <c r="H66" s="5" t="s">
        <v>419</v>
      </c>
      <c r="I66" s="5" t="s">
        <v>139</v>
      </c>
      <c r="J66" s="5" t="s">
        <v>139</v>
      </c>
      <c r="K66" s="5"/>
      <c r="L66" s="5"/>
      <c r="M66" s="5" t="s">
        <v>139</v>
      </c>
      <c r="N66" s="5"/>
    </row>
    <row r="67" spans="1:14" x14ac:dyDescent="0.45">
      <c r="A67" t="s">
        <v>333</v>
      </c>
      <c r="B67" t="s">
        <v>140</v>
      </c>
      <c r="C67" t="s">
        <v>334</v>
      </c>
      <c r="D67" t="s">
        <v>335</v>
      </c>
      <c r="E67" t="s">
        <v>336</v>
      </c>
      <c r="F67" t="s">
        <v>159</v>
      </c>
      <c r="G67" t="s">
        <v>160</v>
      </c>
      <c r="I67" t="s">
        <v>139</v>
      </c>
      <c r="J67" t="s">
        <v>139</v>
      </c>
      <c r="M67" t="s">
        <v>139</v>
      </c>
    </row>
    <row r="68" spans="1:14" x14ac:dyDescent="0.45">
      <c r="A68" s="5" t="s">
        <v>337</v>
      </c>
      <c r="B68" s="5" t="s">
        <v>140</v>
      </c>
      <c r="C68" s="5" t="s">
        <v>338</v>
      </c>
      <c r="D68" s="5" t="s">
        <v>335</v>
      </c>
      <c r="E68" s="5" t="s">
        <v>339</v>
      </c>
      <c r="F68" s="5" t="s">
        <v>159</v>
      </c>
      <c r="G68" s="5" t="s">
        <v>160</v>
      </c>
      <c r="H68" s="5"/>
      <c r="I68" s="5" t="s">
        <v>139</v>
      </c>
      <c r="J68" s="5" t="s">
        <v>139</v>
      </c>
      <c r="K68" s="5"/>
      <c r="L68" s="5"/>
      <c r="M68" s="5" t="s">
        <v>139</v>
      </c>
      <c r="N68" s="5"/>
    </row>
    <row r="69" spans="1:14" x14ac:dyDescent="0.45">
      <c r="A69" t="s">
        <v>340</v>
      </c>
      <c r="B69" t="s">
        <v>140</v>
      </c>
      <c r="C69" t="s">
        <v>341</v>
      </c>
      <c r="D69" t="s">
        <v>335</v>
      </c>
      <c r="E69" t="s">
        <v>342</v>
      </c>
      <c r="F69" t="s">
        <v>159</v>
      </c>
      <c r="G69" t="s">
        <v>160</v>
      </c>
      <c r="I69" t="s">
        <v>139</v>
      </c>
      <c r="J69" t="s">
        <v>139</v>
      </c>
      <c r="M69" t="s">
        <v>139</v>
      </c>
    </row>
    <row r="70" spans="1:14" x14ac:dyDescent="0.45">
      <c r="A70" s="5" t="s">
        <v>343</v>
      </c>
      <c r="B70" s="5" t="s">
        <v>140</v>
      </c>
      <c r="C70" s="5" t="s">
        <v>344</v>
      </c>
      <c r="D70" s="5" t="s">
        <v>135</v>
      </c>
      <c r="E70" s="5" t="s">
        <v>345</v>
      </c>
      <c r="F70" s="5" t="s">
        <v>159</v>
      </c>
      <c r="G70" s="5" t="s">
        <v>138</v>
      </c>
      <c r="H70" s="5"/>
      <c r="I70" s="5" t="s">
        <v>139</v>
      </c>
      <c r="J70" s="5" t="s">
        <v>139</v>
      </c>
      <c r="K70" s="5"/>
      <c r="L70" s="5"/>
      <c r="M70" s="5" t="s">
        <v>139</v>
      </c>
      <c r="N70" s="5"/>
    </row>
    <row r="71" spans="1:14" x14ac:dyDescent="0.45">
      <c r="A71" t="s">
        <v>346</v>
      </c>
      <c r="B71" t="s">
        <v>140</v>
      </c>
      <c r="C71" t="s">
        <v>347</v>
      </c>
      <c r="D71" t="s">
        <v>135</v>
      </c>
      <c r="E71" t="s">
        <v>345</v>
      </c>
      <c r="F71" t="s">
        <v>159</v>
      </c>
      <c r="G71" t="s">
        <v>138</v>
      </c>
      <c r="I71" t="s">
        <v>139</v>
      </c>
      <c r="J71" t="s">
        <v>139</v>
      </c>
      <c r="M71" t="s">
        <v>139</v>
      </c>
    </row>
    <row r="72" spans="1:14" x14ac:dyDescent="0.45">
      <c r="A72" s="5" t="s">
        <v>348</v>
      </c>
      <c r="B72" s="5" t="s">
        <v>140</v>
      </c>
      <c r="C72" s="5" t="s">
        <v>349</v>
      </c>
      <c r="D72" s="5" t="s">
        <v>335</v>
      </c>
      <c r="E72" s="5" t="s">
        <v>350</v>
      </c>
      <c r="F72" s="5" t="s">
        <v>159</v>
      </c>
      <c r="G72" s="5" t="s">
        <v>160</v>
      </c>
      <c r="H72" s="5"/>
      <c r="I72" s="5" t="s">
        <v>139</v>
      </c>
      <c r="J72" s="5" t="s">
        <v>139</v>
      </c>
      <c r="K72" s="5"/>
      <c r="L72" s="5"/>
      <c r="M72" s="5" t="s">
        <v>139</v>
      </c>
      <c r="N72" s="5"/>
    </row>
    <row r="73" spans="1:14" x14ac:dyDescent="0.45">
      <c r="A73" t="s">
        <v>351</v>
      </c>
      <c r="B73" t="s">
        <v>307</v>
      </c>
      <c r="C73" t="s">
        <v>352</v>
      </c>
      <c r="D73" t="s">
        <v>381</v>
      </c>
      <c r="F73" t="s">
        <v>420</v>
      </c>
      <c r="G73" t="s">
        <v>138</v>
      </c>
      <c r="H73" t="s">
        <v>421</v>
      </c>
      <c r="I73" t="s">
        <v>139</v>
      </c>
      <c r="J73" t="s">
        <v>139</v>
      </c>
      <c r="M73" t="s">
        <v>139</v>
      </c>
    </row>
    <row r="74" spans="1:14" x14ac:dyDescent="0.45">
      <c r="A74" s="5" t="s">
        <v>354</v>
      </c>
      <c r="B74" s="5" t="s">
        <v>140</v>
      </c>
      <c r="C74" s="5" t="s">
        <v>355</v>
      </c>
      <c r="D74" s="5" t="s">
        <v>335</v>
      </c>
      <c r="E74" s="5" t="s">
        <v>356</v>
      </c>
      <c r="F74" s="5" t="s">
        <v>159</v>
      </c>
      <c r="G74" s="5" t="s">
        <v>160</v>
      </c>
      <c r="H74" s="5" t="s">
        <v>357</v>
      </c>
      <c r="I74" s="5" t="s">
        <v>139</v>
      </c>
      <c r="J74" s="5" t="s">
        <v>139</v>
      </c>
      <c r="K74" s="5"/>
      <c r="L74" s="5"/>
      <c r="M74" s="5" t="s">
        <v>139</v>
      </c>
      <c r="N74" s="5"/>
    </row>
    <row r="75" spans="1:14" x14ac:dyDescent="0.45">
      <c r="A75" t="s">
        <v>422</v>
      </c>
      <c r="B75" t="s">
        <v>133</v>
      </c>
      <c r="C75" t="s">
        <v>423</v>
      </c>
      <c r="D75" t="s">
        <v>424</v>
      </c>
      <c r="E75" t="s">
        <v>425</v>
      </c>
      <c r="F75" t="s">
        <v>426</v>
      </c>
      <c r="G75" t="s">
        <v>145</v>
      </c>
      <c r="J75" t="s">
        <v>139</v>
      </c>
      <c r="M75" t="s">
        <v>139</v>
      </c>
    </row>
    <row r="76" spans="1:14" x14ac:dyDescent="0.45">
      <c r="A76" s="6" t="s">
        <v>427</v>
      </c>
      <c r="B76" s="7"/>
      <c r="C76" s="7"/>
      <c r="D76" s="7"/>
      <c r="E76" s="7"/>
      <c r="F76" s="7"/>
      <c r="G76" s="7"/>
      <c r="H76" s="7"/>
      <c r="I76" s="7"/>
      <c r="J76" s="7"/>
      <c r="K76" s="7"/>
      <c r="L76" s="7"/>
      <c r="M76" s="7"/>
      <c r="N76" s="7"/>
    </row>
    <row r="77" spans="1:14" x14ac:dyDescent="0.45">
      <c r="A77" s="5" t="s">
        <v>428</v>
      </c>
      <c r="B77" s="5" t="s">
        <v>133</v>
      </c>
      <c r="C77" s="5" t="s">
        <v>429</v>
      </c>
      <c r="D77" s="5" t="s">
        <v>381</v>
      </c>
      <c r="E77" s="5" t="s">
        <v>430</v>
      </c>
      <c r="F77" s="5" t="s">
        <v>431</v>
      </c>
      <c r="G77" s="5" t="s">
        <v>145</v>
      </c>
      <c r="H77" s="5" t="s">
        <v>432</v>
      </c>
      <c r="I77" s="5" t="s">
        <v>139</v>
      </c>
      <c r="J77" s="5" t="s">
        <v>139</v>
      </c>
      <c r="K77" s="5"/>
      <c r="L77" s="5"/>
      <c r="M77" s="5" t="s">
        <v>139</v>
      </c>
      <c r="N77" s="5"/>
    </row>
    <row r="78" spans="1:14" x14ac:dyDescent="0.45">
      <c r="A78" t="s">
        <v>433</v>
      </c>
      <c r="B78" t="s">
        <v>140</v>
      </c>
      <c r="C78" t="s">
        <v>434</v>
      </c>
      <c r="D78" t="s">
        <v>435</v>
      </c>
      <c r="E78" t="s">
        <v>436</v>
      </c>
      <c r="F78" t="s">
        <v>159</v>
      </c>
      <c r="G78" t="s">
        <v>160</v>
      </c>
      <c r="J78" t="s">
        <v>139</v>
      </c>
      <c r="M78" t="s">
        <v>139</v>
      </c>
    </row>
    <row r="79" spans="1:14" x14ac:dyDescent="0.45">
      <c r="A79" s="5" t="s">
        <v>437</v>
      </c>
      <c r="B79" s="5" t="s">
        <v>140</v>
      </c>
      <c r="C79" s="5" t="s">
        <v>438</v>
      </c>
      <c r="D79" s="5" t="s">
        <v>435</v>
      </c>
      <c r="E79" s="5" t="s">
        <v>436</v>
      </c>
      <c r="F79" s="5" t="s">
        <v>159</v>
      </c>
      <c r="G79" s="5" t="s">
        <v>160</v>
      </c>
      <c r="H79" s="5"/>
      <c r="I79" s="5" t="s">
        <v>139</v>
      </c>
      <c r="J79" s="5" t="s">
        <v>139</v>
      </c>
      <c r="K79" s="5"/>
      <c r="L79" s="5"/>
      <c r="M79" s="5" t="s">
        <v>139</v>
      </c>
      <c r="N79" s="5"/>
    </row>
    <row r="80" spans="1:14" x14ac:dyDescent="0.45">
      <c r="A80" t="s">
        <v>439</v>
      </c>
      <c r="B80" t="s">
        <v>140</v>
      </c>
      <c r="C80" t="s">
        <v>440</v>
      </c>
      <c r="D80" t="s">
        <v>435</v>
      </c>
      <c r="E80" t="s">
        <v>436</v>
      </c>
      <c r="F80" t="s">
        <v>159</v>
      </c>
      <c r="G80" t="s">
        <v>160</v>
      </c>
      <c r="I80" t="s">
        <v>139</v>
      </c>
      <c r="J80" t="s">
        <v>139</v>
      </c>
      <c r="M80" t="s">
        <v>139</v>
      </c>
    </row>
    <row r="81" spans="1:14" x14ac:dyDescent="0.45">
      <c r="A81" s="5" t="s">
        <v>468</v>
      </c>
      <c r="B81" s="5" t="s">
        <v>140</v>
      </c>
      <c r="C81" s="5" t="s">
        <v>442</v>
      </c>
      <c r="D81" s="5" t="s">
        <v>470</v>
      </c>
      <c r="E81" s="5" t="s">
        <v>501</v>
      </c>
      <c r="F81" s="5" t="s">
        <v>159</v>
      </c>
      <c r="G81" s="5" t="s">
        <v>160</v>
      </c>
      <c r="H81" s="5" t="s">
        <v>502</v>
      </c>
      <c r="I81" s="5" t="s">
        <v>139</v>
      </c>
      <c r="J81" s="5" t="s">
        <v>139</v>
      </c>
      <c r="K81" s="5" t="s">
        <v>139</v>
      </c>
      <c r="L81" s="5"/>
      <c r="M81" s="5" t="s">
        <v>139</v>
      </c>
      <c r="N81" s="5"/>
    </row>
    <row r="82" spans="1:14" x14ac:dyDescent="0.45">
      <c r="A82" t="s">
        <v>503</v>
      </c>
      <c r="B82" t="s">
        <v>140</v>
      </c>
      <c r="C82" t="s">
        <v>504</v>
      </c>
      <c r="D82" t="s">
        <v>470</v>
      </c>
      <c r="E82" t="s">
        <v>505</v>
      </c>
      <c r="F82" t="s">
        <v>159</v>
      </c>
      <c r="G82" t="s">
        <v>160</v>
      </c>
      <c r="H82" t="s">
        <v>505</v>
      </c>
      <c r="J82" t="s">
        <v>139</v>
      </c>
      <c r="M82" t="s">
        <v>139</v>
      </c>
    </row>
    <row r="83" spans="1:14" x14ac:dyDescent="0.45">
      <c r="A83" s="5" t="s">
        <v>506</v>
      </c>
      <c r="B83" s="5" t="s">
        <v>140</v>
      </c>
      <c r="C83" s="5" t="s">
        <v>507</v>
      </c>
      <c r="D83" s="5" t="s">
        <v>470</v>
      </c>
      <c r="E83" s="5" t="s">
        <v>501</v>
      </c>
      <c r="F83" s="5" t="s">
        <v>159</v>
      </c>
      <c r="G83" s="5" t="s">
        <v>160</v>
      </c>
      <c r="H83" s="5" t="s">
        <v>502</v>
      </c>
      <c r="I83" s="5" t="s">
        <v>139</v>
      </c>
      <c r="J83" s="5" t="s">
        <v>139</v>
      </c>
      <c r="K83" s="5"/>
      <c r="L83" s="5"/>
      <c r="M83" s="5" t="s">
        <v>139</v>
      </c>
      <c r="N83" s="5"/>
    </row>
    <row r="84" spans="1:14" x14ac:dyDescent="0.45">
      <c r="A84" t="s">
        <v>441</v>
      </c>
      <c r="B84" t="s">
        <v>224</v>
      </c>
      <c r="D84" t="s">
        <v>381</v>
      </c>
      <c r="F84" t="s">
        <v>444</v>
      </c>
      <c r="G84" t="s">
        <v>138</v>
      </c>
      <c r="H84" t="s">
        <v>476</v>
      </c>
      <c r="M84" t="s">
        <v>139</v>
      </c>
    </row>
    <row r="85" spans="1:14" x14ac:dyDescent="0.45">
      <c r="A85" s="5" t="s">
        <v>445</v>
      </c>
      <c r="B85" s="5" t="s">
        <v>133</v>
      </c>
      <c r="C85" s="5" t="s">
        <v>446</v>
      </c>
      <c r="D85" s="5" t="s">
        <v>381</v>
      </c>
      <c r="E85" s="5" t="s">
        <v>447</v>
      </c>
      <c r="F85" s="5" t="s">
        <v>448</v>
      </c>
      <c r="G85" s="5" t="s">
        <v>449</v>
      </c>
      <c r="H85" s="5"/>
      <c r="I85" s="5" t="s">
        <v>139</v>
      </c>
      <c r="J85" s="5" t="s">
        <v>139</v>
      </c>
      <c r="K85" s="5"/>
      <c r="L85" s="5"/>
      <c r="M85" s="5" t="s">
        <v>139</v>
      </c>
      <c r="N85" s="5"/>
    </row>
    <row r="86" spans="1:14" x14ac:dyDescent="0.45">
      <c r="A86" s="6" t="s">
        <v>358</v>
      </c>
      <c r="B86" s="7"/>
      <c r="C86" s="7"/>
      <c r="D86" s="7"/>
      <c r="E86" s="7"/>
      <c r="F86" s="7"/>
      <c r="G86" s="7"/>
      <c r="H86" s="7"/>
      <c r="I86" s="7"/>
      <c r="J86" s="7"/>
      <c r="K86" s="7"/>
      <c r="L86" s="7"/>
      <c r="M86" s="7"/>
      <c r="N86" s="7"/>
    </row>
    <row r="87" spans="1:14" x14ac:dyDescent="0.45">
      <c r="A87" t="s">
        <v>452</v>
      </c>
      <c r="B87" t="s">
        <v>133</v>
      </c>
      <c r="C87" t="s">
        <v>453</v>
      </c>
      <c r="D87" t="s">
        <v>381</v>
      </c>
      <c r="E87" t="s">
        <v>454</v>
      </c>
      <c r="F87" t="s">
        <v>455</v>
      </c>
      <c r="G87" t="s">
        <v>138</v>
      </c>
      <c r="M87" t="s">
        <v>139</v>
      </c>
    </row>
  </sheetData>
  <mergeCells count="13">
    <mergeCell ref="B3:N3"/>
    <mergeCell ref="B2:N2"/>
    <mergeCell ref="A1:N1"/>
    <mergeCell ref="A56:N56"/>
    <mergeCell ref="B5:N5"/>
    <mergeCell ref="B4:N4"/>
    <mergeCell ref="A30:N30"/>
    <mergeCell ref="A86:N86"/>
    <mergeCell ref="A7:N7"/>
    <mergeCell ref="A65:N65"/>
    <mergeCell ref="A76:N76"/>
    <mergeCell ref="A11:N11"/>
    <mergeCell ref="A49:N49"/>
  </mergeCells>
  <dataValidations count="1">
    <dataValidation type="list" allowBlank="1" errorTitle="Invalid Review Status" error="Choose a review status from the list." sqref="N2:N87" xr:uid="{00000000-0002-0000-12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5"/>
  <sheetViews>
    <sheetView workbookViewId="0">
      <pane ySplit="6" topLeftCell="A7" activePane="bottomLeft" state="frozen"/>
      <selection pane="bottomLeft"/>
    </sheetView>
  </sheetViews>
  <sheetFormatPr defaultRowHeight="14.25" x14ac:dyDescent="0.45"/>
  <cols>
    <col min="1" max="1" width="50" customWidth="1"/>
    <col min="2" max="2" width="20"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543</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44</v>
      </c>
      <c r="C4" s="7"/>
      <c r="D4" s="7"/>
      <c r="E4" s="7"/>
      <c r="F4" s="7"/>
      <c r="G4" s="7"/>
      <c r="H4" s="7"/>
      <c r="I4" s="7"/>
      <c r="J4" s="7"/>
      <c r="K4" s="7"/>
      <c r="L4" s="7"/>
      <c r="M4" s="7"/>
      <c r="N4" s="7"/>
    </row>
    <row r="5" spans="1:14" x14ac:dyDescent="0.45">
      <c r="A5" s="4" t="s">
        <v>21</v>
      </c>
      <c r="B5" s="7" t="s">
        <v>78</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414</v>
      </c>
      <c r="E62" t="s">
        <v>415</v>
      </c>
      <c r="F62" t="s">
        <v>309</v>
      </c>
      <c r="G62" t="s">
        <v>138</v>
      </c>
      <c r="H62" t="s">
        <v>416</v>
      </c>
      <c r="I62" t="s">
        <v>139</v>
      </c>
      <c r="J62" t="s">
        <v>139</v>
      </c>
      <c r="M62" t="s">
        <v>139</v>
      </c>
    </row>
    <row r="63" spans="1:14" x14ac:dyDescent="0.45">
      <c r="A63" s="5" t="s">
        <v>314</v>
      </c>
      <c r="B63" s="5" t="s">
        <v>140</v>
      </c>
      <c r="C63" s="5" t="s">
        <v>315</v>
      </c>
      <c r="D63" s="5" t="s">
        <v>135</v>
      </c>
      <c r="E63" s="5" t="s">
        <v>316</v>
      </c>
      <c r="F63" s="5" t="s">
        <v>159</v>
      </c>
      <c r="G63" s="5" t="s">
        <v>160</v>
      </c>
      <c r="H63" s="5"/>
      <c r="I63" s="5"/>
      <c r="J63" s="5" t="s">
        <v>139</v>
      </c>
      <c r="K63" s="5"/>
      <c r="L63" s="5"/>
      <c r="M63" s="5" t="s">
        <v>139</v>
      </c>
      <c r="N63" s="5"/>
    </row>
    <row r="64" spans="1:14" x14ac:dyDescent="0.45">
      <c r="A64" t="s">
        <v>317</v>
      </c>
      <c r="B64" t="s">
        <v>224</v>
      </c>
      <c r="D64" t="s">
        <v>381</v>
      </c>
      <c r="F64" t="s">
        <v>319</v>
      </c>
      <c r="G64" t="s">
        <v>138</v>
      </c>
      <c r="H64" t="s">
        <v>417</v>
      </c>
      <c r="I64" t="s">
        <v>139</v>
      </c>
      <c r="J64" t="s">
        <v>139</v>
      </c>
      <c r="M64" t="s">
        <v>139</v>
      </c>
    </row>
    <row r="65" spans="1:14" x14ac:dyDescent="0.45">
      <c r="A65" s="6" t="s">
        <v>329</v>
      </c>
      <c r="B65" s="7"/>
      <c r="C65" s="7"/>
      <c r="D65" s="7"/>
      <c r="E65" s="7"/>
      <c r="F65" s="7"/>
      <c r="G65" s="7"/>
      <c r="H65" s="7"/>
      <c r="I65" s="7"/>
      <c r="J65" s="7"/>
      <c r="K65" s="7"/>
      <c r="L65" s="7"/>
      <c r="M65" s="7"/>
      <c r="N65" s="7"/>
    </row>
    <row r="66" spans="1:14" x14ac:dyDescent="0.45">
      <c r="A66" s="5" t="s">
        <v>330</v>
      </c>
      <c r="B66" s="5" t="s">
        <v>307</v>
      </c>
      <c r="C66" s="5" t="s">
        <v>331</v>
      </c>
      <c r="D66" s="5" t="s">
        <v>381</v>
      </c>
      <c r="E66" s="5"/>
      <c r="F66" s="5" t="s">
        <v>418</v>
      </c>
      <c r="G66" s="5" t="s">
        <v>138</v>
      </c>
      <c r="H66" s="5" t="s">
        <v>419</v>
      </c>
      <c r="I66" s="5" t="s">
        <v>139</v>
      </c>
      <c r="J66" s="5" t="s">
        <v>139</v>
      </c>
      <c r="K66" s="5"/>
      <c r="L66" s="5"/>
      <c r="M66" s="5" t="s">
        <v>139</v>
      </c>
      <c r="N66" s="5"/>
    </row>
    <row r="67" spans="1:14" x14ac:dyDescent="0.45">
      <c r="A67" t="s">
        <v>333</v>
      </c>
      <c r="B67" t="s">
        <v>140</v>
      </c>
      <c r="C67" t="s">
        <v>334</v>
      </c>
      <c r="D67" t="s">
        <v>335</v>
      </c>
      <c r="E67" t="s">
        <v>336</v>
      </c>
      <c r="F67" t="s">
        <v>159</v>
      </c>
      <c r="G67" t="s">
        <v>160</v>
      </c>
      <c r="I67" t="s">
        <v>139</v>
      </c>
      <c r="J67" t="s">
        <v>139</v>
      </c>
      <c r="M67" t="s">
        <v>139</v>
      </c>
    </row>
    <row r="68" spans="1:14" x14ac:dyDescent="0.45">
      <c r="A68" s="5" t="s">
        <v>337</v>
      </c>
      <c r="B68" s="5" t="s">
        <v>140</v>
      </c>
      <c r="C68" s="5" t="s">
        <v>338</v>
      </c>
      <c r="D68" s="5" t="s">
        <v>335</v>
      </c>
      <c r="E68" s="5" t="s">
        <v>339</v>
      </c>
      <c r="F68" s="5" t="s">
        <v>159</v>
      </c>
      <c r="G68" s="5" t="s">
        <v>160</v>
      </c>
      <c r="H68" s="5"/>
      <c r="I68" s="5" t="s">
        <v>139</v>
      </c>
      <c r="J68" s="5" t="s">
        <v>139</v>
      </c>
      <c r="K68" s="5"/>
      <c r="L68" s="5"/>
      <c r="M68" s="5" t="s">
        <v>139</v>
      </c>
      <c r="N68" s="5"/>
    </row>
    <row r="69" spans="1:14" x14ac:dyDescent="0.45">
      <c r="A69" t="s">
        <v>340</v>
      </c>
      <c r="B69" t="s">
        <v>140</v>
      </c>
      <c r="C69" t="s">
        <v>341</v>
      </c>
      <c r="D69" t="s">
        <v>335</v>
      </c>
      <c r="E69" t="s">
        <v>342</v>
      </c>
      <c r="F69" t="s">
        <v>159</v>
      </c>
      <c r="G69" t="s">
        <v>160</v>
      </c>
      <c r="I69" t="s">
        <v>139</v>
      </c>
      <c r="J69" t="s">
        <v>139</v>
      </c>
      <c r="M69" t="s">
        <v>139</v>
      </c>
    </row>
    <row r="70" spans="1:14" x14ac:dyDescent="0.45">
      <c r="A70" s="5" t="s">
        <v>343</v>
      </c>
      <c r="B70" s="5" t="s">
        <v>140</v>
      </c>
      <c r="C70" s="5" t="s">
        <v>344</v>
      </c>
      <c r="D70" s="5" t="s">
        <v>135</v>
      </c>
      <c r="E70" s="5" t="s">
        <v>345</v>
      </c>
      <c r="F70" s="5" t="s">
        <v>159</v>
      </c>
      <c r="G70" s="5" t="s">
        <v>138</v>
      </c>
      <c r="H70" s="5"/>
      <c r="I70" s="5" t="s">
        <v>139</v>
      </c>
      <c r="J70" s="5" t="s">
        <v>139</v>
      </c>
      <c r="K70" s="5"/>
      <c r="L70" s="5"/>
      <c r="M70" s="5" t="s">
        <v>139</v>
      </c>
      <c r="N70" s="5"/>
    </row>
    <row r="71" spans="1:14" x14ac:dyDescent="0.45">
      <c r="A71" t="s">
        <v>346</v>
      </c>
      <c r="B71" t="s">
        <v>140</v>
      </c>
      <c r="C71" t="s">
        <v>347</v>
      </c>
      <c r="D71" t="s">
        <v>135</v>
      </c>
      <c r="E71" t="s">
        <v>345</v>
      </c>
      <c r="F71" t="s">
        <v>159</v>
      </c>
      <c r="G71" t="s">
        <v>138</v>
      </c>
      <c r="I71" t="s">
        <v>139</v>
      </c>
      <c r="J71" t="s">
        <v>139</v>
      </c>
      <c r="M71" t="s">
        <v>139</v>
      </c>
    </row>
    <row r="72" spans="1:14" x14ac:dyDescent="0.45">
      <c r="A72" s="5" t="s">
        <v>348</v>
      </c>
      <c r="B72" s="5" t="s">
        <v>140</v>
      </c>
      <c r="C72" s="5" t="s">
        <v>349</v>
      </c>
      <c r="D72" s="5" t="s">
        <v>335</v>
      </c>
      <c r="E72" s="5" t="s">
        <v>350</v>
      </c>
      <c r="F72" s="5" t="s">
        <v>159</v>
      </c>
      <c r="G72" s="5" t="s">
        <v>160</v>
      </c>
      <c r="H72" s="5"/>
      <c r="I72" s="5" t="s">
        <v>139</v>
      </c>
      <c r="J72" s="5" t="s">
        <v>139</v>
      </c>
      <c r="K72" s="5"/>
      <c r="L72" s="5"/>
      <c r="M72" s="5" t="s">
        <v>139</v>
      </c>
      <c r="N72" s="5"/>
    </row>
    <row r="73" spans="1:14" x14ac:dyDescent="0.45">
      <c r="A73" t="s">
        <v>351</v>
      </c>
      <c r="B73" t="s">
        <v>307</v>
      </c>
      <c r="C73" t="s">
        <v>352</v>
      </c>
      <c r="D73" t="s">
        <v>381</v>
      </c>
      <c r="F73" t="s">
        <v>420</v>
      </c>
      <c r="G73" t="s">
        <v>138</v>
      </c>
      <c r="H73" t="s">
        <v>421</v>
      </c>
      <c r="I73" t="s">
        <v>139</v>
      </c>
      <c r="J73" t="s">
        <v>139</v>
      </c>
      <c r="M73" t="s">
        <v>139</v>
      </c>
    </row>
    <row r="74" spans="1:14" x14ac:dyDescent="0.45">
      <c r="A74" s="5" t="s">
        <v>354</v>
      </c>
      <c r="B74" s="5" t="s">
        <v>140</v>
      </c>
      <c r="C74" s="5" t="s">
        <v>355</v>
      </c>
      <c r="D74" s="5" t="s">
        <v>335</v>
      </c>
      <c r="E74" s="5" t="s">
        <v>356</v>
      </c>
      <c r="F74" s="5" t="s">
        <v>159</v>
      </c>
      <c r="G74" s="5" t="s">
        <v>160</v>
      </c>
      <c r="H74" s="5" t="s">
        <v>357</v>
      </c>
      <c r="I74" s="5" t="s">
        <v>139</v>
      </c>
      <c r="J74" s="5" t="s">
        <v>139</v>
      </c>
      <c r="K74" s="5"/>
      <c r="L74" s="5"/>
      <c r="M74" s="5" t="s">
        <v>139</v>
      </c>
      <c r="N74" s="5"/>
    </row>
    <row r="75" spans="1:14" x14ac:dyDescent="0.45">
      <c r="A75" t="s">
        <v>422</v>
      </c>
      <c r="B75" t="s">
        <v>133</v>
      </c>
      <c r="C75" t="s">
        <v>423</v>
      </c>
      <c r="D75" t="s">
        <v>424</v>
      </c>
      <c r="E75" t="s">
        <v>425</v>
      </c>
      <c r="F75" t="s">
        <v>426</v>
      </c>
      <c r="G75" t="s">
        <v>145</v>
      </c>
      <c r="J75" t="s">
        <v>139</v>
      </c>
      <c r="M75" t="s">
        <v>139</v>
      </c>
    </row>
    <row r="76" spans="1:14" x14ac:dyDescent="0.45">
      <c r="A76" s="6" t="s">
        <v>427</v>
      </c>
      <c r="B76" s="7"/>
      <c r="C76" s="7"/>
      <c r="D76" s="7"/>
      <c r="E76" s="7"/>
      <c r="F76" s="7"/>
      <c r="G76" s="7"/>
      <c r="H76" s="7"/>
      <c r="I76" s="7"/>
      <c r="J76" s="7"/>
      <c r="K76" s="7"/>
      <c r="L76" s="7"/>
      <c r="M76" s="7"/>
      <c r="N76" s="7"/>
    </row>
    <row r="77" spans="1:14" x14ac:dyDescent="0.45">
      <c r="A77" s="5" t="s">
        <v>428</v>
      </c>
      <c r="B77" s="5" t="s">
        <v>133</v>
      </c>
      <c r="C77" s="5" t="s">
        <v>429</v>
      </c>
      <c r="D77" s="5" t="s">
        <v>381</v>
      </c>
      <c r="E77" s="5" t="s">
        <v>430</v>
      </c>
      <c r="F77" s="5" t="s">
        <v>431</v>
      </c>
      <c r="G77" s="5" t="s">
        <v>145</v>
      </c>
      <c r="H77" s="5" t="s">
        <v>432</v>
      </c>
      <c r="I77" s="5" t="s">
        <v>139</v>
      </c>
      <c r="J77" s="5" t="s">
        <v>139</v>
      </c>
      <c r="K77" s="5"/>
      <c r="L77" s="5"/>
      <c r="M77" s="5" t="s">
        <v>139</v>
      </c>
      <c r="N77" s="5"/>
    </row>
    <row r="78" spans="1:14" x14ac:dyDescent="0.45">
      <c r="A78" t="s">
        <v>433</v>
      </c>
      <c r="B78" t="s">
        <v>140</v>
      </c>
      <c r="C78" t="s">
        <v>434</v>
      </c>
      <c r="D78" t="s">
        <v>435</v>
      </c>
      <c r="E78" t="s">
        <v>436</v>
      </c>
      <c r="F78" t="s">
        <v>159</v>
      </c>
      <c r="G78" t="s">
        <v>160</v>
      </c>
      <c r="J78" t="s">
        <v>139</v>
      </c>
      <c r="M78" t="s">
        <v>139</v>
      </c>
    </row>
    <row r="79" spans="1:14" x14ac:dyDescent="0.45">
      <c r="A79" s="5" t="s">
        <v>437</v>
      </c>
      <c r="B79" s="5" t="s">
        <v>140</v>
      </c>
      <c r="C79" s="5" t="s">
        <v>438</v>
      </c>
      <c r="D79" s="5" t="s">
        <v>435</v>
      </c>
      <c r="E79" s="5" t="s">
        <v>436</v>
      </c>
      <c r="F79" s="5" t="s">
        <v>159</v>
      </c>
      <c r="G79" s="5" t="s">
        <v>160</v>
      </c>
      <c r="H79" s="5"/>
      <c r="I79" s="5" t="s">
        <v>139</v>
      </c>
      <c r="J79" s="5" t="s">
        <v>139</v>
      </c>
      <c r="K79" s="5"/>
      <c r="L79" s="5"/>
      <c r="M79" s="5" t="s">
        <v>139</v>
      </c>
      <c r="N79" s="5"/>
    </row>
    <row r="80" spans="1:14" x14ac:dyDescent="0.45">
      <c r="A80" t="s">
        <v>439</v>
      </c>
      <c r="B80" t="s">
        <v>140</v>
      </c>
      <c r="C80" t="s">
        <v>440</v>
      </c>
      <c r="D80" t="s">
        <v>435</v>
      </c>
      <c r="E80" t="s">
        <v>436</v>
      </c>
      <c r="F80" t="s">
        <v>159</v>
      </c>
      <c r="G80" t="s">
        <v>160</v>
      </c>
      <c r="I80" t="s">
        <v>139</v>
      </c>
      <c r="J80" t="s">
        <v>139</v>
      </c>
      <c r="M80" t="s">
        <v>139</v>
      </c>
    </row>
    <row r="81" spans="1:14" x14ac:dyDescent="0.45">
      <c r="A81" s="5" t="s">
        <v>510</v>
      </c>
      <c r="B81" s="5" t="s">
        <v>140</v>
      </c>
      <c r="C81" s="5" t="s">
        <v>544</v>
      </c>
      <c r="D81" s="5" t="s">
        <v>470</v>
      </c>
      <c r="E81" s="5" t="s">
        <v>545</v>
      </c>
      <c r="F81" s="5" t="s">
        <v>159</v>
      </c>
      <c r="G81" s="5" t="s">
        <v>160</v>
      </c>
      <c r="H81" s="5" t="s">
        <v>546</v>
      </c>
      <c r="I81" s="5" t="s">
        <v>139</v>
      </c>
      <c r="J81" s="5" t="s">
        <v>139</v>
      </c>
      <c r="K81" s="5"/>
      <c r="L81" s="5"/>
      <c r="M81" s="5" t="s">
        <v>139</v>
      </c>
      <c r="N81" s="5"/>
    </row>
    <row r="82" spans="1:14" x14ac:dyDescent="0.45">
      <c r="A82" t="s">
        <v>441</v>
      </c>
      <c r="B82" t="s">
        <v>224</v>
      </c>
      <c r="C82" t="s">
        <v>442</v>
      </c>
      <c r="D82" t="s">
        <v>381</v>
      </c>
      <c r="E82" t="s">
        <v>443</v>
      </c>
      <c r="F82" t="s">
        <v>444</v>
      </c>
      <c r="G82" t="s">
        <v>138</v>
      </c>
      <c r="H82" t="s">
        <v>483</v>
      </c>
      <c r="M82" t="s">
        <v>139</v>
      </c>
    </row>
    <row r="83" spans="1:14" x14ac:dyDescent="0.45">
      <c r="A83" s="5" t="s">
        <v>445</v>
      </c>
      <c r="B83" s="5" t="s">
        <v>133</v>
      </c>
      <c r="C83" s="5" t="s">
        <v>446</v>
      </c>
      <c r="D83" s="5" t="s">
        <v>381</v>
      </c>
      <c r="E83" s="5" t="s">
        <v>447</v>
      </c>
      <c r="F83" s="5" t="s">
        <v>448</v>
      </c>
      <c r="G83" s="5" t="s">
        <v>449</v>
      </c>
      <c r="H83" s="5"/>
      <c r="I83" s="5" t="s">
        <v>139</v>
      </c>
      <c r="J83" s="5" t="s">
        <v>139</v>
      </c>
      <c r="K83" s="5"/>
      <c r="L83" s="5"/>
      <c r="M83" s="5" t="s">
        <v>139</v>
      </c>
      <c r="N83" s="5"/>
    </row>
    <row r="84" spans="1:14" x14ac:dyDescent="0.45">
      <c r="A84" s="6" t="s">
        <v>358</v>
      </c>
      <c r="B84" s="7"/>
      <c r="C84" s="7"/>
      <c r="D84" s="7"/>
      <c r="E84" s="7"/>
      <c r="F84" s="7"/>
      <c r="G84" s="7"/>
      <c r="H84" s="7"/>
      <c r="I84" s="7"/>
      <c r="J84" s="7"/>
      <c r="K84" s="7"/>
      <c r="L84" s="7"/>
      <c r="M84" s="7"/>
      <c r="N84" s="7"/>
    </row>
    <row r="85" spans="1:14" x14ac:dyDescent="0.45">
      <c r="A85" t="s">
        <v>452</v>
      </c>
      <c r="B85" t="s">
        <v>133</v>
      </c>
      <c r="C85" t="s">
        <v>453</v>
      </c>
      <c r="D85" t="s">
        <v>381</v>
      </c>
      <c r="E85" t="s">
        <v>454</v>
      </c>
      <c r="F85" t="s">
        <v>455</v>
      </c>
      <c r="G85" t="s">
        <v>138</v>
      </c>
      <c r="M85" t="s">
        <v>139</v>
      </c>
    </row>
  </sheetData>
  <mergeCells count="13">
    <mergeCell ref="B3:N3"/>
    <mergeCell ref="B2:N2"/>
    <mergeCell ref="A1:N1"/>
    <mergeCell ref="A56:N56"/>
    <mergeCell ref="B5:N5"/>
    <mergeCell ref="B4:N4"/>
    <mergeCell ref="A30:N30"/>
    <mergeCell ref="A84:N84"/>
    <mergeCell ref="A7:N7"/>
    <mergeCell ref="A65:N65"/>
    <mergeCell ref="A76:N76"/>
    <mergeCell ref="A11:N11"/>
    <mergeCell ref="A49:N49"/>
  </mergeCells>
  <dataValidations count="1">
    <dataValidation type="list" allowBlank="1" errorTitle="Invalid Review Status" error="Choose a review status from the list." sqref="N2:N85" xr:uid="{00000000-0002-0000-13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86"/>
  <sheetViews>
    <sheetView workbookViewId="0">
      <pane ySplit="6" topLeftCell="A7" activePane="bottomLeft" state="frozen"/>
      <selection pane="bottomLeft"/>
    </sheetView>
  </sheetViews>
  <sheetFormatPr defaultRowHeight="14.25" x14ac:dyDescent="0.45"/>
  <cols>
    <col min="1" max="1" width="50" customWidth="1"/>
    <col min="2" max="2" width="25"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547</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81</v>
      </c>
      <c r="C4" s="7"/>
      <c r="D4" s="7"/>
      <c r="E4" s="7"/>
      <c r="F4" s="7"/>
      <c r="G4" s="7"/>
      <c r="H4" s="7"/>
      <c r="I4" s="7"/>
      <c r="J4" s="7"/>
      <c r="K4" s="7"/>
      <c r="L4" s="7"/>
      <c r="M4" s="7"/>
      <c r="N4" s="7"/>
    </row>
    <row r="5" spans="1:14" x14ac:dyDescent="0.45">
      <c r="A5" s="4" t="s">
        <v>21</v>
      </c>
      <c r="B5" s="7" t="s">
        <v>53</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414</v>
      </c>
      <c r="E62" t="s">
        <v>415</v>
      </c>
      <c r="F62" t="s">
        <v>309</v>
      </c>
      <c r="G62" t="s">
        <v>138</v>
      </c>
      <c r="H62" t="s">
        <v>416</v>
      </c>
      <c r="I62" t="s">
        <v>139</v>
      </c>
      <c r="J62" t="s">
        <v>139</v>
      </c>
      <c r="M62" t="s">
        <v>139</v>
      </c>
    </row>
    <row r="63" spans="1:14" x14ac:dyDescent="0.45">
      <c r="A63" s="5" t="s">
        <v>314</v>
      </c>
      <c r="B63" s="5" t="s">
        <v>140</v>
      </c>
      <c r="C63" s="5" t="s">
        <v>315</v>
      </c>
      <c r="D63" s="5" t="s">
        <v>135</v>
      </c>
      <c r="E63" s="5" t="s">
        <v>316</v>
      </c>
      <c r="F63" s="5" t="s">
        <v>159</v>
      </c>
      <c r="G63" s="5" t="s">
        <v>160</v>
      </c>
      <c r="H63" s="5"/>
      <c r="I63" s="5"/>
      <c r="J63" s="5" t="s">
        <v>139</v>
      </c>
      <c r="K63" s="5"/>
      <c r="L63" s="5"/>
      <c r="M63" s="5" t="s">
        <v>139</v>
      </c>
      <c r="N63" s="5"/>
    </row>
    <row r="64" spans="1:14" x14ac:dyDescent="0.45">
      <c r="A64" t="s">
        <v>317</v>
      </c>
      <c r="B64" t="s">
        <v>224</v>
      </c>
      <c r="D64" t="s">
        <v>381</v>
      </c>
      <c r="F64" t="s">
        <v>319</v>
      </c>
      <c r="G64" t="s">
        <v>138</v>
      </c>
      <c r="H64" t="s">
        <v>417</v>
      </c>
      <c r="I64" t="s">
        <v>139</v>
      </c>
      <c r="J64" t="s">
        <v>139</v>
      </c>
      <c r="M64" t="s">
        <v>139</v>
      </c>
    </row>
    <row r="65" spans="1:14" x14ac:dyDescent="0.45">
      <c r="A65" s="6" t="s">
        <v>329</v>
      </c>
      <c r="B65" s="7"/>
      <c r="C65" s="7"/>
      <c r="D65" s="7"/>
      <c r="E65" s="7"/>
      <c r="F65" s="7"/>
      <c r="G65" s="7"/>
      <c r="H65" s="7"/>
      <c r="I65" s="7"/>
      <c r="J65" s="7"/>
      <c r="K65" s="7"/>
      <c r="L65" s="7"/>
      <c r="M65" s="7"/>
      <c r="N65" s="7"/>
    </row>
    <row r="66" spans="1:14" x14ac:dyDescent="0.45">
      <c r="A66" s="5" t="s">
        <v>330</v>
      </c>
      <c r="B66" s="5" t="s">
        <v>307</v>
      </c>
      <c r="C66" s="5" t="s">
        <v>331</v>
      </c>
      <c r="D66" s="5" t="s">
        <v>381</v>
      </c>
      <c r="E66" s="5"/>
      <c r="F66" s="5" t="s">
        <v>418</v>
      </c>
      <c r="G66" s="5" t="s">
        <v>138</v>
      </c>
      <c r="H66" s="5" t="s">
        <v>419</v>
      </c>
      <c r="I66" s="5" t="s">
        <v>139</v>
      </c>
      <c r="J66" s="5" t="s">
        <v>139</v>
      </c>
      <c r="K66" s="5"/>
      <c r="L66" s="5"/>
      <c r="M66" s="5" t="s">
        <v>139</v>
      </c>
      <c r="N66" s="5"/>
    </row>
    <row r="67" spans="1:14" x14ac:dyDescent="0.45">
      <c r="A67" t="s">
        <v>333</v>
      </c>
      <c r="B67" t="s">
        <v>140</v>
      </c>
      <c r="C67" t="s">
        <v>334</v>
      </c>
      <c r="D67" t="s">
        <v>335</v>
      </c>
      <c r="E67" t="s">
        <v>336</v>
      </c>
      <c r="F67" t="s">
        <v>159</v>
      </c>
      <c r="G67" t="s">
        <v>160</v>
      </c>
      <c r="I67" t="s">
        <v>139</v>
      </c>
      <c r="J67" t="s">
        <v>139</v>
      </c>
      <c r="M67" t="s">
        <v>139</v>
      </c>
    </row>
    <row r="68" spans="1:14" x14ac:dyDescent="0.45">
      <c r="A68" s="5" t="s">
        <v>337</v>
      </c>
      <c r="B68" s="5" t="s">
        <v>140</v>
      </c>
      <c r="C68" s="5" t="s">
        <v>338</v>
      </c>
      <c r="D68" s="5" t="s">
        <v>335</v>
      </c>
      <c r="E68" s="5" t="s">
        <v>339</v>
      </c>
      <c r="F68" s="5" t="s">
        <v>159</v>
      </c>
      <c r="G68" s="5" t="s">
        <v>160</v>
      </c>
      <c r="H68" s="5"/>
      <c r="I68" s="5" t="s">
        <v>139</v>
      </c>
      <c r="J68" s="5" t="s">
        <v>139</v>
      </c>
      <c r="K68" s="5"/>
      <c r="L68" s="5"/>
      <c r="M68" s="5" t="s">
        <v>139</v>
      </c>
      <c r="N68" s="5"/>
    </row>
    <row r="69" spans="1:14" x14ac:dyDescent="0.45">
      <c r="A69" t="s">
        <v>340</v>
      </c>
      <c r="B69" t="s">
        <v>140</v>
      </c>
      <c r="C69" t="s">
        <v>341</v>
      </c>
      <c r="D69" t="s">
        <v>335</v>
      </c>
      <c r="E69" t="s">
        <v>342</v>
      </c>
      <c r="F69" t="s">
        <v>159</v>
      </c>
      <c r="G69" t="s">
        <v>160</v>
      </c>
      <c r="I69" t="s">
        <v>139</v>
      </c>
      <c r="J69" t="s">
        <v>139</v>
      </c>
      <c r="M69" t="s">
        <v>139</v>
      </c>
    </row>
    <row r="70" spans="1:14" x14ac:dyDescent="0.45">
      <c r="A70" s="5" t="s">
        <v>343</v>
      </c>
      <c r="B70" s="5" t="s">
        <v>140</v>
      </c>
      <c r="C70" s="5" t="s">
        <v>344</v>
      </c>
      <c r="D70" s="5" t="s">
        <v>135</v>
      </c>
      <c r="E70" s="5" t="s">
        <v>345</v>
      </c>
      <c r="F70" s="5" t="s">
        <v>159</v>
      </c>
      <c r="G70" s="5" t="s">
        <v>138</v>
      </c>
      <c r="H70" s="5"/>
      <c r="I70" s="5" t="s">
        <v>139</v>
      </c>
      <c r="J70" s="5" t="s">
        <v>139</v>
      </c>
      <c r="K70" s="5"/>
      <c r="L70" s="5"/>
      <c r="M70" s="5" t="s">
        <v>139</v>
      </c>
      <c r="N70" s="5"/>
    </row>
    <row r="71" spans="1:14" x14ac:dyDescent="0.45">
      <c r="A71" t="s">
        <v>346</v>
      </c>
      <c r="B71" t="s">
        <v>140</v>
      </c>
      <c r="C71" t="s">
        <v>347</v>
      </c>
      <c r="D71" t="s">
        <v>135</v>
      </c>
      <c r="E71" t="s">
        <v>345</v>
      </c>
      <c r="F71" t="s">
        <v>159</v>
      </c>
      <c r="G71" t="s">
        <v>138</v>
      </c>
      <c r="I71" t="s">
        <v>139</v>
      </c>
      <c r="J71" t="s">
        <v>139</v>
      </c>
      <c r="M71" t="s">
        <v>139</v>
      </c>
    </row>
    <row r="72" spans="1:14" x14ac:dyDescent="0.45">
      <c r="A72" s="5" t="s">
        <v>348</v>
      </c>
      <c r="B72" s="5" t="s">
        <v>140</v>
      </c>
      <c r="C72" s="5" t="s">
        <v>349</v>
      </c>
      <c r="D72" s="5" t="s">
        <v>335</v>
      </c>
      <c r="E72" s="5" t="s">
        <v>350</v>
      </c>
      <c r="F72" s="5" t="s">
        <v>159</v>
      </c>
      <c r="G72" s="5" t="s">
        <v>160</v>
      </c>
      <c r="H72" s="5"/>
      <c r="I72" s="5" t="s">
        <v>139</v>
      </c>
      <c r="J72" s="5" t="s">
        <v>139</v>
      </c>
      <c r="K72" s="5"/>
      <c r="L72" s="5"/>
      <c r="M72" s="5" t="s">
        <v>139</v>
      </c>
      <c r="N72" s="5"/>
    </row>
    <row r="73" spans="1:14" x14ac:dyDescent="0.45">
      <c r="A73" t="s">
        <v>351</v>
      </c>
      <c r="B73" t="s">
        <v>307</v>
      </c>
      <c r="C73" t="s">
        <v>352</v>
      </c>
      <c r="D73" t="s">
        <v>381</v>
      </c>
      <c r="F73" t="s">
        <v>420</v>
      </c>
      <c r="G73" t="s">
        <v>138</v>
      </c>
      <c r="H73" t="s">
        <v>421</v>
      </c>
      <c r="I73" t="s">
        <v>139</v>
      </c>
      <c r="J73" t="s">
        <v>139</v>
      </c>
      <c r="M73" t="s">
        <v>139</v>
      </c>
    </row>
    <row r="74" spans="1:14" x14ac:dyDescent="0.45">
      <c r="A74" s="5" t="s">
        <v>354</v>
      </c>
      <c r="B74" s="5" t="s">
        <v>140</v>
      </c>
      <c r="C74" s="5" t="s">
        <v>355</v>
      </c>
      <c r="D74" s="5" t="s">
        <v>335</v>
      </c>
      <c r="E74" s="5" t="s">
        <v>356</v>
      </c>
      <c r="F74" s="5" t="s">
        <v>159</v>
      </c>
      <c r="G74" s="5" t="s">
        <v>160</v>
      </c>
      <c r="H74" s="5" t="s">
        <v>357</v>
      </c>
      <c r="I74" s="5" t="s">
        <v>139</v>
      </c>
      <c r="J74" s="5" t="s">
        <v>139</v>
      </c>
      <c r="K74" s="5"/>
      <c r="L74" s="5"/>
      <c r="M74" s="5" t="s">
        <v>139</v>
      </c>
      <c r="N74" s="5"/>
    </row>
    <row r="75" spans="1:14" x14ac:dyDescent="0.45">
      <c r="A75" t="s">
        <v>422</v>
      </c>
      <c r="B75" t="s">
        <v>133</v>
      </c>
      <c r="C75" t="s">
        <v>423</v>
      </c>
      <c r="D75" t="s">
        <v>424</v>
      </c>
      <c r="E75" t="s">
        <v>425</v>
      </c>
      <c r="F75" t="s">
        <v>426</v>
      </c>
      <c r="G75" t="s">
        <v>145</v>
      </c>
      <c r="J75" t="s">
        <v>139</v>
      </c>
      <c r="M75" t="s">
        <v>139</v>
      </c>
    </row>
    <row r="76" spans="1:14" x14ac:dyDescent="0.45">
      <c r="A76" s="6" t="s">
        <v>427</v>
      </c>
      <c r="B76" s="7"/>
      <c r="C76" s="7"/>
      <c r="D76" s="7"/>
      <c r="E76" s="7"/>
      <c r="F76" s="7"/>
      <c r="G76" s="7"/>
      <c r="H76" s="7"/>
      <c r="I76" s="7"/>
      <c r="J76" s="7"/>
      <c r="K76" s="7"/>
      <c r="L76" s="7"/>
      <c r="M76" s="7"/>
      <c r="N76" s="7"/>
    </row>
    <row r="77" spans="1:14" x14ac:dyDescent="0.45">
      <c r="A77" s="5" t="s">
        <v>428</v>
      </c>
      <c r="B77" s="5" t="s">
        <v>133</v>
      </c>
      <c r="C77" s="5" t="s">
        <v>429</v>
      </c>
      <c r="D77" s="5" t="s">
        <v>381</v>
      </c>
      <c r="E77" s="5" t="s">
        <v>430</v>
      </c>
      <c r="F77" s="5" t="s">
        <v>431</v>
      </c>
      <c r="G77" s="5" t="s">
        <v>145</v>
      </c>
      <c r="H77" s="5" t="s">
        <v>432</v>
      </c>
      <c r="I77" s="5" t="s">
        <v>139</v>
      </c>
      <c r="J77" s="5" t="s">
        <v>139</v>
      </c>
      <c r="K77" s="5"/>
      <c r="L77" s="5"/>
      <c r="M77" s="5" t="s">
        <v>139</v>
      </c>
      <c r="N77" s="5"/>
    </row>
    <row r="78" spans="1:14" x14ac:dyDescent="0.45">
      <c r="A78" t="s">
        <v>433</v>
      </c>
      <c r="B78" t="s">
        <v>140</v>
      </c>
      <c r="C78" t="s">
        <v>434</v>
      </c>
      <c r="D78" t="s">
        <v>435</v>
      </c>
      <c r="E78" t="s">
        <v>436</v>
      </c>
      <c r="F78" t="s">
        <v>159</v>
      </c>
      <c r="G78" t="s">
        <v>160</v>
      </c>
      <c r="J78" t="s">
        <v>139</v>
      </c>
      <c r="M78" t="s">
        <v>139</v>
      </c>
    </row>
    <row r="79" spans="1:14" x14ac:dyDescent="0.45">
      <c r="A79" s="5" t="s">
        <v>437</v>
      </c>
      <c r="B79" s="5" t="s">
        <v>140</v>
      </c>
      <c r="C79" s="5" t="s">
        <v>438</v>
      </c>
      <c r="D79" s="5" t="s">
        <v>435</v>
      </c>
      <c r="E79" s="5" t="s">
        <v>436</v>
      </c>
      <c r="F79" s="5" t="s">
        <v>159</v>
      </c>
      <c r="G79" s="5" t="s">
        <v>160</v>
      </c>
      <c r="H79" s="5"/>
      <c r="I79" s="5" t="s">
        <v>139</v>
      </c>
      <c r="J79" s="5" t="s">
        <v>139</v>
      </c>
      <c r="K79" s="5"/>
      <c r="L79" s="5"/>
      <c r="M79" s="5" t="s">
        <v>139</v>
      </c>
      <c r="N79" s="5"/>
    </row>
    <row r="80" spans="1:14" x14ac:dyDescent="0.45">
      <c r="A80" t="s">
        <v>439</v>
      </c>
      <c r="B80" t="s">
        <v>140</v>
      </c>
      <c r="C80" t="s">
        <v>440</v>
      </c>
      <c r="D80" t="s">
        <v>435</v>
      </c>
      <c r="E80" t="s">
        <v>436</v>
      </c>
      <c r="F80" t="s">
        <v>159</v>
      </c>
      <c r="G80" t="s">
        <v>160</v>
      </c>
      <c r="I80" t="s">
        <v>139</v>
      </c>
      <c r="J80" t="s">
        <v>139</v>
      </c>
      <c r="M80" t="s">
        <v>139</v>
      </c>
    </row>
    <row r="81" spans="1:14" x14ac:dyDescent="0.45">
      <c r="A81" s="5" t="s">
        <v>468</v>
      </c>
      <c r="B81" s="5" t="s">
        <v>140</v>
      </c>
      <c r="C81" s="5" t="s">
        <v>469</v>
      </c>
      <c r="D81" s="5" t="s">
        <v>470</v>
      </c>
      <c r="E81" s="5" t="s">
        <v>471</v>
      </c>
      <c r="F81" s="5" t="s">
        <v>159</v>
      </c>
      <c r="G81" s="5" t="s">
        <v>160</v>
      </c>
      <c r="H81" s="5"/>
      <c r="I81" s="5" t="s">
        <v>139</v>
      </c>
      <c r="J81" s="5" t="s">
        <v>139</v>
      </c>
      <c r="K81" s="5" t="s">
        <v>139</v>
      </c>
      <c r="L81" s="5"/>
      <c r="M81" s="5" t="s">
        <v>139</v>
      </c>
      <c r="N81" s="5"/>
    </row>
    <row r="82" spans="1:14" x14ac:dyDescent="0.45">
      <c r="A82" t="s">
        <v>472</v>
      </c>
      <c r="B82" t="s">
        <v>140</v>
      </c>
      <c r="C82" t="s">
        <v>473</v>
      </c>
      <c r="D82" t="s">
        <v>470</v>
      </c>
      <c r="E82" t="s">
        <v>474</v>
      </c>
      <c r="F82" t="s">
        <v>159</v>
      </c>
      <c r="G82" t="s">
        <v>160</v>
      </c>
      <c r="H82" t="s">
        <v>475</v>
      </c>
      <c r="I82" t="s">
        <v>139</v>
      </c>
      <c r="J82" t="s">
        <v>139</v>
      </c>
      <c r="M82" t="s">
        <v>139</v>
      </c>
    </row>
    <row r="83" spans="1:14" x14ac:dyDescent="0.45">
      <c r="A83" s="5" t="s">
        <v>441</v>
      </c>
      <c r="B83" s="5" t="s">
        <v>224</v>
      </c>
      <c r="C83" s="5" t="s">
        <v>442</v>
      </c>
      <c r="D83" s="5" t="s">
        <v>381</v>
      </c>
      <c r="E83" s="5" t="s">
        <v>443</v>
      </c>
      <c r="F83" s="5" t="s">
        <v>444</v>
      </c>
      <c r="G83" s="5" t="s">
        <v>138</v>
      </c>
      <c r="H83" s="5" t="s">
        <v>483</v>
      </c>
      <c r="I83" s="5"/>
      <c r="J83" s="5"/>
      <c r="K83" s="5"/>
      <c r="L83" s="5"/>
      <c r="M83" s="5" t="s">
        <v>139</v>
      </c>
      <c r="N83" s="5"/>
    </row>
    <row r="84" spans="1:14" x14ac:dyDescent="0.45">
      <c r="A84" t="s">
        <v>445</v>
      </c>
      <c r="B84" t="s">
        <v>133</v>
      </c>
      <c r="C84" t="s">
        <v>446</v>
      </c>
      <c r="D84" t="s">
        <v>381</v>
      </c>
      <c r="E84" t="s">
        <v>447</v>
      </c>
      <c r="F84" t="s">
        <v>448</v>
      </c>
      <c r="G84" t="s">
        <v>449</v>
      </c>
      <c r="H84" t="s">
        <v>477</v>
      </c>
      <c r="I84" t="s">
        <v>139</v>
      </c>
      <c r="J84" t="s">
        <v>139</v>
      </c>
      <c r="M84" t="s">
        <v>139</v>
      </c>
    </row>
    <row r="85" spans="1:14" x14ac:dyDescent="0.45">
      <c r="A85" s="6" t="s">
        <v>358</v>
      </c>
      <c r="B85" s="7"/>
      <c r="C85" s="7"/>
      <c r="D85" s="7"/>
      <c r="E85" s="7"/>
      <c r="F85" s="7"/>
      <c r="G85" s="7"/>
      <c r="H85" s="7"/>
      <c r="I85" s="7"/>
      <c r="J85" s="7"/>
      <c r="K85" s="7"/>
      <c r="L85" s="7"/>
      <c r="M85" s="7"/>
      <c r="N85" s="7"/>
    </row>
    <row r="86" spans="1:14" x14ac:dyDescent="0.45">
      <c r="A86" s="5" t="s">
        <v>452</v>
      </c>
      <c r="B86" s="5" t="s">
        <v>133</v>
      </c>
      <c r="C86" s="5" t="s">
        <v>453</v>
      </c>
      <c r="D86" s="5" t="s">
        <v>381</v>
      </c>
      <c r="E86" s="5" t="s">
        <v>454</v>
      </c>
      <c r="F86" s="5" t="s">
        <v>455</v>
      </c>
      <c r="G86" s="5" t="s">
        <v>138</v>
      </c>
      <c r="H86" s="5"/>
      <c r="I86" s="5"/>
      <c r="J86" s="5"/>
      <c r="K86" s="5"/>
      <c r="L86" s="5"/>
      <c r="M86" s="5" t="s">
        <v>139</v>
      </c>
      <c r="N86" s="5"/>
    </row>
  </sheetData>
  <mergeCells count="13">
    <mergeCell ref="B3:N3"/>
    <mergeCell ref="B2:N2"/>
    <mergeCell ref="A1:N1"/>
    <mergeCell ref="A65:N65"/>
    <mergeCell ref="A76:N76"/>
    <mergeCell ref="A11:N11"/>
    <mergeCell ref="A49:N49"/>
    <mergeCell ref="A85:N85"/>
    <mergeCell ref="A56:N56"/>
    <mergeCell ref="B5:N5"/>
    <mergeCell ref="B4:N4"/>
    <mergeCell ref="A30:N30"/>
    <mergeCell ref="A7:N7"/>
  </mergeCells>
  <dataValidations count="1">
    <dataValidation type="list" allowBlank="1" errorTitle="Invalid Review Status" error="Choose a review status from the list." sqref="N2:N86" xr:uid="{00000000-0002-0000-14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N89"/>
  <sheetViews>
    <sheetView workbookViewId="0">
      <pane ySplit="6" topLeftCell="A7" activePane="bottomLeft" state="frozen"/>
      <selection pane="bottomLeft"/>
    </sheetView>
  </sheetViews>
  <sheetFormatPr defaultRowHeight="14.25" x14ac:dyDescent="0.45"/>
  <cols>
    <col min="1" max="1" width="50" customWidth="1"/>
    <col min="2" max="2" width="20"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548</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81</v>
      </c>
      <c r="C4" s="7"/>
      <c r="D4" s="7"/>
      <c r="E4" s="7"/>
      <c r="F4" s="7"/>
      <c r="G4" s="7"/>
      <c r="H4" s="7"/>
      <c r="I4" s="7"/>
      <c r="J4" s="7"/>
      <c r="K4" s="7"/>
      <c r="L4" s="7"/>
      <c r="M4" s="7"/>
      <c r="N4" s="7"/>
    </row>
    <row r="5" spans="1:14" x14ac:dyDescent="0.45">
      <c r="A5" s="4" t="s">
        <v>21</v>
      </c>
      <c r="B5" s="7" t="s">
        <v>59</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414</v>
      </c>
      <c r="E62" t="s">
        <v>415</v>
      </c>
      <c r="F62" t="s">
        <v>309</v>
      </c>
      <c r="G62" t="s">
        <v>138</v>
      </c>
      <c r="H62" t="s">
        <v>416</v>
      </c>
      <c r="I62" t="s">
        <v>139</v>
      </c>
      <c r="J62" t="s">
        <v>139</v>
      </c>
      <c r="M62" t="s">
        <v>139</v>
      </c>
    </row>
    <row r="63" spans="1:14" x14ac:dyDescent="0.45">
      <c r="A63" s="5" t="s">
        <v>314</v>
      </c>
      <c r="B63" s="5" t="s">
        <v>140</v>
      </c>
      <c r="C63" s="5" t="s">
        <v>315</v>
      </c>
      <c r="D63" s="5" t="s">
        <v>135</v>
      </c>
      <c r="E63" s="5" t="s">
        <v>316</v>
      </c>
      <c r="F63" s="5" t="s">
        <v>159</v>
      </c>
      <c r="G63" s="5" t="s">
        <v>160</v>
      </c>
      <c r="H63" s="5"/>
      <c r="I63" s="5"/>
      <c r="J63" s="5" t="s">
        <v>139</v>
      </c>
      <c r="K63" s="5"/>
      <c r="L63" s="5"/>
      <c r="M63" s="5" t="s">
        <v>139</v>
      </c>
      <c r="N63" s="5"/>
    </row>
    <row r="64" spans="1:14" x14ac:dyDescent="0.45">
      <c r="A64" t="s">
        <v>317</v>
      </c>
      <c r="B64" t="s">
        <v>224</v>
      </c>
      <c r="D64" t="s">
        <v>381</v>
      </c>
      <c r="F64" t="s">
        <v>319</v>
      </c>
      <c r="G64" t="s">
        <v>138</v>
      </c>
      <c r="H64" t="s">
        <v>417</v>
      </c>
      <c r="I64" t="s">
        <v>139</v>
      </c>
      <c r="J64" t="s">
        <v>139</v>
      </c>
      <c r="M64" t="s">
        <v>139</v>
      </c>
    </row>
    <row r="65" spans="1:14" x14ac:dyDescent="0.45">
      <c r="A65" s="6" t="s">
        <v>329</v>
      </c>
      <c r="B65" s="7"/>
      <c r="C65" s="7"/>
      <c r="D65" s="7"/>
      <c r="E65" s="7"/>
      <c r="F65" s="7"/>
      <c r="G65" s="7"/>
      <c r="H65" s="7"/>
      <c r="I65" s="7"/>
      <c r="J65" s="7"/>
      <c r="K65" s="7"/>
      <c r="L65" s="7"/>
      <c r="M65" s="7"/>
      <c r="N65" s="7"/>
    </row>
    <row r="66" spans="1:14" x14ac:dyDescent="0.45">
      <c r="A66" s="5" t="s">
        <v>330</v>
      </c>
      <c r="B66" s="5" t="s">
        <v>307</v>
      </c>
      <c r="C66" s="5" t="s">
        <v>331</v>
      </c>
      <c r="D66" s="5" t="s">
        <v>381</v>
      </c>
      <c r="E66" s="5"/>
      <c r="F66" s="5" t="s">
        <v>418</v>
      </c>
      <c r="G66" s="5" t="s">
        <v>138</v>
      </c>
      <c r="H66" s="5" t="s">
        <v>419</v>
      </c>
      <c r="I66" s="5" t="s">
        <v>139</v>
      </c>
      <c r="J66" s="5" t="s">
        <v>139</v>
      </c>
      <c r="K66" s="5"/>
      <c r="L66" s="5"/>
      <c r="M66" s="5" t="s">
        <v>139</v>
      </c>
      <c r="N66" s="5"/>
    </row>
    <row r="67" spans="1:14" x14ac:dyDescent="0.45">
      <c r="A67" t="s">
        <v>333</v>
      </c>
      <c r="B67" t="s">
        <v>140</v>
      </c>
      <c r="C67" t="s">
        <v>334</v>
      </c>
      <c r="D67" t="s">
        <v>335</v>
      </c>
      <c r="E67" t="s">
        <v>336</v>
      </c>
      <c r="F67" t="s">
        <v>159</v>
      </c>
      <c r="G67" t="s">
        <v>160</v>
      </c>
      <c r="I67" t="s">
        <v>139</v>
      </c>
      <c r="J67" t="s">
        <v>139</v>
      </c>
      <c r="M67" t="s">
        <v>139</v>
      </c>
    </row>
    <row r="68" spans="1:14" x14ac:dyDescent="0.45">
      <c r="A68" s="5" t="s">
        <v>337</v>
      </c>
      <c r="B68" s="5" t="s">
        <v>140</v>
      </c>
      <c r="C68" s="5" t="s">
        <v>338</v>
      </c>
      <c r="D68" s="5" t="s">
        <v>335</v>
      </c>
      <c r="E68" s="5" t="s">
        <v>339</v>
      </c>
      <c r="F68" s="5" t="s">
        <v>159</v>
      </c>
      <c r="G68" s="5" t="s">
        <v>160</v>
      </c>
      <c r="H68" s="5"/>
      <c r="I68" s="5" t="s">
        <v>139</v>
      </c>
      <c r="J68" s="5" t="s">
        <v>139</v>
      </c>
      <c r="K68" s="5"/>
      <c r="L68" s="5"/>
      <c r="M68" s="5" t="s">
        <v>139</v>
      </c>
      <c r="N68" s="5"/>
    </row>
    <row r="69" spans="1:14" x14ac:dyDescent="0.45">
      <c r="A69" t="s">
        <v>340</v>
      </c>
      <c r="B69" t="s">
        <v>140</v>
      </c>
      <c r="C69" t="s">
        <v>341</v>
      </c>
      <c r="D69" t="s">
        <v>335</v>
      </c>
      <c r="E69" t="s">
        <v>342</v>
      </c>
      <c r="F69" t="s">
        <v>159</v>
      </c>
      <c r="G69" t="s">
        <v>160</v>
      </c>
      <c r="I69" t="s">
        <v>139</v>
      </c>
      <c r="J69" t="s">
        <v>139</v>
      </c>
      <c r="M69" t="s">
        <v>139</v>
      </c>
    </row>
    <row r="70" spans="1:14" x14ac:dyDescent="0.45">
      <c r="A70" s="5" t="s">
        <v>343</v>
      </c>
      <c r="B70" s="5" t="s">
        <v>140</v>
      </c>
      <c r="C70" s="5" t="s">
        <v>344</v>
      </c>
      <c r="D70" s="5" t="s">
        <v>135</v>
      </c>
      <c r="E70" s="5" t="s">
        <v>345</v>
      </c>
      <c r="F70" s="5" t="s">
        <v>159</v>
      </c>
      <c r="G70" s="5" t="s">
        <v>138</v>
      </c>
      <c r="H70" s="5"/>
      <c r="I70" s="5" t="s">
        <v>139</v>
      </c>
      <c r="J70" s="5" t="s">
        <v>139</v>
      </c>
      <c r="K70" s="5"/>
      <c r="L70" s="5"/>
      <c r="M70" s="5" t="s">
        <v>139</v>
      </c>
      <c r="N70" s="5"/>
    </row>
    <row r="71" spans="1:14" x14ac:dyDescent="0.45">
      <c r="A71" t="s">
        <v>346</v>
      </c>
      <c r="B71" t="s">
        <v>140</v>
      </c>
      <c r="C71" t="s">
        <v>347</v>
      </c>
      <c r="D71" t="s">
        <v>135</v>
      </c>
      <c r="E71" t="s">
        <v>345</v>
      </c>
      <c r="F71" t="s">
        <v>159</v>
      </c>
      <c r="G71" t="s">
        <v>138</v>
      </c>
      <c r="I71" t="s">
        <v>139</v>
      </c>
      <c r="J71" t="s">
        <v>139</v>
      </c>
      <c r="M71" t="s">
        <v>139</v>
      </c>
    </row>
    <row r="72" spans="1:14" x14ac:dyDescent="0.45">
      <c r="A72" s="5" t="s">
        <v>348</v>
      </c>
      <c r="B72" s="5" t="s">
        <v>140</v>
      </c>
      <c r="C72" s="5" t="s">
        <v>349</v>
      </c>
      <c r="D72" s="5" t="s">
        <v>335</v>
      </c>
      <c r="E72" s="5" t="s">
        <v>350</v>
      </c>
      <c r="F72" s="5" t="s">
        <v>159</v>
      </c>
      <c r="G72" s="5" t="s">
        <v>160</v>
      </c>
      <c r="H72" s="5"/>
      <c r="I72" s="5" t="s">
        <v>139</v>
      </c>
      <c r="J72" s="5" t="s">
        <v>139</v>
      </c>
      <c r="K72" s="5"/>
      <c r="L72" s="5"/>
      <c r="M72" s="5" t="s">
        <v>139</v>
      </c>
      <c r="N72" s="5"/>
    </row>
    <row r="73" spans="1:14" x14ac:dyDescent="0.45">
      <c r="A73" t="s">
        <v>351</v>
      </c>
      <c r="B73" t="s">
        <v>307</v>
      </c>
      <c r="C73" t="s">
        <v>352</v>
      </c>
      <c r="D73" t="s">
        <v>381</v>
      </c>
      <c r="F73" t="s">
        <v>420</v>
      </c>
      <c r="G73" t="s">
        <v>138</v>
      </c>
      <c r="H73" t="s">
        <v>421</v>
      </c>
      <c r="I73" t="s">
        <v>139</v>
      </c>
      <c r="J73" t="s">
        <v>139</v>
      </c>
      <c r="M73" t="s">
        <v>139</v>
      </c>
    </row>
    <row r="74" spans="1:14" x14ac:dyDescent="0.45">
      <c r="A74" s="5" t="s">
        <v>354</v>
      </c>
      <c r="B74" s="5" t="s">
        <v>140</v>
      </c>
      <c r="C74" s="5" t="s">
        <v>355</v>
      </c>
      <c r="D74" s="5" t="s">
        <v>335</v>
      </c>
      <c r="E74" s="5" t="s">
        <v>356</v>
      </c>
      <c r="F74" s="5" t="s">
        <v>159</v>
      </c>
      <c r="G74" s="5" t="s">
        <v>160</v>
      </c>
      <c r="H74" s="5" t="s">
        <v>357</v>
      </c>
      <c r="I74" s="5" t="s">
        <v>139</v>
      </c>
      <c r="J74" s="5" t="s">
        <v>139</v>
      </c>
      <c r="K74" s="5"/>
      <c r="L74" s="5"/>
      <c r="M74" s="5" t="s">
        <v>139</v>
      </c>
      <c r="N74" s="5"/>
    </row>
    <row r="75" spans="1:14" x14ac:dyDescent="0.45">
      <c r="A75" t="s">
        <v>422</v>
      </c>
      <c r="B75" t="s">
        <v>133</v>
      </c>
      <c r="C75" t="s">
        <v>423</v>
      </c>
      <c r="D75" t="s">
        <v>424</v>
      </c>
      <c r="E75" t="s">
        <v>425</v>
      </c>
      <c r="F75" t="s">
        <v>426</v>
      </c>
      <c r="G75" t="s">
        <v>145</v>
      </c>
      <c r="J75" t="s">
        <v>139</v>
      </c>
      <c r="M75" t="s">
        <v>139</v>
      </c>
    </row>
    <row r="76" spans="1:14" x14ac:dyDescent="0.45">
      <c r="A76" s="6" t="s">
        <v>427</v>
      </c>
      <c r="B76" s="7"/>
      <c r="C76" s="7"/>
      <c r="D76" s="7"/>
      <c r="E76" s="7"/>
      <c r="F76" s="7"/>
      <c r="G76" s="7"/>
      <c r="H76" s="7"/>
      <c r="I76" s="7"/>
      <c r="J76" s="7"/>
      <c r="K76" s="7"/>
      <c r="L76" s="7"/>
      <c r="M76" s="7"/>
      <c r="N76" s="7"/>
    </row>
    <row r="77" spans="1:14" x14ac:dyDescent="0.45">
      <c r="A77" s="5" t="s">
        <v>428</v>
      </c>
      <c r="B77" s="5" t="s">
        <v>133</v>
      </c>
      <c r="C77" s="5" t="s">
        <v>429</v>
      </c>
      <c r="D77" s="5" t="s">
        <v>381</v>
      </c>
      <c r="E77" s="5" t="s">
        <v>430</v>
      </c>
      <c r="F77" s="5" t="s">
        <v>431</v>
      </c>
      <c r="G77" s="5" t="s">
        <v>145</v>
      </c>
      <c r="H77" s="5" t="s">
        <v>432</v>
      </c>
      <c r="I77" s="5" t="s">
        <v>139</v>
      </c>
      <c r="J77" s="5" t="s">
        <v>139</v>
      </c>
      <c r="K77" s="5"/>
      <c r="L77" s="5"/>
      <c r="M77" s="5" t="s">
        <v>139</v>
      </c>
      <c r="N77" s="5"/>
    </row>
    <row r="78" spans="1:14" x14ac:dyDescent="0.45">
      <c r="A78" t="s">
        <v>433</v>
      </c>
      <c r="B78" t="s">
        <v>140</v>
      </c>
      <c r="C78" t="s">
        <v>434</v>
      </c>
      <c r="D78" t="s">
        <v>435</v>
      </c>
      <c r="E78" t="s">
        <v>436</v>
      </c>
      <c r="F78" t="s">
        <v>159</v>
      </c>
      <c r="G78" t="s">
        <v>160</v>
      </c>
      <c r="J78" t="s">
        <v>139</v>
      </c>
      <c r="M78" t="s">
        <v>139</v>
      </c>
    </row>
    <row r="79" spans="1:14" x14ac:dyDescent="0.45">
      <c r="A79" s="5" t="s">
        <v>437</v>
      </c>
      <c r="B79" s="5" t="s">
        <v>140</v>
      </c>
      <c r="C79" s="5" t="s">
        <v>438</v>
      </c>
      <c r="D79" s="5" t="s">
        <v>435</v>
      </c>
      <c r="E79" s="5" t="s">
        <v>436</v>
      </c>
      <c r="F79" s="5" t="s">
        <v>159</v>
      </c>
      <c r="G79" s="5" t="s">
        <v>160</v>
      </c>
      <c r="H79" s="5"/>
      <c r="I79" s="5" t="s">
        <v>139</v>
      </c>
      <c r="J79" s="5" t="s">
        <v>139</v>
      </c>
      <c r="K79" s="5"/>
      <c r="L79" s="5"/>
      <c r="M79" s="5" t="s">
        <v>139</v>
      </c>
      <c r="N79" s="5"/>
    </row>
    <row r="80" spans="1:14" x14ac:dyDescent="0.45">
      <c r="A80" t="s">
        <v>439</v>
      </c>
      <c r="B80" t="s">
        <v>140</v>
      </c>
      <c r="C80" t="s">
        <v>440</v>
      </c>
      <c r="D80" t="s">
        <v>435</v>
      </c>
      <c r="E80" t="s">
        <v>436</v>
      </c>
      <c r="F80" t="s">
        <v>159</v>
      </c>
      <c r="G80" t="s">
        <v>160</v>
      </c>
      <c r="I80" t="s">
        <v>139</v>
      </c>
      <c r="J80" t="s">
        <v>139</v>
      </c>
      <c r="M80" t="s">
        <v>139</v>
      </c>
    </row>
    <row r="81" spans="1:14" x14ac:dyDescent="0.45">
      <c r="A81" s="5" t="s">
        <v>468</v>
      </c>
      <c r="B81" s="5" t="s">
        <v>140</v>
      </c>
      <c r="C81" s="5" t="s">
        <v>442</v>
      </c>
      <c r="D81" s="5" t="s">
        <v>470</v>
      </c>
      <c r="E81" s="5" t="s">
        <v>485</v>
      </c>
      <c r="F81" s="5" t="s">
        <v>159</v>
      </c>
      <c r="G81" s="5" t="s">
        <v>160</v>
      </c>
      <c r="H81" s="5"/>
      <c r="I81" s="5" t="s">
        <v>139</v>
      </c>
      <c r="J81" s="5" t="s">
        <v>139</v>
      </c>
      <c r="K81" s="5" t="s">
        <v>139</v>
      </c>
      <c r="L81" s="5"/>
      <c r="M81" s="5" t="s">
        <v>139</v>
      </c>
      <c r="N81" s="5"/>
    </row>
    <row r="82" spans="1:14" x14ac:dyDescent="0.45">
      <c r="A82" t="s">
        <v>486</v>
      </c>
      <c r="B82" t="s">
        <v>133</v>
      </c>
      <c r="C82" t="s">
        <v>487</v>
      </c>
      <c r="D82" t="s">
        <v>381</v>
      </c>
      <c r="E82" t="s">
        <v>488</v>
      </c>
      <c r="F82" t="s">
        <v>489</v>
      </c>
      <c r="G82" t="s">
        <v>145</v>
      </c>
      <c r="H82" t="s">
        <v>490</v>
      </c>
      <c r="J82" t="s">
        <v>139</v>
      </c>
      <c r="M82" t="s">
        <v>139</v>
      </c>
    </row>
    <row r="83" spans="1:14" x14ac:dyDescent="0.45">
      <c r="A83" s="5" t="s">
        <v>491</v>
      </c>
      <c r="B83" s="5" t="s">
        <v>133</v>
      </c>
      <c r="C83" s="5" t="s">
        <v>492</v>
      </c>
      <c r="D83" s="5" t="s">
        <v>493</v>
      </c>
      <c r="E83" s="5" t="s">
        <v>494</v>
      </c>
      <c r="F83" s="5" t="s">
        <v>495</v>
      </c>
      <c r="G83" s="5" t="s">
        <v>145</v>
      </c>
      <c r="H83" s="5" t="s">
        <v>496</v>
      </c>
      <c r="I83" s="5"/>
      <c r="J83" s="5"/>
      <c r="K83" s="5"/>
      <c r="L83" s="5"/>
      <c r="M83" s="5" t="s">
        <v>139</v>
      </c>
      <c r="N83" s="5"/>
    </row>
    <row r="84" spans="1:14" x14ac:dyDescent="0.45">
      <c r="A84" t="s">
        <v>497</v>
      </c>
      <c r="B84" t="s">
        <v>140</v>
      </c>
      <c r="C84" t="s">
        <v>498</v>
      </c>
      <c r="D84" t="s">
        <v>470</v>
      </c>
      <c r="E84" t="s">
        <v>499</v>
      </c>
      <c r="F84" t="s">
        <v>159</v>
      </c>
      <c r="G84" t="s">
        <v>160</v>
      </c>
      <c r="I84" t="s">
        <v>139</v>
      </c>
      <c r="J84" t="s">
        <v>139</v>
      </c>
      <c r="M84" t="s">
        <v>139</v>
      </c>
    </row>
    <row r="85" spans="1:14" x14ac:dyDescent="0.45">
      <c r="A85" s="5" t="s">
        <v>549</v>
      </c>
      <c r="B85" s="5" t="s">
        <v>133</v>
      </c>
      <c r="C85" s="5" t="s">
        <v>487</v>
      </c>
      <c r="D85" s="5" t="s">
        <v>381</v>
      </c>
      <c r="E85" s="5" t="s">
        <v>488</v>
      </c>
      <c r="F85" s="5" t="s">
        <v>489</v>
      </c>
      <c r="G85" s="5" t="s">
        <v>145</v>
      </c>
      <c r="H85" s="5" t="s">
        <v>490</v>
      </c>
      <c r="I85" s="5" t="s">
        <v>139</v>
      </c>
      <c r="J85" s="5" t="s">
        <v>139</v>
      </c>
      <c r="K85" s="5" t="s">
        <v>139</v>
      </c>
      <c r="L85" s="5"/>
      <c r="M85" s="5" t="s">
        <v>139</v>
      </c>
      <c r="N85" s="5"/>
    </row>
    <row r="86" spans="1:14" x14ac:dyDescent="0.45">
      <c r="A86" t="s">
        <v>441</v>
      </c>
      <c r="B86" t="s">
        <v>224</v>
      </c>
      <c r="C86" t="s">
        <v>442</v>
      </c>
      <c r="D86" t="s">
        <v>381</v>
      </c>
      <c r="E86" t="s">
        <v>443</v>
      </c>
      <c r="F86" t="s">
        <v>444</v>
      </c>
      <c r="G86" t="s">
        <v>138</v>
      </c>
      <c r="H86" t="s">
        <v>483</v>
      </c>
      <c r="M86" t="s">
        <v>139</v>
      </c>
    </row>
    <row r="87" spans="1:14" x14ac:dyDescent="0.45">
      <c r="A87" s="5" t="s">
        <v>445</v>
      </c>
      <c r="B87" s="5" t="s">
        <v>133</v>
      </c>
      <c r="C87" s="5" t="s">
        <v>446</v>
      </c>
      <c r="D87" s="5" t="s">
        <v>381</v>
      </c>
      <c r="E87" s="5" t="s">
        <v>447</v>
      </c>
      <c r="F87" s="5" t="s">
        <v>448</v>
      </c>
      <c r="G87" s="5" t="s">
        <v>449</v>
      </c>
      <c r="H87" s="5" t="s">
        <v>477</v>
      </c>
      <c r="I87" s="5" t="s">
        <v>139</v>
      </c>
      <c r="J87" s="5" t="s">
        <v>139</v>
      </c>
      <c r="K87" s="5"/>
      <c r="L87" s="5"/>
      <c r="M87" s="5" t="s">
        <v>139</v>
      </c>
      <c r="N87" s="5"/>
    </row>
    <row r="88" spans="1:14" x14ac:dyDescent="0.45">
      <c r="A88" s="6" t="s">
        <v>358</v>
      </c>
      <c r="B88" s="7"/>
      <c r="C88" s="7"/>
      <c r="D88" s="7"/>
      <c r="E88" s="7"/>
      <c r="F88" s="7"/>
      <c r="G88" s="7"/>
      <c r="H88" s="7"/>
      <c r="I88" s="7"/>
      <c r="J88" s="7"/>
      <c r="K88" s="7"/>
      <c r="L88" s="7"/>
      <c r="M88" s="7"/>
      <c r="N88" s="7"/>
    </row>
    <row r="89" spans="1:14" x14ac:dyDescent="0.45">
      <c r="A89" t="s">
        <v>452</v>
      </c>
      <c r="B89" t="s">
        <v>133</v>
      </c>
      <c r="C89" t="s">
        <v>453</v>
      </c>
      <c r="D89" t="s">
        <v>381</v>
      </c>
      <c r="E89" t="s">
        <v>454</v>
      </c>
      <c r="F89" t="s">
        <v>455</v>
      </c>
      <c r="G89" t="s">
        <v>138</v>
      </c>
      <c r="M89" t="s">
        <v>139</v>
      </c>
    </row>
  </sheetData>
  <mergeCells count="13">
    <mergeCell ref="B3:N3"/>
    <mergeCell ref="B2:N2"/>
    <mergeCell ref="A1:N1"/>
    <mergeCell ref="A56:N56"/>
    <mergeCell ref="B5:N5"/>
    <mergeCell ref="A88:N88"/>
    <mergeCell ref="B4:N4"/>
    <mergeCell ref="A30:N30"/>
    <mergeCell ref="A7:N7"/>
    <mergeCell ref="A65:N65"/>
    <mergeCell ref="A76:N76"/>
    <mergeCell ref="A11:N11"/>
    <mergeCell ref="A49:N49"/>
  </mergeCells>
  <dataValidations count="1">
    <dataValidation type="list" allowBlank="1" errorTitle="Invalid Review Status" error="Choose a review status from the list." sqref="N2:N89" xr:uid="{00000000-0002-0000-15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N86"/>
  <sheetViews>
    <sheetView workbookViewId="0">
      <pane ySplit="6" topLeftCell="A7" activePane="bottomLeft" state="frozen"/>
      <selection pane="bottomLeft"/>
    </sheetView>
  </sheetViews>
  <sheetFormatPr defaultRowHeight="14.25" x14ac:dyDescent="0.45"/>
  <cols>
    <col min="1" max="1" width="50" customWidth="1"/>
    <col min="2" max="2" width="20"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550</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81</v>
      </c>
      <c r="C4" s="7"/>
      <c r="D4" s="7"/>
      <c r="E4" s="7"/>
      <c r="F4" s="7"/>
      <c r="G4" s="7"/>
      <c r="H4" s="7"/>
      <c r="I4" s="7"/>
      <c r="J4" s="7"/>
      <c r="K4" s="7"/>
      <c r="L4" s="7"/>
      <c r="M4" s="7"/>
      <c r="N4" s="7"/>
    </row>
    <row r="5" spans="1:14" x14ac:dyDescent="0.45">
      <c r="A5" s="4" t="s">
        <v>21</v>
      </c>
      <c r="B5" s="7" t="s">
        <v>65</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307</v>
      </c>
      <c r="C62" t="s">
        <v>308</v>
      </c>
      <c r="D62" t="s">
        <v>414</v>
      </c>
      <c r="E62" t="s">
        <v>415</v>
      </c>
      <c r="F62" t="s">
        <v>309</v>
      </c>
      <c r="G62" t="s">
        <v>138</v>
      </c>
      <c r="H62" t="s">
        <v>416</v>
      </c>
      <c r="I62" t="s">
        <v>139</v>
      </c>
      <c r="J62" t="s">
        <v>139</v>
      </c>
      <c r="M62" t="s">
        <v>139</v>
      </c>
    </row>
    <row r="63" spans="1:14" x14ac:dyDescent="0.45">
      <c r="A63" s="5" t="s">
        <v>314</v>
      </c>
      <c r="B63" s="5" t="s">
        <v>140</v>
      </c>
      <c r="C63" s="5" t="s">
        <v>315</v>
      </c>
      <c r="D63" s="5" t="s">
        <v>135</v>
      </c>
      <c r="E63" s="5" t="s">
        <v>316</v>
      </c>
      <c r="F63" s="5" t="s">
        <v>159</v>
      </c>
      <c r="G63" s="5" t="s">
        <v>160</v>
      </c>
      <c r="H63" s="5"/>
      <c r="I63" s="5"/>
      <c r="J63" s="5" t="s">
        <v>139</v>
      </c>
      <c r="K63" s="5"/>
      <c r="L63" s="5"/>
      <c r="M63" s="5" t="s">
        <v>139</v>
      </c>
      <c r="N63" s="5"/>
    </row>
    <row r="64" spans="1:14" x14ac:dyDescent="0.45">
      <c r="A64" t="s">
        <v>317</v>
      </c>
      <c r="B64" t="s">
        <v>224</v>
      </c>
      <c r="D64" t="s">
        <v>381</v>
      </c>
      <c r="F64" t="s">
        <v>319</v>
      </c>
      <c r="G64" t="s">
        <v>138</v>
      </c>
      <c r="H64" t="s">
        <v>417</v>
      </c>
      <c r="I64" t="s">
        <v>139</v>
      </c>
      <c r="J64" t="s">
        <v>139</v>
      </c>
      <c r="M64" t="s">
        <v>139</v>
      </c>
    </row>
    <row r="65" spans="1:14" x14ac:dyDescent="0.45">
      <c r="A65" s="6" t="s">
        <v>329</v>
      </c>
      <c r="B65" s="7"/>
      <c r="C65" s="7"/>
      <c r="D65" s="7"/>
      <c r="E65" s="7"/>
      <c r="F65" s="7"/>
      <c r="G65" s="7"/>
      <c r="H65" s="7"/>
      <c r="I65" s="7"/>
      <c r="J65" s="7"/>
      <c r="K65" s="7"/>
      <c r="L65" s="7"/>
      <c r="M65" s="7"/>
      <c r="N65" s="7"/>
    </row>
    <row r="66" spans="1:14" x14ac:dyDescent="0.45">
      <c r="A66" s="5" t="s">
        <v>330</v>
      </c>
      <c r="B66" s="5" t="s">
        <v>307</v>
      </c>
      <c r="C66" s="5" t="s">
        <v>331</v>
      </c>
      <c r="D66" s="5" t="s">
        <v>381</v>
      </c>
      <c r="E66" s="5"/>
      <c r="F66" s="5" t="s">
        <v>418</v>
      </c>
      <c r="G66" s="5" t="s">
        <v>138</v>
      </c>
      <c r="H66" s="5" t="s">
        <v>419</v>
      </c>
      <c r="I66" s="5" t="s">
        <v>139</v>
      </c>
      <c r="J66" s="5" t="s">
        <v>139</v>
      </c>
      <c r="K66" s="5"/>
      <c r="L66" s="5"/>
      <c r="M66" s="5" t="s">
        <v>139</v>
      </c>
      <c r="N66" s="5"/>
    </row>
    <row r="67" spans="1:14" x14ac:dyDescent="0.45">
      <c r="A67" t="s">
        <v>333</v>
      </c>
      <c r="B67" t="s">
        <v>140</v>
      </c>
      <c r="C67" t="s">
        <v>334</v>
      </c>
      <c r="D67" t="s">
        <v>335</v>
      </c>
      <c r="E67" t="s">
        <v>336</v>
      </c>
      <c r="F67" t="s">
        <v>159</v>
      </c>
      <c r="G67" t="s">
        <v>160</v>
      </c>
      <c r="I67" t="s">
        <v>139</v>
      </c>
      <c r="J67" t="s">
        <v>139</v>
      </c>
      <c r="M67" t="s">
        <v>139</v>
      </c>
    </row>
    <row r="68" spans="1:14" x14ac:dyDescent="0.45">
      <c r="A68" s="5" t="s">
        <v>337</v>
      </c>
      <c r="B68" s="5" t="s">
        <v>140</v>
      </c>
      <c r="C68" s="5" t="s">
        <v>338</v>
      </c>
      <c r="D68" s="5" t="s">
        <v>335</v>
      </c>
      <c r="E68" s="5" t="s">
        <v>339</v>
      </c>
      <c r="F68" s="5" t="s">
        <v>159</v>
      </c>
      <c r="G68" s="5" t="s">
        <v>160</v>
      </c>
      <c r="H68" s="5"/>
      <c r="I68" s="5" t="s">
        <v>139</v>
      </c>
      <c r="J68" s="5" t="s">
        <v>139</v>
      </c>
      <c r="K68" s="5"/>
      <c r="L68" s="5"/>
      <c r="M68" s="5" t="s">
        <v>139</v>
      </c>
      <c r="N68" s="5"/>
    </row>
    <row r="69" spans="1:14" x14ac:dyDescent="0.45">
      <c r="A69" t="s">
        <v>340</v>
      </c>
      <c r="B69" t="s">
        <v>140</v>
      </c>
      <c r="C69" t="s">
        <v>341</v>
      </c>
      <c r="D69" t="s">
        <v>335</v>
      </c>
      <c r="E69" t="s">
        <v>342</v>
      </c>
      <c r="F69" t="s">
        <v>159</v>
      </c>
      <c r="G69" t="s">
        <v>160</v>
      </c>
      <c r="I69" t="s">
        <v>139</v>
      </c>
      <c r="J69" t="s">
        <v>139</v>
      </c>
      <c r="M69" t="s">
        <v>139</v>
      </c>
    </row>
    <row r="70" spans="1:14" x14ac:dyDescent="0.45">
      <c r="A70" s="5" t="s">
        <v>343</v>
      </c>
      <c r="B70" s="5" t="s">
        <v>140</v>
      </c>
      <c r="C70" s="5" t="s">
        <v>344</v>
      </c>
      <c r="D70" s="5" t="s">
        <v>135</v>
      </c>
      <c r="E70" s="5" t="s">
        <v>345</v>
      </c>
      <c r="F70" s="5" t="s">
        <v>159</v>
      </c>
      <c r="G70" s="5" t="s">
        <v>138</v>
      </c>
      <c r="H70" s="5"/>
      <c r="I70" s="5" t="s">
        <v>139</v>
      </c>
      <c r="J70" s="5" t="s">
        <v>139</v>
      </c>
      <c r="K70" s="5"/>
      <c r="L70" s="5"/>
      <c r="M70" s="5" t="s">
        <v>139</v>
      </c>
      <c r="N70" s="5"/>
    </row>
    <row r="71" spans="1:14" x14ac:dyDescent="0.45">
      <c r="A71" t="s">
        <v>346</v>
      </c>
      <c r="B71" t="s">
        <v>140</v>
      </c>
      <c r="C71" t="s">
        <v>347</v>
      </c>
      <c r="D71" t="s">
        <v>135</v>
      </c>
      <c r="E71" t="s">
        <v>345</v>
      </c>
      <c r="F71" t="s">
        <v>159</v>
      </c>
      <c r="G71" t="s">
        <v>138</v>
      </c>
      <c r="I71" t="s">
        <v>139</v>
      </c>
      <c r="J71" t="s">
        <v>139</v>
      </c>
      <c r="M71" t="s">
        <v>139</v>
      </c>
    </row>
    <row r="72" spans="1:14" x14ac:dyDescent="0.45">
      <c r="A72" s="5" t="s">
        <v>348</v>
      </c>
      <c r="B72" s="5" t="s">
        <v>140</v>
      </c>
      <c r="C72" s="5" t="s">
        <v>349</v>
      </c>
      <c r="D72" s="5" t="s">
        <v>335</v>
      </c>
      <c r="E72" s="5" t="s">
        <v>350</v>
      </c>
      <c r="F72" s="5" t="s">
        <v>159</v>
      </c>
      <c r="G72" s="5" t="s">
        <v>160</v>
      </c>
      <c r="H72" s="5"/>
      <c r="I72" s="5" t="s">
        <v>139</v>
      </c>
      <c r="J72" s="5" t="s">
        <v>139</v>
      </c>
      <c r="K72" s="5"/>
      <c r="L72" s="5"/>
      <c r="M72" s="5" t="s">
        <v>139</v>
      </c>
      <c r="N72" s="5"/>
    </row>
    <row r="73" spans="1:14" x14ac:dyDescent="0.45">
      <c r="A73" t="s">
        <v>351</v>
      </c>
      <c r="B73" t="s">
        <v>307</v>
      </c>
      <c r="C73" t="s">
        <v>352</v>
      </c>
      <c r="D73" t="s">
        <v>381</v>
      </c>
      <c r="F73" t="s">
        <v>420</v>
      </c>
      <c r="G73" t="s">
        <v>138</v>
      </c>
      <c r="H73" t="s">
        <v>421</v>
      </c>
      <c r="I73" t="s">
        <v>139</v>
      </c>
      <c r="J73" t="s">
        <v>139</v>
      </c>
      <c r="M73" t="s">
        <v>139</v>
      </c>
    </row>
    <row r="74" spans="1:14" x14ac:dyDescent="0.45">
      <c r="A74" s="5" t="s">
        <v>354</v>
      </c>
      <c r="B74" s="5" t="s">
        <v>140</v>
      </c>
      <c r="C74" s="5" t="s">
        <v>355</v>
      </c>
      <c r="D74" s="5" t="s">
        <v>335</v>
      </c>
      <c r="E74" s="5" t="s">
        <v>356</v>
      </c>
      <c r="F74" s="5" t="s">
        <v>159</v>
      </c>
      <c r="G74" s="5" t="s">
        <v>160</v>
      </c>
      <c r="H74" s="5" t="s">
        <v>357</v>
      </c>
      <c r="I74" s="5" t="s">
        <v>139</v>
      </c>
      <c r="J74" s="5" t="s">
        <v>139</v>
      </c>
      <c r="K74" s="5"/>
      <c r="L74" s="5"/>
      <c r="M74" s="5" t="s">
        <v>139</v>
      </c>
      <c r="N74" s="5"/>
    </row>
    <row r="75" spans="1:14" x14ac:dyDescent="0.45">
      <c r="A75" t="s">
        <v>422</v>
      </c>
      <c r="B75" t="s">
        <v>133</v>
      </c>
      <c r="C75" t="s">
        <v>423</v>
      </c>
      <c r="D75" t="s">
        <v>424</v>
      </c>
      <c r="E75" t="s">
        <v>425</v>
      </c>
      <c r="F75" t="s">
        <v>426</v>
      </c>
      <c r="G75" t="s">
        <v>145</v>
      </c>
      <c r="J75" t="s">
        <v>139</v>
      </c>
      <c r="M75" t="s">
        <v>139</v>
      </c>
    </row>
    <row r="76" spans="1:14" x14ac:dyDescent="0.45">
      <c r="A76" s="6" t="s">
        <v>427</v>
      </c>
      <c r="B76" s="7"/>
      <c r="C76" s="7"/>
      <c r="D76" s="7"/>
      <c r="E76" s="7"/>
      <c r="F76" s="7"/>
      <c r="G76" s="7"/>
      <c r="H76" s="7"/>
      <c r="I76" s="7"/>
      <c r="J76" s="7"/>
      <c r="K76" s="7"/>
      <c r="L76" s="7"/>
      <c r="M76" s="7"/>
      <c r="N76" s="7"/>
    </row>
    <row r="77" spans="1:14" x14ac:dyDescent="0.45">
      <c r="A77" s="5" t="s">
        <v>428</v>
      </c>
      <c r="B77" s="5" t="s">
        <v>133</v>
      </c>
      <c r="C77" s="5" t="s">
        <v>429</v>
      </c>
      <c r="D77" s="5" t="s">
        <v>381</v>
      </c>
      <c r="E77" s="5" t="s">
        <v>430</v>
      </c>
      <c r="F77" s="5" t="s">
        <v>431</v>
      </c>
      <c r="G77" s="5" t="s">
        <v>145</v>
      </c>
      <c r="H77" s="5" t="s">
        <v>432</v>
      </c>
      <c r="I77" s="5" t="s">
        <v>139</v>
      </c>
      <c r="J77" s="5" t="s">
        <v>139</v>
      </c>
      <c r="K77" s="5"/>
      <c r="L77" s="5"/>
      <c r="M77" s="5" t="s">
        <v>139</v>
      </c>
      <c r="N77" s="5"/>
    </row>
    <row r="78" spans="1:14" x14ac:dyDescent="0.45">
      <c r="A78" t="s">
        <v>433</v>
      </c>
      <c r="B78" t="s">
        <v>140</v>
      </c>
      <c r="C78" t="s">
        <v>434</v>
      </c>
      <c r="D78" t="s">
        <v>435</v>
      </c>
      <c r="E78" t="s">
        <v>436</v>
      </c>
      <c r="F78" t="s">
        <v>159</v>
      </c>
      <c r="G78" t="s">
        <v>160</v>
      </c>
      <c r="J78" t="s">
        <v>139</v>
      </c>
      <c r="M78" t="s">
        <v>139</v>
      </c>
    </row>
    <row r="79" spans="1:14" x14ac:dyDescent="0.45">
      <c r="A79" s="5" t="s">
        <v>437</v>
      </c>
      <c r="B79" s="5" t="s">
        <v>140</v>
      </c>
      <c r="C79" s="5" t="s">
        <v>438</v>
      </c>
      <c r="D79" s="5" t="s">
        <v>435</v>
      </c>
      <c r="E79" s="5" t="s">
        <v>436</v>
      </c>
      <c r="F79" s="5" t="s">
        <v>159</v>
      </c>
      <c r="G79" s="5" t="s">
        <v>160</v>
      </c>
      <c r="H79" s="5"/>
      <c r="I79" s="5" t="s">
        <v>139</v>
      </c>
      <c r="J79" s="5" t="s">
        <v>139</v>
      </c>
      <c r="K79" s="5"/>
      <c r="L79" s="5"/>
      <c r="M79" s="5" t="s">
        <v>139</v>
      </c>
      <c r="N79" s="5"/>
    </row>
    <row r="80" spans="1:14" x14ac:dyDescent="0.45">
      <c r="A80" t="s">
        <v>439</v>
      </c>
      <c r="B80" t="s">
        <v>140</v>
      </c>
      <c r="C80" t="s">
        <v>440</v>
      </c>
      <c r="D80" t="s">
        <v>435</v>
      </c>
      <c r="E80" t="s">
        <v>436</v>
      </c>
      <c r="F80" t="s">
        <v>159</v>
      </c>
      <c r="G80" t="s">
        <v>160</v>
      </c>
      <c r="I80" t="s">
        <v>139</v>
      </c>
      <c r="J80" t="s">
        <v>139</v>
      </c>
      <c r="M80" t="s">
        <v>139</v>
      </c>
    </row>
    <row r="81" spans="1:14" x14ac:dyDescent="0.45">
      <c r="A81" s="5" t="s">
        <v>510</v>
      </c>
      <c r="B81" s="5" t="s">
        <v>140</v>
      </c>
      <c r="C81" s="5"/>
      <c r="D81" s="5" t="s">
        <v>511</v>
      </c>
      <c r="E81" s="5" t="s">
        <v>512</v>
      </c>
      <c r="F81" s="5" t="s">
        <v>159</v>
      </c>
      <c r="G81" s="5" t="s">
        <v>449</v>
      </c>
      <c r="H81" s="5" t="s">
        <v>513</v>
      </c>
      <c r="I81" s="5" t="s">
        <v>139</v>
      </c>
      <c r="J81" s="5" t="s">
        <v>139</v>
      </c>
      <c r="K81" s="5"/>
      <c r="L81" s="5"/>
      <c r="M81" s="5" t="s">
        <v>139</v>
      </c>
      <c r="N81" s="5"/>
    </row>
    <row r="82" spans="1:14" x14ac:dyDescent="0.45">
      <c r="A82" t="s">
        <v>468</v>
      </c>
      <c r="B82" t="s">
        <v>140</v>
      </c>
      <c r="C82" t="s">
        <v>442</v>
      </c>
      <c r="D82" t="s">
        <v>470</v>
      </c>
      <c r="E82" t="s">
        <v>485</v>
      </c>
      <c r="F82" t="s">
        <v>159</v>
      </c>
      <c r="G82" t="s">
        <v>160</v>
      </c>
      <c r="I82" t="s">
        <v>139</v>
      </c>
      <c r="J82" t="s">
        <v>139</v>
      </c>
      <c r="K82" t="s">
        <v>139</v>
      </c>
      <c r="M82" t="s">
        <v>139</v>
      </c>
    </row>
    <row r="83" spans="1:14" x14ac:dyDescent="0.45">
      <c r="A83" s="5" t="s">
        <v>441</v>
      </c>
      <c r="B83" s="5" t="s">
        <v>224</v>
      </c>
      <c r="C83" s="5" t="s">
        <v>442</v>
      </c>
      <c r="D83" s="5" t="s">
        <v>381</v>
      </c>
      <c r="E83" s="5" t="s">
        <v>443</v>
      </c>
      <c r="F83" s="5" t="s">
        <v>444</v>
      </c>
      <c r="G83" s="5" t="s">
        <v>138</v>
      </c>
      <c r="H83" s="5" t="s">
        <v>483</v>
      </c>
      <c r="I83" s="5"/>
      <c r="J83" s="5"/>
      <c r="K83" s="5"/>
      <c r="L83" s="5"/>
      <c r="M83" s="5" t="s">
        <v>139</v>
      </c>
      <c r="N83" s="5"/>
    </row>
    <row r="84" spans="1:14" x14ac:dyDescent="0.45">
      <c r="A84" t="s">
        <v>445</v>
      </c>
      <c r="B84" t="s">
        <v>133</v>
      </c>
      <c r="C84" t="s">
        <v>446</v>
      </c>
      <c r="D84" t="s">
        <v>381</v>
      </c>
      <c r="E84" t="s">
        <v>447</v>
      </c>
      <c r="F84" t="s">
        <v>448</v>
      </c>
      <c r="G84" t="s">
        <v>449</v>
      </c>
      <c r="I84" t="s">
        <v>139</v>
      </c>
      <c r="J84" t="s">
        <v>139</v>
      </c>
      <c r="M84" t="s">
        <v>139</v>
      </c>
    </row>
    <row r="85" spans="1:14" x14ac:dyDescent="0.45">
      <c r="A85" s="6" t="s">
        <v>358</v>
      </c>
      <c r="B85" s="7"/>
      <c r="C85" s="7"/>
      <c r="D85" s="7"/>
      <c r="E85" s="7"/>
      <c r="F85" s="7"/>
      <c r="G85" s="7"/>
      <c r="H85" s="7"/>
      <c r="I85" s="7"/>
      <c r="J85" s="7"/>
      <c r="K85" s="7"/>
      <c r="L85" s="7"/>
      <c r="M85" s="7"/>
      <c r="N85" s="7"/>
    </row>
    <row r="86" spans="1:14" x14ac:dyDescent="0.45">
      <c r="A86" s="5" t="s">
        <v>452</v>
      </c>
      <c r="B86" s="5" t="s">
        <v>133</v>
      </c>
      <c r="C86" s="5" t="s">
        <v>453</v>
      </c>
      <c r="D86" s="5" t="s">
        <v>381</v>
      </c>
      <c r="E86" s="5" t="s">
        <v>454</v>
      </c>
      <c r="F86" s="5" t="s">
        <v>455</v>
      </c>
      <c r="G86" s="5" t="s">
        <v>138</v>
      </c>
      <c r="H86" s="5"/>
      <c r="I86" s="5"/>
      <c r="J86" s="5"/>
      <c r="K86" s="5"/>
      <c r="L86" s="5"/>
      <c r="M86" s="5" t="s">
        <v>139</v>
      </c>
      <c r="N86" s="5"/>
    </row>
  </sheetData>
  <mergeCells count="13">
    <mergeCell ref="B3:N3"/>
    <mergeCell ref="B2:N2"/>
    <mergeCell ref="A1:N1"/>
    <mergeCell ref="A65:N65"/>
    <mergeCell ref="A76:N76"/>
    <mergeCell ref="A11:N11"/>
    <mergeCell ref="A49:N49"/>
    <mergeCell ref="A85:N85"/>
    <mergeCell ref="A56:N56"/>
    <mergeCell ref="B5:N5"/>
    <mergeCell ref="B4:N4"/>
    <mergeCell ref="A30:N30"/>
    <mergeCell ref="A7:N7"/>
  </mergeCells>
  <dataValidations count="1">
    <dataValidation type="list" allowBlank="1" errorTitle="Invalid Review Status" error="Choose a review status from the list." sqref="N2:N86" xr:uid="{00000000-0002-0000-16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N89"/>
  <sheetViews>
    <sheetView workbookViewId="0">
      <pane ySplit="6" topLeftCell="A7" activePane="bottomLeft" state="frozen"/>
      <selection pane="bottomLeft"/>
    </sheetView>
  </sheetViews>
  <sheetFormatPr defaultRowHeight="14.25" x14ac:dyDescent="0.45"/>
  <cols>
    <col min="1" max="1" width="50" customWidth="1"/>
    <col min="2" max="2" width="23"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551</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50</v>
      </c>
      <c r="C4" s="7"/>
      <c r="D4" s="7"/>
      <c r="E4" s="7"/>
      <c r="F4" s="7"/>
      <c r="G4" s="7"/>
      <c r="H4" s="7"/>
      <c r="I4" s="7"/>
      <c r="J4" s="7"/>
      <c r="K4" s="7"/>
      <c r="L4" s="7"/>
      <c r="M4" s="7"/>
      <c r="N4" s="7"/>
    </row>
    <row r="5" spans="1:14" x14ac:dyDescent="0.45">
      <c r="A5" s="4" t="s">
        <v>21</v>
      </c>
      <c r="B5" s="7" t="s">
        <v>56</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133</v>
      </c>
      <c r="C62" t="s">
        <v>308</v>
      </c>
      <c r="D62" t="s">
        <v>414</v>
      </c>
      <c r="E62" t="s">
        <v>415</v>
      </c>
      <c r="F62" t="s">
        <v>457</v>
      </c>
      <c r="G62" t="s">
        <v>138</v>
      </c>
      <c r="H62" t="s">
        <v>458</v>
      </c>
      <c r="I62" t="s">
        <v>139</v>
      </c>
      <c r="J62" t="s">
        <v>139</v>
      </c>
      <c r="M62" t="s">
        <v>139</v>
      </c>
    </row>
    <row r="63" spans="1:14" x14ac:dyDescent="0.45">
      <c r="A63" s="5" t="s">
        <v>311</v>
      </c>
      <c r="B63" s="5" t="s">
        <v>140</v>
      </c>
      <c r="C63" s="5" t="s">
        <v>312</v>
      </c>
      <c r="D63" s="5" t="s">
        <v>135</v>
      </c>
      <c r="E63" s="5" t="s">
        <v>313</v>
      </c>
      <c r="F63" s="5" t="s">
        <v>159</v>
      </c>
      <c r="G63" s="5" t="s">
        <v>160</v>
      </c>
      <c r="H63" s="5"/>
      <c r="I63" s="5" t="s">
        <v>139</v>
      </c>
      <c r="J63" s="5" t="s">
        <v>139</v>
      </c>
      <c r="K63" s="5"/>
      <c r="L63" s="5"/>
      <c r="M63" s="5" t="s">
        <v>139</v>
      </c>
      <c r="N63" s="5"/>
    </row>
    <row r="64" spans="1:14" x14ac:dyDescent="0.45">
      <c r="A64" t="s">
        <v>314</v>
      </c>
      <c r="B64" t="s">
        <v>140</v>
      </c>
      <c r="C64" t="s">
        <v>315</v>
      </c>
      <c r="D64" t="s">
        <v>135</v>
      </c>
      <c r="E64" t="s">
        <v>316</v>
      </c>
      <c r="F64" t="s">
        <v>159</v>
      </c>
      <c r="G64" t="s">
        <v>160</v>
      </c>
      <c r="J64" t="s">
        <v>139</v>
      </c>
      <c r="M64" t="s">
        <v>139</v>
      </c>
    </row>
    <row r="65" spans="1:14" x14ac:dyDescent="0.45">
      <c r="A65" s="5" t="s">
        <v>317</v>
      </c>
      <c r="B65" s="5" t="s">
        <v>133</v>
      </c>
      <c r="C65" s="5" t="s">
        <v>459</v>
      </c>
      <c r="D65" s="5" t="s">
        <v>381</v>
      </c>
      <c r="E65" s="5" t="s">
        <v>552</v>
      </c>
      <c r="F65" s="5" t="s">
        <v>319</v>
      </c>
      <c r="G65" s="5" t="s">
        <v>138</v>
      </c>
      <c r="H65" s="5" t="s">
        <v>553</v>
      </c>
      <c r="I65" s="5" t="s">
        <v>139</v>
      </c>
      <c r="J65" s="5" t="s">
        <v>139</v>
      </c>
      <c r="K65" s="5"/>
      <c r="L65" s="5"/>
      <c r="M65" s="5" t="s">
        <v>139</v>
      </c>
      <c r="N65" s="5"/>
    </row>
    <row r="66" spans="1:14" x14ac:dyDescent="0.45">
      <c r="A66" t="s">
        <v>320</v>
      </c>
      <c r="B66" t="s">
        <v>140</v>
      </c>
      <c r="C66" t="s">
        <v>321</v>
      </c>
      <c r="D66" t="s">
        <v>135</v>
      </c>
      <c r="E66" t="s">
        <v>322</v>
      </c>
      <c r="F66" t="s">
        <v>400</v>
      </c>
      <c r="G66" t="s">
        <v>160</v>
      </c>
      <c r="J66" t="s">
        <v>139</v>
      </c>
      <c r="M66" t="s">
        <v>139</v>
      </c>
    </row>
    <row r="67" spans="1:14" x14ac:dyDescent="0.45">
      <c r="A67" s="5" t="s">
        <v>323</v>
      </c>
      <c r="B67" s="5" t="s">
        <v>140</v>
      </c>
      <c r="C67" s="5" t="s">
        <v>324</v>
      </c>
      <c r="D67" s="5" t="s">
        <v>135</v>
      </c>
      <c r="E67" s="5" t="s">
        <v>325</v>
      </c>
      <c r="F67" s="5" t="s">
        <v>400</v>
      </c>
      <c r="G67" s="5" t="s">
        <v>160</v>
      </c>
      <c r="H67" s="5"/>
      <c r="I67" s="5"/>
      <c r="J67" s="5" t="s">
        <v>139</v>
      </c>
      <c r="K67" s="5"/>
      <c r="L67" s="5"/>
      <c r="M67" s="5" t="s">
        <v>139</v>
      </c>
      <c r="N67" s="5"/>
    </row>
    <row r="68" spans="1:14" x14ac:dyDescent="0.45">
      <c r="A68" t="s">
        <v>326</v>
      </c>
      <c r="B68" t="s">
        <v>140</v>
      </c>
      <c r="C68" t="s">
        <v>327</v>
      </c>
      <c r="D68" t="s">
        <v>135</v>
      </c>
      <c r="E68" t="s">
        <v>328</v>
      </c>
      <c r="F68" t="s">
        <v>400</v>
      </c>
      <c r="G68" t="s">
        <v>160</v>
      </c>
      <c r="I68" t="s">
        <v>139</v>
      </c>
      <c r="J68" t="s">
        <v>139</v>
      </c>
      <c r="M68" t="s">
        <v>139</v>
      </c>
    </row>
    <row r="69" spans="1:14" x14ac:dyDescent="0.45">
      <c r="A69" s="6" t="s">
        <v>329</v>
      </c>
      <c r="B69" s="7"/>
      <c r="C69" s="7"/>
      <c r="D69" s="7"/>
      <c r="E69" s="7"/>
      <c r="F69" s="7"/>
      <c r="G69" s="7"/>
      <c r="H69" s="7"/>
      <c r="I69" s="7"/>
      <c r="J69" s="7"/>
      <c r="K69" s="7"/>
      <c r="L69" s="7"/>
      <c r="M69" s="7"/>
      <c r="N69" s="7"/>
    </row>
    <row r="70" spans="1:14" x14ac:dyDescent="0.45">
      <c r="A70" s="5" t="s">
        <v>330</v>
      </c>
      <c r="B70" s="5" t="s">
        <v>133</v>
      </c>
      <c r="C70" s="5" t="s">
        <v>331</v>
      </c>
      <c r="D70" s="5" t="s">
        <v>381</v>
      </c>
      <c r="E70" s="5"/>
      <c r="F70" s="5" t="s">
        <v>418</v>
      </c>
      <c r="G70" s="5" t="s">
        <v>138</v>
      </c>
      <c r="H70" s="5" t="s">
        <v>460</v>
      </c>
      <c r="I70" s="5" t="s">
        <v>139</v>
      </c>
      <c r="J70" s="5" t="s">
        <v>139</v>
      </c>
      <c r="K70" s="5"/>
      <c r="L70" s="5"/>
      <c r="M70" s="5" t="s">
        <v>139</v>
      </c>
      <c r="N70" s="5"/>
    </row>
    <row r="71" spans="1:14" x14ac:dyDescent="0.45">
      <c r="A71" t="s">
        <v>333</v>
      </c>
      <c r="B71" t="s">
        <v>140</v>
      </c>
      <c r="C71" t="s">
        <v>334</v>
      </c>
      <c r="D71" t="s">
        <v>335</v>
      </c>
      <c r="E71" t="s">
        <v>336</v>
      </c>
      <c r="F71" t="s">
        <v>159</v>
      </c>
      <c r="G71" t="s">
        <v>160</v>
      </c>
      <c r="I71" t="s">
        <v>139</v>
      </c>
      <c r="J71" t="s">
        <v>139</v>
      </c>
      <c r="M71" t="s">
        <v>139</v>
      </c>
    </row>
    <row r="72" spans="1:14" x14ac:dyDescent="0.45">
      <c r="A72" s="5" t="s">
        <v>337</v>
      </c>
      <c r="B72" s="5" t="s">
        <v>140</v>
      </c>
      <c r="C72" s="5" t="s">
        <v>338</v>
      </c>
      <c r="D72" s="5" t="s">
        <v>335</v>
      </c>
      <c r="E72" s="5" t="s">
        <v>339</v>
      </c>
      <c r="F72" s="5" t="s">
        <v>159</v>
      </c>
      <c r="G72" s="5" t="s">
        <v>160</v>
      </c>
      <c r="H72" s="5"/>
      <c r="I72" s="5" t="s">
        <v>139</v>
      </c>
      <c r="J72" s="5" t="s">
        <v>139</v>
      </c>
      <c r="K72" s="5"/>
      <c r="L72" s="5"/>
      <c r="M72" s="5" t="s">
        <v>139</v>
      </c>
      <c r="N72" s="5"/>
    </row>
    <row r="73" spans="1:14" x14ac:dyDescent="0.45">
      <c r="A73" t="s">
        <v>340</v>
      </c>
      <c r="B73" t="s">
        <v>140</v>
      </c>
      <c r="C73" t="s">
        <v>341</v>
      </c>
      <c r="D73" t="s">
        <v>335</v>
      </c>
      <c r="E73" t="s">
        <v>342</v>
      </c>
      <c r="F73" t="s">
        <v>159</v>
      </c>
      <c r="G73" t="s">
        <v>160</v>
      </c>
      <c r="I73" t="s">
        <v>139</v>
      </c>
      <c r="J73" t="s">
        <v>139</v>
      </c>
      <c r="M73" t="s">
        <v>139</v>
      </c>
    </row>
    <row r="74" spans="1:14" x14ac:dyDescent="0.45">
      <c r="A74" s="5" t="s">
        <v>343</v>
      </c>
      <c r="B74" s="5" t="s">
        <v>140</v>
      </c>
      <c r="C74" s="5" t="s">
        <v>344</v>
      </c>
      <c r="D74" s="5" t="s">
        <v>135</v>
      </c>
      <c r="E74" s="5" t="s">
        <v>345</v>
      </c>
      <c r="F74" s="5" t="s">
        <v>159</v>
      </c>
      <c r="G74" s="5" t="s">
        <v>138</v>
      </c>
      <c r="H74" s="5"/>
      <c r="I74" s="5" t="s">
        <v>139</v>
      </c>
      <c r="J74" s="5" t="s">
        <v>139</v>
      </c>
      <c r="K74" s="5"/>
      <c r="L74" s="5"/>
      <c r="M74" s="5" t="s">
        <v>139</v>
      </c>
      <c r="N74" s="5"/>
    </row>
    <row r="75" spans="1:14" x14ac:dyDescent="0.45">
      <c r="A75" t="s">
        <v>346</v>
      </c>
      <c r="B75" t="s">
        <v>140</v>
      </c>
      <c r="C75" t="s">
        <v>347</v>
      </c>
      <c r="D75" t="s">
        <v>135</v>
      </c>
      <c r="E75" t="s">
        <v>345</v>
      </c>
      <c r="F75" t="s">
        <v>159</v>
      </c>
      <c r="G75" t="s">
        <v>138</v>
      </c>
      <c r="I75" t="s">
        <v>139</v>
      </c>
      <c r="J75" t="s">
        <v>139</v>
      </c>
      <c r="L75" t="s">
        <v>139</v>
      </c>
      <c r="M75" t="s">
        <v>139</v>
      </c>
    </row>
    <row r="76" spans="1:14" x14ac:dyDescent="0.45">
      <c r="A76" s="5" t="s">
        <v>348</v>
      </c>
      <c r="B76" s="5" t="s">
        <v>140</v>
      </c>
      <c r="C76" s="5" t="s">
        <v>349</v>
      </c>
      <c r="D76" s="5" t="s">
        <v>335</v>
      </c>
      <c r="E76" s="5" t="s">
        <v>350</v>
      </c>
      <c r="F76" s="5" t="s">
        <v>159</v>
      </c>
      <c r="G76" s="5" t="s">
        <v>160</v>
      </c>
      <c r="H76" s="5"/>
      <c r="I76" s="5" t="s">
        <v>139</v>
      </c>
      <c r="J76" s="5" t="s">
        <v>139</v>
      </c>
      <c r="K76" s="5"/>
      <c r="L76" s="5"/>
      <c r="M76" s="5" t="s">
        <v>139</v>
      </c>
      <c r="N76" s="5"/>
    </row>
    <row r="77" spans="1:14" x14ac:dyDescent="0.45">
      <c r="A77" t="s">
        <v>351</v>
      </c>
      <c r="B77" t="s">
        <v>133</v>
      </c>
      <c r="C77" t="s">
        <v>352</v>
      </c>
      <c r="D77" t="s">
        <v>381</v>
      </c>
      <c r="F77" t="s">
        <v>420</v>
      </c>
      <c r="G77" t="s">
        <v>138</v>
      </c>
      <c r="H77" t="s">
        <v>461</v>
      </c>
      <c r="I77" t="s">
        <v>139</v>
      </c>
      <c r="J77" t="s">
        <v>139</v>
      </c>
      <c r="M77" t="s">
        <v>139</v>
      </c>
    </row>
    <row r="78" spans="1:14" x14ac:dyDescent="0.45">
      <c r="A78" s="5" t="s">
        <v>354</v>
      </c>
      <c r="B78" s="5" t="s">
        <v>140</v>
      </c>
      <c r="C78" s="5" t="s">
        <v>355</v>
      </c>
      <c r="D78" s="5" t="s">
        <v>335</v>
      </c>
      <c r="E78" s="5" t="s">
        <v>356</v>
      </c>
      <c r="F78" s="5" t="s">
        <v>159</v>
      </c>
      <c r="G78" s="5" t="s">
        <v>160</v>
      </c>
      <c r="H78" s="5" t="s">
        <v>357</v>
      </c>
      <c r="I78" s="5" t="s">
        <v>139</v>
      </c>
      <c r="J78" s="5" t="s">
        <v>139</v>
      </c>
      <c r="K78" s="5"/>
      <c r="L78" s="5"/>
      <c r="M78" s="5" t="s">
        <v>139</v>
      </c>
      <c r="N78" s="5"/>
    </row>
    <row r="79" spans="1:14" x14ac:dyDescent="0.45">
      <c r="A79" t="s">
        <v>422</v>
      </c>
      <c r="B79" t="s">
        <v>133</v>
      </c>
      <c r="C79" t="s">
        <v>423</v>
      </c>
      <c r="D79" t="s">
        <v>424</v>
      </c>
      <c r="E79" t="s">
        <v>425</v>
      </c>
      <c r="F79" t="s">
        <v>426</v>
      </c>
      <c r="G79" t="s">
        <v>145</v>
      </c>
      <c r="J79" t="s">
        <v>139</v>
      </c>
      <c r="M79" t="s">
        <v>139</v>
      </c>
    </row>
    <row r="80" spans="1:14" x14ac:dyDescent="0.45">
      <c r="A80" s="6" t="s">
        <v>427</v>
      </c>
      <c r="B80" s="7"/>
      <c r="C80" s="7"/>
      <c r="D80" s="7"/>
      <c r="E80" s="7"/>
      <c r="F80" s="7"/>
      <c r="G80" s="7"/>
      <c r="H80" s="7"/>
      <c r="I80" s="7"/>
      <c r="J80" s="7"/>
      <c r="K80" s="7"/>
      <c r="L80" s="7"/>
      <c r="M80" s="7"/>
      <c r="N80" s="7"/>
    </row>
    <row r="81" spans="1:14" x14ac:dyDescent="0.45">
      <c r="A81" s="5" t="s">
        <v>428</v>
      </c>
      <c r="B81" s="5" t="s">
        <v>224</v>
      </c>
      <c r="C81" s="5" t="s">
        <v>554</v>
      </c>
      <c r="D81" s="5" t="s">
        <v>381</v>
      </c>
      <c r="E81" s="5" t="s">
        <v>555</v>
      </c>
      <c r="F81" s="5" t="s">
        <v>431</v>
      </c>
      <c r="G81" s="5" t="s">
        <v>145</v>
      </c>
      <c r="H81" s="5" t="s">
        <v>556</v>
      </c>
      <c r="I81" s="5" t="s">
        <v>139</v>
      </c>
      <c r="J81" s="5" t="s">
        <v>139</v>
      </c>
      <c r="K81" s="5"/>
      <c r="L81" s="5"/>
      <c r="M81" s="5" t="s">
        <v>139</v>
      </c>
      <c r="N81" s="5"/>
    </row>
    <row r="82" spans="1:14" x14ac:dyDescent="0.45">
      <c r="A82" t="s">
        <v>433</v>
      </c>
      <c r="B82" t="s">
        <v>140</v>
      </c>
      <c r="C82" t="s">
        <v>434</v>
      </c>
      <c r="D82" t="s">
        <v>435</v>
      </c>
      <c r="E82" t="s">
        <v>436</v>
      </c>
      <c r="F82" t="s">
        <v>159</v>
      </c>
      <c r="G82" t="s">
        <v>145</v>
      </c>
      <c r="H82" t="s">
        <v>556</v>
      </c>
      <c r="J82" t="s">
        <v>139</v>
      </c>
      <c r="M82" t="s">
        <v>139</v>
      </c>
    </row>
    <row r="83" spans="1:14" x14ac:dyDescent="0.45">
      <c r="A83" s="5" t="s">
        <v>468</v>
      </c>
      <c r="B83" s="5" t="s">
        <v>140</v>
      </c>
      <c r="C83" s="5" t="s">
        <v>442</v>
      </c>
      <c r="D83" s="5" t="s">
        <v>470</v>
      </c>
      <c r="E83" s="5" t="s">
        <v>557</v>
      </c>
      <c r="F83" s="5" t="s">
        <v>159</v>
      </c>
      <c r="G83" s="5" t="s">
        <v>160</v>
      </c>
      <c r="H83" s="5" t="s">
        <v>556</v>
      </c>
      <c r="I83" s="5" t="s">
        <v>139</v>
      </c>
      <c r="J83" s="5" t="s">
        <v>139</v>
      </c>
      <c r="K83" s="5" t="s">
        <v>139</v>
      </c>
      <c r="L83" s="5"/>
      <c r="M83" s="5" t="s">
        <v>139</v>
      </c>
      <c r="N83" s="5"/>
    </row>
    <row r="84" spans="1:14" x14ac:dyDescent="0.45">
      <c r="A84" t="s">
        <v>558</v>
      </c>
      <c r="B84" t="s">
        <v>133</v>
      </c>
      <c r="C84" t="s">
        <v>559</v>
      </c>
      <c r="D84" t="s">
        <v>560</v>
      </c>
      <c r="E84" t="s">
        <v>561</v>
      </c>
      <c r="F84" t="s">
        <v>562</v>
      </c>
      <c r="G84" t="s">
        <v>449</v>
      </c>
      <c r="H84" t="s">
        <v>556</v>
      </c>
      <c r="I84" t="s">
        <v>139</v>
      </c>
      <c r="J84" t="s">
        <v>139</v>
      </c>
      <c r="M84" t="s">
        <v>139</v>
      </c>
    </row>
    <row r="85" spans="1:14" x14ac:dyDescent="0.45">
      <c r="A85" s="6" t="s">
        <v>358</v>
      </c>
      <c r="B85" s="7"/>
      <c r="C85" s="7"/>
      <c r="D85" s="7"/>
      <c r="E85" s="7"/>
      <c r="F85" s="7"/>
      <c r="G85" s="7"/>
      <c r="H85" s="7"/>
      <c r="I85" s="7"/>
      <c r="J85" s="7"/>
      <c r="K85" s="7"/>
      <c r="L85" s="7"/>
      <c r="M85" s="7"/>
      <c r="N85" s="7"/>
    </row>
    <row r="86" spans="1:14" x14ac:dyDescent="0.45">
      <c r="A86" s="5" t="s">
        <v>563</v>
      </c>
      <c r="B86" s="5" t="s">
        <v>140</v>
      </c>
      <c r="C86" s="5" t="s">
        <v>564</v>
      </c>
      <c r="D86" s="5" t="s">
        <v>214</v>
      </c>
      <c r="E86" s="5" t="s">
        <v>565</v>
      </c>
      <c r="F86" s="5" t="s">
        <v>159</v>
      </c>
      <c r="G86" s="5" t="s">
        <v>160</v>
      </c>
      <c r="H86" s="5" t="s">
        <v>566</v>
      </c>
      <c r="I86" s="5" t="s">
        <v>139</v>
      </c>
      <c r="J86" s="5" t="s">
        <v>139</v>
      </c>
      <c r="K86" s="5"/>
      <c r="L86" s="5"/>
      <c r="M86" s="5" t="s">
        <v>139</v>
      </c>
      <c r="N86" s="5"/>
    </row>
    <row r="87" spans="1:14" x14ac:dyDescent="0.45">
      <c r="A87" t="s">
        <v>445</v>
      </c>
      <c r="B87" t="s">
        <v>133</v>
      </c>
      <c r="C87" t="s">
        <v>446</v>
      </c>
      <c r="D87" t="s">
        <v>381</v>
      </c>
      <c r="E87" t="s">
        <v>447</v>
      </c>
      <c r="F87" t="s">
        <v>448</v>
      </c>
      <c r="G87" t="s">
        <v>449</v>
      </c>
      <c r="I87" t="s">
        <v>139</v>
      </c>
      <c r="J87" t="s">
        <v>139</v>
      </c>
      <c r="M87" t="s">
        <v>139</v>
      </c>
    </row>
    <row r="88" spans="1:14" x14ac:dyDescent="0.45">
      <c r="A88" s="5" t="s">
        <v>441</v>
      </c>
      <c r="B88" s="5" t="s">
        <v>224</v>
      </c>
      <c r="C88" s="5" t="s">
        <v>442</v>
      </c>
      <c r="D88" s="5" t="s">
        <v>381</v>
      </c>
      <c r="E88" s="5" t="s">
        <v>462</v>
      </c>
      <c r="F88" s="5" t="s">
        <v>444</v>
      </c>
      <c r="G88" s="5" t="s">
        <v>138</v>
      </c>
      <c r="H88" s="5" t="s">
        <v>463</v>
      </c>
      <c r="I88" s="5"/>
      <c r="J88" s="5"/>
      <c r="K88" s="5"/>
      <c r="L88" s="5"/>
      <c r="M88" s="5" t="s">
        <v>139</v>
      </c>
      <c r="N88" s="5"/>
    </row>
    <row r="89" spans="1:14" x14ac:dyDescent="0.45">
      <c r="A89" t="s">
        <v>452</v>
      </c>
      <c r="B89" t="s">
        <v>133</v>
      </c>
      <c r="C89" t="s">
        <v>453</v>
      </c>
      <c r="D89" t="s">
        <v>381</v>
      </c>
      <c r="E89" t="s">
        <v>454</v>
      </c>
      <c r="F89" t="s">
        <v>455</v>
      </c>
      <c r="G89" t="s">
        <v>138</v>
      </c>
      <c r="M89" t="s">
        <v>139</v>
      </c>
    </row>
  </sheetData>
  <mergeCells count="13">
    <mergeCell ref="A85:N85"/>
    <mergeCell ref="B3:N3"/>
    <mergeCell ref="B2:N2"/>
    <mergeCell ref="A1:N1"/>
    <mergeCell ref="A56:N56"/>
    <mergeCell ref="B5:N5"/>
    <mergeCell ref="A80:N80"/>
    <mergeCell ref="A69:N69"/>
    <mergeCell ref="B4:N4"/>
    <mergeCell ref="A30:N30"/>
    <mergeCell ref="A7:N7"/>
    <mergeCell ref="A11:N11"/>
    <mergeCell ref="A49:N49"/>
  </mergeCells>
  <dataValidations count="1">
    <dataValidation type="list" allowBlank="1" errorTitle="Invalid Review Status" error="Choose a review status from the list." sqref="N2:N89" xr:uid="{00000000-0002-0000-17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N88"/>
  <sheetViews>
    <sheetView workbookViewId="0">
      <pane ySplit="6" topLeftCell="A7" activePane="bottomLeft" state="frozen"/>
      <selection pane="bottomLeft"/>
    </sheetView>
  </sheetViews>
  <sheetFormatPr defaultRowHeight="14.25" x14ac:dyDescent="0.45"/>
  <cols>
    <col min="1" max="1" width="50" customWidth="1"/>
    <col min="2" max="2" width="20"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567</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50</v>
      </c>
      <c r="C4" s="7"/>
      <c r="D4" s="7"/>
      <c r="E4" s="7"/>
      <c r="F4" s="7"/>
      <c r="G4" s="7"/>
      <c r="H4" s="7"/>
      <c r="I4" s="7"/>
      <c r="J4" s="7"/>
      <c r="K4" s="7"/>
      <c r="L4" s="7"/>
      <c r="M4" s="7"/>
      <c r="N4" s="7"/>
    </row>
    <row r="5" spans="1:14" x14ac:dyDescent="0.45">
      <c r="A5" s="4" t="s">
        <v>21</v>
      </c>
      <c r="B5" s="7" t="s">
        <v>90</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H48" t="s">
        <v>270</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133</v>
      </c>
      <c r="C62" t="s">
        <v>308</v>
      </c>
      <c r="D62" t="s">
        <v>414</v>
      </c>
      <c r="E62" t="s">
        <v>415</v>
      </c>
      <c r="F62" t="s">
        <v>457</v>
      </c>
      <c r="G62" t="s">
        <v>138</v>
      </c>
      <c r="H62" t="s">
        <v>458</v>
      </c>
      <c r="I62" t="s">
        <v>139</v>
      </c>
      <c r="J62" t="s">
        <v>139</v>
      </c>
      <c r="M62" t="s">
        <v>139</v>
      </c>
    </row>
    <row r="63" spans="1:14" x14ac:dyDescent="0.45">
      <c r="A63" s="5" t="s">
        <v>311</v>
      </c>
      <c r="B63" s="5" t="s">
        <v>140</v>
      </c>
      <c r="C63" s="5" t="s">
        <v>312</v>
      </c>
      <c r="D63" s="5" t="s">
        <v>135</v>
      </c>
      <c r="E63" s="5" t="s">
        <v>313</v>
      </c>
      <c r="F63" s="5" t="s">
        <v>159</v>
      </c>
      <c r="G63" s="5" t="s">
        <v>160</v>
      </c>
      <c r="H63" s="5"/>
      <c r="I63" s="5" t="s">
        <v>139</v>
      </c>
      <c r="J63" s="5" t="s">
        <v>139</v>
      </c>
      <c r="K63" s="5"/>
      <c r="L63" s="5"/>
      <c r="M63" s="5" t="s">
        <v>139</v>
      </c>
      <c r="N63" s="5"/>
    </row>
    <row r="64" spans="1:14" x14ac:dyDescent="0.45">
      <c r="A64" t="s">
        <v>314</v>
      </c>
      <c r="B64" t="s">
        <v>140</v>
      </c>
      <c r="C64" t="s">
        <v>315</v>
      </c>
      <c r="D64" t="s">
        <v>135</v>
      </c>
      <c r="E64" t="s">
        <v>316</v>
      </c>
      <c r="F64" t="s">
        <v>159</v>
      </c>
      <c r="G64" t="s">
        <v>160</v>
      </c>
      <c r="J64" t="s">
        <v>139</v>
      </c>
      <c r="M64" t="s">
        <v>139</v>
      </c>
    </row>
    <row r="65" spans="1:14" x14ac:dyDescent="0.45">
      <c r="A65" s="5" t="s">
        <v>317</v>
      </c>
      <c r="B65" s="5" t="s">
        <v>133</v>
      </c>
      <c r="C65" s="5" t="s">
        <v>459</v>
      </c>
      <c r="D65" s="5" t="s">
        <v>381</v>
      </c>
      <c r="E65" s="5" t="s">
        <v>552</v>
      </c>
      <c r="F65" s="5" t="s">
        <v>319</v>
      </c>
      <c r="G65" s="5" t="s">
        <v>138</v>
      </c>
      <c r="H65" s="5" t="s">
        <v>553</v>
      </c>
      <c r="I65" s="5" t="s">
        <v>139</v>
      </c>
      <c r="J65" s="5" t="s">
        <v>139</v>
      </c>
      <c r="K65" s="5"/>
      <c r="L65" s="5"/>
      <c r="M65" s="5" t="s">
        <v>139</v>
      </c>
      <c r="N65" s="5"/>
    </row>
    <row r="66" spans="1:14" x14ac:dyDescent="0.45">
      <c r="A66" t="s">
        <v>320</v>
      </c>
      <c r="B66" t="s">
        <v>140</v>
      </c>
      <c r="C66" t="s">
        <v>321</v>
      </c>
      <c r="D66" t="s">
        <v>135</v>
      </c>
      <c r="E66" t="s">
        <v>322</v>
      </c>
      <c r="F66" t="s">
        <v>400</v>
      </c>
      <c r="G66" t="s">
        <v>160</v>
      </c>
      <c r="J66" t="s">
        <v>139</v>
      </c>
      <c r="M66" t="s">
        <v>139</v>
      </c>
    </row>
    <row r="67" spans="1:14" x14ac:dyDescent="0.45">
      <c r="A67" s="5" t="s">
        <v>323</v>
      </c>
      <c r="B67" s="5" t="s">
        <v>140</v>
      </c>
      <c r="C67" s="5" t="s">
        <v>324</v>
      </c>
      <c r="D67" s="5" t="s">
        <v>135</v>
      </c>
      <c r="E67" s="5" t="s">
        <v>325</v>
      </c>
      <c r="F67" s="5" t="s">
        <v>400</v>
      </c>
      <c r="G67" s="5" t="s">
        <v>160</v>
      </c>
      <c r="H67" s="5"/>
      <c r="I67" s="5"/>
      <c r="J67" s="5" t="s">
        <v>139</v>
      </c>
      <c r="K67" s="5"/>
      <c r="L67" s="5"/>
      <c r="M67" s="5" t="s">
        <v>139</v>
      </c>
      <c r="N67" s="5"/>
    </row>
    <row r="68" spans="1:14" x14ac:dyDescent="0.45">
      <c r="A68" t="s">
        <v>326</v>
      </c>
      <c r="B68" t="s">
        <v>140</v>
      </c>
      <c r="C68" t="s">
        <v>327</v>
      </c>
      <c r="D68" t="s">
        <v>135</v>
      </c>
      <c r="E68" t="s">
        <v>328</v>
      </c>
      <c r="F68" t="s">
        <v>400</v>
      </c>
      <c r="G68" t="s">
        <v>160</v>
      </c>
      <c r="I68" t="s">
        <v>139</v>
      </c>
      <c r="J68" t="s">
        <v>139</v>
      </c>
      <c r="M68" t="s">
        <v>139</v>
      </c>
    </row>
    <row r="69" spans="1:14" x14ac:dyDescent="0.45">
      <c r="A69" s="6" t="s">
        <v>329</v>
      </c>
      <c r="B69" s="7"/>
      <c r="C69" s="7"/>
      <c r="D69" s="7"/>
      <c r="E69" s="7"/>
      <c r="F69" s="7"/>
      <c r="G69" s="7"/>
      <c r="H69" s="7"/>
      <c r="I69" s="7"/>
      <c r="J69" s="7"/>
      <c r="K69" s="7"/>
      <c r="L69" s="7"/>
      <c r="M69" s="7"/>
      <c r="N69" s="7"/>
    </row>
    <row r="70" spans="1:14" x14ac:dyDescent="0.45">
      <c r="A70" s="5" t="s">
        <v>330</v>
      </c>
      <c r="B70" s="5" t="s">
        <v>133</v>
      </c>
      <c r="C70" s="5" t="s">
        <v>331</v>
      </c>
      <c r="D70" s="5" t="s">
        <v>381</v>
      </c>
      <c r="E70" s="5"/>
      <c r="F70" s="5" t="s">
        <v>418</v>
      </c>
      <c r="G70" s="5" t="s">
        <v>138</v>
      </c>
      <c r="H70" s="5" t="s">
        <v>460</v>
      </c>
      <c r="I70" s="5" t="s">
        <v>139</v>
      </c>
      <c r="J70" s="5" t="s">
        <v>139</v>
      </c>
      <c r="K70" s="5"/>
      <c r="L70" s="5"/>
      <c r="M70" s="5" t="s">
        <v>139</v>
      </c>
      <c r="N70" s="5"/>
    </row>
    <row r="71" spans="1:14" x14ac:dyDescent="0.45">
      <c r="A71" t="s">
        <v>333</v>
      </c>
      <c r="B71" t="s">
        <v>140</v>
      </c>
      <c r="C71" t="s">
        <v>334</v>
      </c>
      <c r="D71" t="s">
        <v>335</v>
      </c>
      <c r="E71" t="s">
        <v>336</v>
      </c>
      <c r="F71" t="s">
        <v>159</v>
      </c>
      <c r="G71" t="s">
        <v>160</v>
      </c>
      <c r="I71" t="s">
        <v>139</v>
      </c>
      <c r="J71" t="s">
        <v>139</v>
      </c>
      <c r="M71" t="s">
        <v>139</v>
      </c>
    </row>
    <row r="72" spans="1:14" x14ac:dyDescent="0.45">
      <c r="A72" s="5" t="s">
        <v>337</v>
      </c>
      <c r="B72" s="5" t="s">
        <v>140</v>
      </c>
      <c r="C72" s="5" t="s">
        <v>338</v>
      </c>
      <c r="D72" s="5" t="s">
        <v>335</v>
      </c>
      <c r="E72" s="5" t="s">
        <v>339</v>
      </c>
      <c r="F72" s="5" t="s">
        <v>159</v>
      </c>
      <c r="G72" s="5" t="s">
        <v>160</v>
      </c>
      <c r="H72" s="5"/>
      <c r="I72" s="5" t="s">
        <v>139</v>
      </c>
      <c r="J72" s="5" t="s">
        <v>139</v>
      </c>
      <c r="K72" s="5"/>
      <c r="L72" s="5"/>
      <c r="M72" s="5" t="s">
        <v>139</v>
      </c>
      <c r="N72" s="5"/>
    </row>
    <row r="73" spans="1:14" x14ac:dyDescent="0.45">
      <c r="A73" t="s">
        <v>340</v>
      </c>
      <c r="B73" t="s">
        <v>140</v>
      </c>
      <c r="C73" t="s">
        <v>341</v>
      </c>
      <c r="D73" t="s">
        <v>335</v>
      </c>
      <c r="E73" t="s">
        <v>342</v>
      </c>
      <c r="F73" t="s">
        <v>159</v>
      </c>
      <c r="G73" t="s">
        <v>160</v>
      </c>
      <c r="I73" t="s">
        <v>139</v>
      </c>
      <c r="J73" t="s">
        <v>139</v>
      </c>
      <c r="M73" t="s">
        <v>139</v>
      </c>
    </row>
    <row r="74" spans="1:14" x14ac:dyDescent="0.45">
      <c r="A74" s="5" t="s">
        <v>343</v>
      </c>
      <c r="B74" s="5" t="s">
        <v>140</v>
      </c>
      <c r="C74" s="5" t="s">
        <v>344</v>
      </c>
      <c r="D74" s="5" t="s">
        <v>135</v>
      </c>
      <c r="E74" s="5" t="s">
        <v>345</v>
      </c>
      <c r="F74" s="5" t="s">
        <v>159</v>
      </c>
      <c r="G74" s="5" t="s">
        <v>138</v>
      </c>
      <c r="H74" s="5"/>
      <c r="I74" s="5" t="s">
        <v>139</v>
      </c>
      <c r="J74" s="5" t="s">
        <v>139</v>
      </c>
      <c r="K74" s="5"/>
      <c r="L74" s="5"/>
      <c r="M74" s="5" t="s">
        <v>139</v>
      </c>
      <c r="N74" s="5"/>
    </row>
    <row r="75" spans="1:14" x14ac:dyDescent="0.45">
      <c r="A75" t="s">
        <v>346</v>
      </c>
      <c r="B75" t="s">
        <v>140</v>
      </c>
      <c r="C75" t="s">
        <v>347</v>
      </c>
      <c r="D75" t="s">
        <v>135</v>
      </c>
      <c r="E75" t="s">
        <v>345</v>
      </c>
      <c r="F75" t="s">
        <v>159</v>
      </c>
      <c r="G75" t="s">
        <v>138</v>
      </c>
      <c r="I75" t="s">
        <v>139</v>
      </c>
      <c r="J75" t="s">
        <v>139</v>
      </c>
      <c r="L75" t="s">
        <v>139</v>
      </c>
      <c r="M75" t="s">
        <v>139</v>
      </c>
    </row>
    <row r="76" spans="1:14" x14ac:dyDescent="0.45">
      <c r="A76" s="5" t="s">
        <v>348</v>
      </c>
      <c r="B76" s="5" t="s">
        <v>140</v>
      </c>
      <c r="C76" s="5" t="s">
        <v>349</v>
      </c>
      <c r="D76" s="5" t="s">
        <v>335</v>
      </c>
      <c r="E76" s="5" t="s">
        <v>350</v>
      </c>
      <c r="F76" s="5" t="s">
        <v>159</v>
      </c>
      <c r="G76" s="5" t="s">
        <v>160</v>
      </c>
      <c r="H76" s="5"/>
      <c r="I76" s="5" t="s">
        <v>139</v>
      </c>
      <c r="J76" s="5" t="s">
        <v>139</v>
      </c>
      <c r="K76" s="5"/>
      <c r="L76" s="5"/>
      <c r="M76" s="5" t="s">
        <v>139</v>
      </c>
      <c r="N76" s="5"/>
    </row>
    <row r="77" spans="1:14" x14ac:dyDescent="0.45">
      <c r="A77" t="s">
        <v>351</v>
      </c>
      <c r="B77" t="s">
        <v>133</v>
      </c>
      <c r="C77" t="s">
        <v>352</v>
      </c>
      <c r="D77" t="s">
        <v>381</v>
      </c>
      <c r="F77" t="s">
        <v>420</v>
      </c>
      <c r="G77" t="s">
        <v>138</v>
      </c>
      <c r="H77" t="s">
        <v>461</v>
      </c>
      <c r="I77" t="s">
        <v>139</v>
      </c>
      <c r="J77" t="s">
        <v>139</v>
      </c>
      <c r="M77" t="s">
        <v>139</v>
      </c>
    </row>
    <row r="78" spans="1:14" x14ac:dyDescent="0.45">
      <c r="A78" s="5" t="s">
        <v>354</v>
      </c>
      <c r="B78" s="5" t="s">
        <v>140</v>
      </c>
      <c r="C78" s="5" t="s">
        <v>355</v>
      </c>
      <c r="D78" s="5" t="s">
        <v>335</v>
      </c>
      <c r="E78" s="5" t="s">
        <v>356</v>
      </c>
      <c r="F78" s="5" t="s">
        <v>159</v>
      </c>
      <c r="G78" s="5" t="s">
        <v>160</v>
      </c>
      <c r="H78" s="5" t="s">
        <v>357</v>
      </c>
      <c r="I78" s="5" t="s">
        <v>139</v>
      </c>
      <c r="J78" s="5" t="s">
        <v>139</v>
      </c>
      <c r="K78" s="5"/>
      <c r="L78" s="5"/>
      <c r="M78" s="5" t="s">
        <v>139</v>
      </c>
      <c r="N78" s="5"/>
    </row>
    <row r="79" spans="1:14" x14ac:dyDescent="0.45">
      <c r="A79" t="s">
        <v>422</v>
      </c>
      <c r="B79" t="s">
        <v>133</v>
      </c>
      <c r="C79" t="s">
        <v>423</v>
      </c>
      <c r="D79" t="s">
        <v>424</v>
      </c>
      <c r="E79" t="s">
        <v>425</v>
      </c>
      <c r="F79" t="s">
        <v>426</v>
      </c>
      <c r="G79" t="s">
        <v>145</v>
      </c>
      <c r="J79" t="s">
        <v>139</v>
      </c>
      <c r="M79" t="s">
        <v>139</v>
      </c>
    </row>
    <row r="80" spans="1:14" x14ac:dyDescent="0.45">
      <c r="A80" s="6" t="s">
        <v>427</v>
      </c>
      <c r="B80" s="7"/>
      <c r="C80" s="7"/>
      <c r="D80" s="7"/>
      <c r="E80" s="7"/>
      <c r="F80" s="7"/>
      <c r="G80" s="7"/>
      <c r="H80" s="7"/>
      <c r="I80" s="7"/>
      <c r="J80" s="7"/>
      <c r="K80" s="7"/>
      <c r="L80" s="7"/>
      <c r="M80" s="7"/>
      <c r="N80" s="7"/>
    </row>
    <row r="81" spans="1:14" x14ac:dyDescent="0.45">
      <c r="A81" s="5" t="s">
        <v>428</v>
      </c>
      <c r="B81" s="5" t="s">
        <v>224</v>
      </c>
      <c r="C81" s="5" t="s">
        <v>554</v>
      </c>
      <c r="D81" s="5" t="s">
        <v>381</v>
      </c>
      <c r="E81" s="5" t="s">
        <v>555</v>
      </c>
      <c r="F81" s="5" t="s">
        <v>431</v>
      </c>
      <c r="G81" s="5" t="s">
        <v>145</v>
      </c>
      <c r="H81" s="5" t="s">
        <v>556</v>
      </c>
      <c r="I81" s="5" t="s">
        <v>139</v>
      </c>
      <c r="J81" s="5" t="s">
        <v>139</v>
      </c>
      <c r="K81" s="5"/>
      <c r="L81" s="5"/>
      <c r="M81" s="5" t="s">
        <v>139</v>
      </c>
      <c r="N81" s="5"/>
    </row>
    <row r="82" spans="1:14" x14ac:dyDescent="0.45">
      <c r="A82" t="s">
        <v>433</v>
      </c>
      <c r="B82" t="s">
        <v>140</v>
      </c>
      <c r="C82" t="s">
        <v>434</v>
      </c>
      <c r="D82" t="s">
        <v>435</v>
      </c>
      <c r="E82" t="s">
        <v>436</v>
      </c>
      <c r="F82" t="s">
        <v>159</v>
      </c>
      <c r="G82" t="s">
        <v>145</v>
      </c>
      <c r="H82" t="s">
        <v>556</v>
      </c>
      <c r="J82" t="s">
        <v>139</v>
      </c>
      <c r="M82" t="s">
        <v>139</v>
      </c>
    </row>
    <row r="83" spans="1:14" x14ac:dyDescent="0.45">
      <c r="A83" s="5" t="s">
        <v>468</v>
      </c>
      <c r="B83" s="5" t="s">
        <v>140</v>
      </c>
      <c r="C83" s="5" t="s">
        <v>442</v>
      </c>
      <c r="D83" s="5" t="s">
        <v>470</v>
      </c>
      <c r="E83" s="5" t="s">
        <v>568</v>
      </c>
      <c r="F83" s="5" t="s">
        <v>159</v>
      </c>
      <c r="G83" s="5" t="s">
        <v>160</v>
      </c>
      <c r="H83" s="5" t="s">
        <v>556</v>
      </c>
      <c r="I83" s="5" t="s">
        <v>139</v>
      </c>
      <c r="J83" s="5" t="s">
        <v>139</v>
      </c>
      <c r="K83" s="5" t="s">
        <v>139</v>
      </c>
      <c r="L83" s="5"/>
      <c r="M83" s="5" t="s">
        <v>139</v>
      </c>
      <c r="N83" s="5"/>
    </row>
    <row r="84" spans="1:14" x14ac:dyDescent="0.45">
      <c r="A84" s="6" t="s">
        <v>358</v>
      </c>
      <c r="B84" s="7"/>
      <c r="C84" s="7"/>
      <c r="D84" s="7"/>
      <c r="E84" s="7"/>
      <c r="F84" s="7"/>
      <c r="G84" s="7"/>
      <c r="H84" s="7"/>
      <c r="I84" s="7"/>
      <c r="J84" s="7"/>
      <c r="K84" s="7"/>
      <c r="L84" s="7"/>
      <c r="M84" s="7"/>
      <c r="N84" s="7"/>
    </row>
    <row r="85" spans="1:14" x14ac:dyDescent="0.45">
      <c r="A85" t="s">
        <v>569</v>
      </c>
      <c r="B85" t="s">
        <v>133</v>
      </c>
      <c r="C85" t="s">
        <v>570</v>
      </c>
      <c r="D85" t="s">
        <v>214</v>
      </c>
      <c r="E85" t="s">
        <v>565</v>
      </c>
      <c r="F85" t="s">
        <v>159</v>
      </c>
      <c r="G85" t="s">
        <v>160</v>
      </c>
      <c r="H85" t="s">
        <v>566</v>
      </c>
      <c r="J85" t="s">
        <v>139</v>
      </c>
      <c r="M85" t="s">
        <v>139</v>
      </c>
    </row>
    <row r="86" spans="1:14" x14ac:dyDescent="0.45">
      <c r="A86" s="5" t="s">
        <v>445</v>
      </c>
      <c r="B86" s="5" t="s">
        <v>133</v>
      </c>
      <c r="C86" s="5" t="s">
        <v>446</v>
      </c>
      <c r="D86" s="5" t="s">
        <v>381</v>
      </c>
      <c r="E86" s="5" t="s">
        <v>447</v>
      </c>
      <c r="F86" s="5" t="s">
        <v>448</v>
      </c>
      <c r="G86" s="5" t="s">
        <v>449</v>
      </c>
      <c r="H86" s="5"/>
      <c r="I86" s="5" t="s">
        <v>139</v>
      </c>
      <c r="J86" s="5" t="s">
        <v>139</v>
      </c>
      <c r="K86" s="5"/>
      <c r="L86" s="5"/>
      <c r="M86" s="5" t="s">
        <v>139</v>
      </c>
      <c r="N86" s="5"/>
    </row>
    <row r="87" spans="1:14" x14ac:dyDescent="0.45">
      <c r="A87" t="s">
        <v>441</v>
      </c>
      <c r="B87" t="s">
        <v>224</v>
      </c>
      <c r="C87" t="s">
        <v>442</v>
      </c>
      <c r="D87" t="s">
        <v>381</v>
      </c>
      <c r="E87" t="s">
        <v>462</v>
      </c>
      <c r="F87" t="s">
        <v>444</v>
      </c>
      <c r="G87" t="s">
        <v>138</v>
      </c>
      <c r="H87" t="s">
        <v>463</v>
      </c>
      <c r="M87" t="s">
        <v>139</v>
      </c>
    </row>
    <row r="88" spans="1:14" x14ac:dyDescent="0.45">
      <c r="A88" s="5" t="s">
        <v>452</v>
      </c>
      <c r="B88" s="5" t="s">
        <v>133</v>
      </c>
      <c r="C88" s="5" t="s">
        <v>453</v>
      </c>
      <c r="D88" s="5" t="s">
        <v>381</v>
      </c>
      <c r="E88" s="5" t="s">
        <v>454</v>
      </c>
      <c r="F88" s="5" t="s">
        <v>455</v>
      </c>
      <c r="G88" s="5" t="s">
        <v>138</v>
      </c>
      <c r="H88" s="5"/>
      <c r="I88" s="5"/>
      <c r="J88" s="5"/>
      <c r="K88" s="5"/>
      <c r="L88" s="5"/>
      <c r="M88" s="5" t="s">
        <v>139</v>
      </c>
      <c r="N88" s="5"/>
    </row>
  </sheetData>
  <mergeCells count="13">
    <mergeCell ref="B2:N2"/>
    <mergeCell ref="A1:N1"/>
    <mergeCell ref="A84:N84"/>
    <mergeCell ref="A7:N7"/>
    <mergeCell ref="A11:N11"/>
    <mergeCell ref="A49:N49"/>
    <mergeCell ref="B3:N3"/>
    <mergeCell ref="A56:N56"/>
    <mergeCell ref="B5:N5"/>
    <mergeCell ref="A80:N80"/>
    <mergeCell ref="A69:N69"/>
    <mergeCell ref="B4:N4"/>
    <mergeCell ref="A30:N30"/>
  </mergeCells>
  <dataValidations count="1">
    <dataValidation type="list" allowBlank="1" errorTitle="Invalid Review Status" error="Choose a review status from the list." sqref="N2:N88" xr:uid="{00000000-0002-0000-18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N87"/>
  <sheetViews>
    <sheetView workbookViewId="0">
      <pane ySplit="6" topLeftCell="A7" activePane="bottomLeft" state="frozen"/>
      <selection pane="bottomLeft"/>
    </sheetView>
  </sheetViews>
  <sheetFormatPr defaultRowHeight="14.25" x14ac:dyDescent="0.45"/>
  <cols>
    <col min="1" max="1" width="50" customWidth="1"/>
    <col min="2" max="2" width="17"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571</v>
      </c>
      <c r="B1" s="7"/>
      <c r="C1" s="7"/>
      <c r="D1" s="7"/>
      <c r="E1" s="7"/>
      <c r="F1" s="7"/>
      <c r="G1" s="7"/>
      <c r="H1" s="7"/>
      <c r="I1" s="7"/>
      <c r="J1" s="7"/>
      <c r="K1" s="7"/>
      <c r="L1" s="7"/>
      <c r="M1" s="7"/>
      <c r="N1" s="7"/>
    </row>
    <row r="2" spans="1:14" x14ac:dyDescent="0.45">
      <c r="A2" s="4" t="s">
        <v>18</v>
      </c>
      <c r="B2" s="7" t="s">
        <v>39</v>
      </c>
      <c r="C2" s="7"/>
      <c r="D2" s="7"/>
      <c r="E2" s="7"/>
      <c r="F2" s="7"/>
      <c r="G2" s="7"/>
      <c r="H2" s="7"/>
      <c r="I2" s="7"/>
      <c r="J2" s="7"/>
      <c r="K2" s="7"/>
      <c r="L2" s="7"/>
      <c r="M2" s="7"/>
      <c r="N2" s="7"/>
    </row>
    <row r="3" spans="1:14" x14ac:dyDescent="0.45">
      <c r="A3" s="4" t="s">
        <v>19</v>
      </c>
      <c r="B3" s="7" t="s">
        <v>34</v>
      </c>
      <c r="C3" s="7"/>
      <c r="D3" s="7"/>
      <c r="E3" s="7"/>
      <c r="F3" s="7"/>
      <c r="G3" s="7"/>
      <c r="H3" s="7"/>
      <c r="I3" s="7"/>
      <c r="J3" s="7"/>
      <c r="K3" s="7"/>
      <c r="L3" s="7"/>
      <c r="M3" s="7"/>
      <c r="N3" s="7"/>
    </row>
    <row r="4" spans="1:14" x14ac:dyDescent="0.45">
      <c r="A4" s="4" t="s">
        <v>20</v>
      </c>
      <c r="B4" s="7" t="s">
        <v>50</v>
      </c>
      <c r="C4" s="7"/>
      <c r="D4" s="7"/>
      <c r="E4" s="7"/>
      <c r="F4" s="7"/>
      <c r="G4" s="7"/>
      <c r="H4" s="7"/>
      <c r="I4" s="7"/>
      <c r="J4" s="7"/>
      <c r="K4" s="7"/>
      <c r="L4" s="7"/>
      <c r="M4" s="7"/>
      <c r="N4" s="7"/>
    </row>
    <row r="5" spans="1:14" x14ac:dyDescent="0.45">
      <c r="A5" s="4" t="s">
        <v>21</v>
      </c>
      <c r="B5" s="7" t="s">
        <v>65</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380</v>
      </c>
      <c r="D8" t="s">
        <v>381</v>
      </c>
      <c r="E8" t="s">
        <v>382</v>
      </c>
      <c r="F8" t="s">
        <v>383</v>
      </c>
      <c r="G8" t="s">
        <v>145</v>
      </c>
      <c r="H8" t="s">
        <v>384</v>
      </c>
      <c r="I8" t="s">
        <v>139</v>
      </c>
      <c r="J8" t="s">
        <v>139</v>
      </c>
      <c r="K8" t="s">
        <v>139</v>
      </c>
      <c r="M8" t="s">
        <v>139</v>
      </c>
    </row>
    <row r="9" spans="1:14" x14ac:dyDescent="0.45">
      <c r="A9" s="5" t="s">
        <v>20</v>
      </c>
      <c r="B9" s="5" t="s">
        <v>140</v>
      </c>
      <c r="C9" s="5" t="s">
        <v>385</v>
      </c>
      <c r="D9" s="5" t="s">
        <v>381</v>
      </c>
      <c r="E9" s="5" t="s">
        <v>386</v>
      </c>
      <c r="F9" s="5" t="s">
        <v>387</v>
      </c>
      <c r="G9" s="5" t="s">
        <v>145</v>
      </c>
      <c r="H9" s="5" t="s">
        <v>466</v>
      </c>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M10" t="s">
        <v>139</v>
      </c>
    </row>
    <row r="11" spans="1:14" x14ac:dyDescent="0.45">
      <c r="A11" s="6" t="s">
        <v>154</v>
      </c>
      <c r="B11" s="7"/>
      <c r="C11" s="7"/>
      <c r="D11" s="7"/>
      <c r="E11" s="7"/>
      <c r="F11" s="7"/>
      <c r="G11" s="7"/>
      <c r="H11" s="7"/>
      <c r="I11" s="7"/>
      <c r="J11" s="7"/>
      <c r="K11" s="7"/>
      <c r="L11" s="7"/>
      <c r="M11" s="7"/>
      <c r="N11" s="7"/>
    </row>
    <row r="12" spans="1:14" x14ac:dyDescent="0.45">
      <c r="A12" s="5" t="s">
        <v>155</v>
      </c>
      <c r="B12" s="5" t="s">
        <v>140</v>
      </c>
      <c r="C12" s="5" t="s">
        <v>156</v>
      </c>
      <c r="D12" s="5" t="s">
        <v>157</v>
      </c>
      <c r="E12" s="5" t="s">
        <v>158</v>
      </c>
      <c r="F12" s="5" t="s">
        <v>159</v>
      </c>
      <c r="G12" s="5" t="s">
        <v>160</v>
      </c>
      <c r="H12" s="5"/>
      <c r="I12" s="5"/>
      <c r="J12" s="5" t="s">
        <v>139</v>
      </c>
      <c r="K12" s="5"/>
      <c r="L12" s="5"/>
      <c r="M12" s="5" t="s">
        <v>139</v>
      </c>
      <c r="N12" s="5"/>
    </row>
    <row r="13" spans="1:14" x14ac:dyDescent="0.45">
      <c r="A13" t="s">
        <v>161</v>
      </c>
      <c r="B13" t="s">
        <v>140</v>
      </c>
      <c r="C13" t="s">
        <v>156</v>
      </c>
      <c r="D13" t="s">
        <v>157</v>
      </c>
      <c r="E13" t="s">
        <v>162</v>
      </c>
      <c r="F13" t="s">
        <v>159</v>
      </c>
      <c r="G13" t="s">
        <v>160</v>
      </c>
      <c r="J13" t="s">
        <v>139</v>
      </c>
      <c r="M13" t="s">
        <v>139</v>
      </c>
    </row>
    <row r="14" spans="1:14" x14ac:dyDescent="0.45">
      <c r="A14" s="5" t="s">
        <v>163</v>
      </c>
      <c r="B14" s="5" t="s">
        <v>140</v>
      </c>
      <c r="C14" s="5" t="s">
        <v>164</v>
      </c>
      <c r="D14" s="5" t="s">
        <v>157</v>
      </c>
      <c r="E14" s="5" t="s">
        <v>392</v>
      </c>
      <c r="F14" s="5" t="s">
        <v>159</v>
      </c>
      <c r="G14" s="5" t="s">
        <v>160</v>
      </c>
      <c r="H14" s="5"/>
      <c r="I14" s="5"/>
      <c r="J14" s="5"/>
      <c r="K14" s="5"/>
      <c r="L14" s="5"/>
      <c r="M14" s="5" t="s">
        <v>139</v>
      </c>
      <c r="N14" s="5"/>
    </row>
    <row r="15" spans="1:14" x14ac:dyDescent="0.45">
      <c r="A15" t="s">
        <v>166</v>
      </c>
      <c r="B15" t="s">
        <v>167</v>
      </c>
      <c r="C15" t="s">
        <v>168</v>
      </c>
      <c r="D15" t="s">
        <v>381</v>
      </c>
      <c r="E15" t="s">
        <v>209</v>
      </c>
      <c r="F15" t="s">
        <v>171</v>
      </c>
      <c r="G15" t="s">
        <v>138</v>
      </c>
      <c r="M15" t="s">
        <v>139</v>
      </c>
    </row>
    <row r="16" spans="1:14" x14ac:dyDescent="0.45">
      <c r="A16" s="5" t="s">
        <v>172</v>
      </c>
      <c r="B16" s="5" t="s">
        <v>133</v>
      </c>
      <c r="C16" s="5" t="s">
        <v>168</v>
      </c>
      <c r="D16" s="5" t="s">
        <v>381</v>
      </c>
      <c r="E16" s="5" t="s">
        <v>209</v>
      </c>
      <c r="F16" s="5" t="s">
        <v>173</v>
      </c>
      <c r="G16" s="5" t="s">
        <v>138</v>
      </c>
      <c r="H16" s="5"/>
      <c r="I16" s="5"/>
      <c r="J16" s="5"/>
      <c r="K16" s="5"/>
      <c r="L16" s="5"/>
      <c r="M16" s="5" t="s">
        <v>139</v>
      </c>
      <c r="N16" s="5"/>
    </row>
    <row r="17" spans="1:14" x14ac:dyDescent="0.45">
      <c r="A17" t="s">
        <v>174</v>
      </c>
      <c r="B17" t="s">
        <v>167</v>
      </c>
      <c r="C17" t="s">
        <v>175</v>
      </c>
      <c r="D17" t="s">
        <v>381</v>
      </c>
      <c r="E17" t="s">
        <v>393</v>
      </c>
      <c r="F17" t="s">
        <v>177</v>
      </c>
      <c r="G17" t="s">
        <v>138</v>
      </c>
      <c r="M17" t="s">
        <v>139</v>
      </c>
    </row>
    <row r="18" spans="1:14" x14ac:dyDescent="0.45">
      <c r="A18" s="5" t="s">
        <v>178</v>
      </c>
      <c r="B18" s="5" t="s">
        <v>167</v>
      </c>
      <c r="C18" s="5" t="s">
        <v>179</v>
      </c>
      <c r="D18" s="5" t="s">
        <v>394</v>
      </c>
      <c r="E18" s="5" t="s">
        <v>395</v>
      </c>
      <c r="F18" s="5" t="s">
        <v>396</v>
      </c>
      <c r="G18" s="5" t="s">
        <v>397</v>
      </c>
      <c r="H18" s="5"/>
      <c r="I18" s="5"/>
      <c r="J18" s="5"/>
      <c r="K18" s="5" t="s">
        <v>139</v>
      </c>
      <c r="L18" s="5"/>
      <c r="M18" s="5" t="s">
        <v>139</v>
      </c>
      <c r="N18" s="5"/>
    </row>
    <row r="19" spans="1:14" x14ac:dyDescent="0.45">
      <c r="A19" t="s">
        <v>181</v>
      </c>
      <c r="B19" t="s">
        <v>167</v>
      </c>
      <c r="C19" t="s">
        <v>179</v>
      </c>
      <c r="D19" t="s">
        <v>394</v>
      </c>
      <c r="E19" t="s">
        <v>395</v>
      </c>
      <c r="F19" t="s">
        <v>398</v>
      </c>
      <c r="G19" t="s">
        <v>397</v>
      </c>
      <c r="K19" t="s">
        <v>139</v>
      </c>
      <c r="M19" t="s">
        <v>139</v>
      </c>
    </row>
    <row r="20" spans="1:14" x14ac:dyDescent="0.45">
      <c r="A20" s="5" t="s">
        <v>182</v>
      </c>
      <c r="B20" s="5" t="s">
        <v>133</v>
      </c>
      <c r="C20" s="5" t="s">
        <v>183</v>
      </c>
      <c r="D20" s="5" t="s">
        <v>381</v>
      </c>
      <c r="E20" s="5" t="s">
        <v>451</v>
      </c>
      <c r="F20" s="5" t="s">
        <v>185</v>
      </c>
      <c r="G20" s="5" t="s">
        <v>182</v>
      </c>
      <c r="H20" s="5" t="s">
        <v>186</v>
      </c>
      <c r="I20" s="5"/>
      <c r="J20" s="5" t="s">
        <v>139</v>
      </c>
      <c r="K20" s="5"/>
      <c r="L20" s="5"/>
      <c r="M20" s="5" t="s">
        <v>139</v>
      </c>
      <c r="N20" s="5"/>
    </row>
    <row r="21" spans="1:14" x14ac:dyDescent="0.45">
      <c r="A21" t="s">
        <v>187</v>
      </c>
      <c r="B21" t="s">
        <v>140</v>
      </c>
      <c r="C21" t="s">
        <v>188</v>
      </c>
      <c r="D21" t="s">
        <v>157</v>
      </c>
      <c r="E21" t="s">
        <v>189</v>
      </c>
      <c r="F21" t="s">
        <v>159</v>
      </c>
      <c r="G21" t="s">
        <v>160</v>
      </c>
      <c r="M21" t="s">
        <v>139</v>
      </c>
    </row>
    <row r="22" spans="1:14" x14ac:dyDescent="0.45">
      <c r="A22" s="5" t="s">
        <v>190</v>
      </c>
      <c r="B22" s="5" t="s">
        <v>140</v>
      </c>
      <c r="C22" s="5" t="s">
        <v>191</v>
      </c>
      <c r="D22" s="5" t="s">
        <v>157</v>
      </c>
      <c r="E22" s="5" t="s">
        <v>192</v>
      </c>
      <c r="F22" s="5" t="s">
        <v>159</v>
      </c>
      <c r="G22" s="5" t="s">
        <v>160</v>
      </c>
      <c r="H22" s="5"/>
      <c r="I22" s="5"/>
      <c r="J22" s="5"/>
      <c r="K22" s="5"/>
      <c r="L22" s="5"/>
      <c r="M22" s="5" t="s">
        <v>139</v>
      </c>
      <c r="N22" s="5"/>
    </row>
    <row r="23" spans="1:14" x14ac:dyDescent="0.45">
      <c r="A23" t="s">
        <v>193</v>
      </c>
      <c r="B23" t="s">
        <v>140</v>
      </c>
      <c r="C23" t="s">
        <v>194</v>
      </c>
      <c r="D23" t="s">
        <v>157</v>
      </c>
      <c r="E23" t="s">
        <v>195</v>
      </c>
      <c r="F23" t="s">
        <v>159</v>
      </c>
      <c r="G23" t="s">
        <v>160</v>
      </c>
      <c r="M23" t="s">
        <v>139</v>
      </c>
    </row>
    <row r="24" spans="1:14" x14ac:dyDescent="0.45">
      <c r="A24" s="5" t="s">
        <v>196</v>
      </c>
      <c r="B24" s="5" t="s">
        <v>140</v>
      </c>
      <c r="C24" s="5" t="s">
        <v>197</v>
      </c>
      <c r="D24" s="5" t="s">
        <v>157</v>
      </c>
      <c r="E24" s="5" t="s">
        <v>198</v>
      </c>
      <c r="F24" s="5" t="s">
        <v>159</v>
      </c>
      <c r="G24" s="5" t="s">
        <v>160</v>
      </c>
      <c r="H24" s="5"/>
      <c r="I24" s="5"/>
      <c r="J24" s="5"/>
      <c r="K24" s="5"/>
      <c r="L24" s="5"/>
      <c r="M24" s="5" t="s">
        <v>139</v>
      </c>
      <c r="N24" s="5"/>
    </row>
    <row r="25" spans="1:14" x14ac:dyDescent="0.45">
      <c r="A25" t="s">
        <v>199</v>
      </c>
      <c r="B25" t="s">
        <v>140</v>
      </c>
      <c r="C25" t="s">
        <v>200</v>
      </c>
      <c r="D25" t="s">
        <v>157</v>
      </c>
      <c r="E25" t="s">
        <v>201</v>
      </c>
      <c r="F25" t="s">
        <v>159</v>
      </c>
      <c r="G25" t="s">
        <v>160</v>
      </c>
      <c r="M25" t="s">
        <v>139</v>
      </c>
    </row>
    <row r="26" spans="1:14" x14ac:dyDescent="0.45">
      <c r="A26" s="5" t="s">
        <v>202</v>
      </c>
      <c r="B26" s="5" t="s">
        <v>140</v>
      </c>
      <c r="C26" s="5" t="s">
        <v>203</v>
      </c>
      <c r="D26" s="5" t="s">
        <v>157</v>
      </c>
      <c r="E26" s="5" t="s">
        <v>204</v>
      </c>
      <c r="F26" s="5" t="s">
        <v>159</v>
      </c>
      <c r="G26" s="5" t="s">
        <v>160</v>
      </c>
      <c r="H26" s="5"/>
      <c r="I26" s="5"/>
      <c r="J26" s="5"/>
      <c r="K26" s="5"/>
      <c r="L26" s="5"/>
      <c r="M26" s="5" t="s">
        <v>139</v>
      </c>
      <c r="N26" s="5"/>
    </row>
    <row r="27" spans="1:14" x14ac:dyDescent="0.45">
      <c r="A27" t="s">
        <v>205</v>
      </c>
      <c r="B27" t="s">
        <v>140</v>
      </c>
      <c r="C27" t="s">
        <v>206</v>
      </c>
      <c r="D27" t="s">
        <v>157</v>
      </c>
      <c r="E27" t="s">
        <v>204</v>
      </c>
      <c r="F27" t="s">
        <v>159</v>
      </c>
      <c r="G27" t="s">
        <v>160</v>
      </c>
      <c r="J27" t="s">
        <v>139</v>
      </c>
      <c r="K27" t="s">
        <v>139</v>
      </c>
      <c r="M27" t="s">
        <v>139</v>
      </c>
    </row>
    <row r="28" spans="1:14" x14ac:dyDescent="0.45">
      <c r="A28" s="5" t="s">
        <v>207</v>
      </c>
      <c r="B28" s="5" t="s">
        <v>133</v>
      </c>
      <c r="C28" s="5" t="s">
        <v>208</v>
      </c>
      <c r="D28" s="5" t="s">
        <v>381</v>
      </c>
      <c r="E28" s="5" t="s">
        <v>209</v>
      </c>
      <c r="F28" s="5" t="s">
        <v>210</v>
      </c>
      <c r="G28" s="5" t="s">
        <v>138</v>
      </c>
      <c r="H28" s="5" t="s">
        <v>211</v>
      </c>
      <c r="I28" s="5"/>
      <c r="J28" s="5" t="s">
        <v>139</v>
      </c>
      <c r="K28" s="5"/>
      <c r="L28" s="5"/>
      <c r="M28" s="5" t="s">
        <v>139</v>
      </c>
      <c r="N28" s="5"/>
    </row>
    <row r="29" spans="1:14" x14ac:dyDescent="0.45">
      <c r="A29" t="s">
        <v>212</v>
      </c>
      <c r="B29" t="s">
        <v>140</v>
      </c>
      <c r="C29" t="s">
        <v>213</v>
      </c>
      <c r="D29" t="s">
        <v>214</v>
      </c>
      <c r="E29" t="s">
        <v>215</v>
      </c>
      <c r="F29" t="s">
        <v>400</v>
      </c>
      <c r="G29" t="s">
        <v>138</v>
      </c>
      <c r="J29" t="s">
        <v>139</v>
      </c>
      <c r="M29" t="s">
        <v>139</v>
      </c>
    </row>
    <row r="30" spans="1:14" x14ac:dyDescent="0.45">
      <c r="A30" s="6" t="s">
        <v>216</v>
      </c>
      <c r="B30" s="7"/>
      <c r="C30" s="7"/>
      <c r="D30" s="7"/>
      <c r="E30" s="7"/>
      <c r="F30" s="7"/>
      <c r="G30" s="7"/>
      <c r="H30" s="7"/>
      <c r="I30" s="7"/>
      <c r="J30" s="7"/>
      <c r="K30" s="7"/>
      <c r="L30" s="7"/>
      <c r="M30" s="7"/>
      <c r="N30" s="7"/>
    </row>
    <row r="31" spans="1:14" x14ac:dyDescent="0.45">
      <c r="A31" s="5" t="s">
        <v>217</v>
      </c>
      <c r="B31" s="5" t="s">
        <v>140</v>
      </c>
      <c r="C31" s="5" t="s">
        <v>218</v>
      </c>
      <c r="D31" s="5" t="s">
        <v>157</v>
      </c>
      <c r="E31" s="5" t="s">
        <v>219</v>
      </c>
      <c r="F31" s="5" t="s">
        <v>159</v>
      </c>
      <c r="G31" s="5" t="s">
        <v>160</v>
      </c>
      <c r="H31" s="5"/>
      <c r="I31" s="5" t="s">
        <v>139</v>
      </c>
      <c r="J31" s="5" t="s">
        <v>139</v>
      </c>
      <c r="K31" s="5"/>
      <c r="L31" s="5"/>
      <c r="M31" s="5" t="s">
        <v>139</v>
      </c>
      <c r="N31" s="5"/>
    </row>
    <row r="32" spans="1:14" x14ac:dyDescent="0.45">
      <c r="A32" t="s">
        <v>220</v>
      </c>
      <c r="B32" t="s">
        <v>140</v>
      </c>
      <c r="C32" t="s">
        <v>221</v>
      </c>
      <c r="D32" t="s">
        <v>157</v>
      </c>
      <c r="E32" t="s">
        <v>222</v>
      </c>
      <c r="F32" t="s">
        <v>159</v>
      </c>
      <c r="G32" t="s">
        <v>160</v>
      </c>
      <c r="I32" t="s">
        <v>139</v>
      </c>
      <c r="J32" t="s">
        <v>139</v>
      </c>
      <c r="M32" t="s">
        <v>139</v>
      </c>
    </row>
    <row r="33" spans="1:14" x14ac:dyDescent="0.45">
      <c r="A33" s="5" t="s">
        <v>223</v>
      </c>
      <c r="B33" s="5" t="s">
        <v>224</v>
      </c>
      <c r="C33" s="5" t="s">
        <v>225</v>
      </c>
      <c r="D33" s="5" t="s">
        <v>401</v>
      </c>
      <c r="E33" s="5" t="s">
        <v>227</v>
      </c>
      <c r="F33" s="5" t="s">
        <v>228</v>
      </c>
      <c r="G33" s="5" t="s">
        <v>138</v>
      </c>
      <c r="H33" s="5"/>
      <c r="I33" s="5"/>
      <c r="J33" s="5"/>
      <c r="K33" s="5"/>
      <c r="L33" s="5"/>
      <c r="M33" s="5" t="s">
        <v>139</v>
      </c>
      <c r="N33" s="5"/>
    </row>
    <row r="34" spans="1:14" x14ac:dyDescent="0.45">
      <c r="A34" t="s">
        <v>229</v>
      </c>
      <c r="B34" t="s">
        <v>167</v>
      </c>
      <c r="C34" t="s">
        <v>225</v>
      </c>
      <c r="D34" t="s">
        <v>401</v>
      </c>
      <c r="E34" t="s">
        <v>227</v>
      </c>
      <c r="F34" t="s">
        <v>230</v>
      </c>
      <c r="G34" t="s">
        <v>138</v>
      </c>
      <c r="M34" t="s">
        <v>139</v>
      </c>
    </row>
    <row r="35" spans="1:14" x14ac:dyDescent="0.45">
      <c r="A35" s="5" t="s">
        <v>231</v>
      </c>
      <c r="B35" s="5" t="s">
        <v>167</v>
      </c>
      <c r="C35" s="5" t="s">
        <v>225</v>
      </c>
      <c r="D35" s="5" t="s">
        <v>401</v>
      </c>
      <c r="E35" s="5" t="s">
        <v>227</v>
      </c>
      <c r="F35" s="5" t="s">
        <v>232</v>
      </c>
      <c r="G35" s="5" t="s">
        <v>138</v>
      </c>
      <c r="H35" s="5"/>
      <c r="I35" s="5"/>
      <c r="J35" s="5"/>
      <c r="K35" s="5"/>
      <c r="L35" s="5"/>
      <c r="M35" s="5" t="s">
        <v>139</v>
      </c>
      <c r="N35" s="5"/>
    </row>
    <row r="36" spans="1:14" x14ac:dyDescent="0.45">
      <c r="A36" t="s">
        <v>233</v>
      </c>
      <c r="B36" t="s">
        <v>224</v>
      </c>
      <c r="C36" t="s">
        <v>225</v>
      </c>
      <c r="D36" t="s">
        <v>401</v>
      </c>
      <c r="E36" t="s">
        <v>227</v>
      </c>
      <c r="F36" t="s">
        <v>234</v>
      </c>
      <c r="G36" t="s">
        <v>138</v>
      </c>
      <c r="M36" t="s">
        <v>139</v>
      </c>
    </row>
    <row r="37" spans="1:14" x14ac:dyDescent="0.45">
      <c r="A37" s="5" t="s">
        <v>235</v>
      </c>
      <c r="B37" s="5" t="s">
        <v>133</v>
      </c>
      <c r="C37" s="5" t="s">
        <v>236</v>
      </c>
      <c r="D37" s="5" t="s">
        <v>381</v>
      </c>
      <c r="E37" s="5" t="s">
        <v>402</v>
      </c>
      <c r="F37" s="5" t="s">
        <v>239</v>
      </c>
      <c r="G37" s="5" t="s">
        <v>145</v>
      </c>
      <c r="H37" s="5"/>
      <c r="I37" s="5" t="s">
        <v>139</v>
      </c>
      <c r="J37" s="5" t="s">
        <v>139</v>
      </c>
      <c r="K37" s="5" t="s">
        <v>139</v>
      </c>
      <c r="L37" s="5"/>
      <c r="M37" s="5" t="s">
        <v>139</v>
      </c>
      <c r="N37" s="5"/>
    </row>
    <row r="38" spans="1:14" x14ac:dyDescent="0.45">
      <c r="A38" t="s">
        <v>240</v>
      </c>
      <c r="B38" t="s">
        <v>140</v>
      </c>
      <c r="C38" t="s">
        <v>241</v>
      </c>
      <c r="D38" t="s">
        <v>157</v>
      </c>
      <c r="E38" t="s">
        <v>242</v>
      </c>
      <c r="F38" t="s">
        <v>159</v>
      </c>
      <c r="G38" t="s">
        <v>160</v>
      </c>
      <c r="J38" t="s">
        <v>139</v>
      </c>
      <c r="K38" t="s">
        <v>139</v>
      </c>
      <c r="M38" t="s">
        <v>139</v>
      </c>
    </row>
    <row r="39" spans="1:14" x14ac:dyDescent="0.45">
      <c r="A39" s="5" t="s">
        <v>243</v>
      </c>
      <c r="B39" s="5" t="s">
        <v>140</v>
      </c>
      <c r="C39" s="5" t="s">
        <v>244</v>
      </c>
      <c r="D39" s="5" t="s">
        <v>157</v>
      </c>
      <c r="E39" s="5" t="s">
        <v>242</v>
      </c>
      <c r="F39" s="5" t="s">
        <v>159</v>
      </c>
      <c r="G39" s="5" t="s">
        <v>160</v>
      </c>
      <c r="H39" s="5"/>
      <c r="I39" s="5"/>
      <c r="J39" s="5" t="s">
        <v>139</v>
      </c>
      <c r="K39" s="5"/>
      <c r="L39" s="5"/>
      <c r="M39" s="5" t="s">
        <v>139</v>
      </c>
      <c r="N39" s="5"/>
    </row>
    <row r="40" spans="1:14" x14ac:dyDescent="0.45">
      <c r="A40" t="s">
        <v>245</v>
      </c>
      <c r="B40" t="s">
        <v>140</v>
      </c>
      <c r="C40" t="s">
        <v>246</v>
      </c>
      <c r="D40" t="s">
        <v>157</v>
      </c>
      <c r="E40" t="s">
        <v>247</v>
      </c>
      <c r="F40" t="s">
        <v>159</v>
      </c>
      <c r="G40" t="s">
        <v>160</v>
      </c>
      <c r="M40" t="s">
        <v>139</v>
      </c>
    </row>
    <row r="41" spans="1:14" x14ac:dyDescent="0.45">
      <c r="A41" s="5" t="s">
        <v>248</v>
      </c>
      <c r="B41" s="5" t="s">
        <v>140</v>
      </c>
      <c r="C41" s="5" t="s">
        <v>249</v>
      </c>
      <c r="D41" s="5" t="s">
        <v>157</v>
      </c>
      <c r="E41" s="5" t="s">
        <v>247</v>
      </c>
      <c r="F41" s="5" t="s">
        <v>159</v>
      </c>
      <c r="G41" s="5" t="s">
        <v>160</v>
      </c>
      <c r="H41" s="5"/>
      <c r="I41" s="5"/>
      <c r="J41" s="5" t="s">
        <v>139</v>
      </c>
      <c r="K41" s="5" t="s">
        <v>139</v>
      </c>
      <c r="L41" s="5"/>
      <c r="M41" s="5" t="s">
        <v>139</v>
      </c>
      <c r="N41" s="5"/>
    </row>
    <row r="42" spans="1:14" x14ac:dyDescent="0.45">
      <c r="A42" t="s">
        <v>250</v>
      </c>
      <c r="B42" t="s">
        <v>140</v>
      </c>
      <c r="C42" t="s">
        <v>251</v>
      </c>
      <c r="D42" t="s">
        <v>157</v>
      </c>
      <c r="E42" t="s">
        <v>252</v>
      </c>
      <c r="F42" t="s">
        <v>159</v>
      </c>
      <c r="G42" t="s">
        <v>160</v>
      </c>
      <c r="J42" t="s">
        <v>139</v>
      </c>
      <c r="M42" t="s">
        <v>139</v>
      </c>
    </row>
    <row r="43" spans="1:14" x14ac:dyDescent="0.45">
      <c r="A43" s="5" t="s">
        <v>253</v>
      </c>
      <c r="B43" s="5" t="s">
        <v>140</v>
      </c>
      <c r="C43" s="5" t="s">
        <v>251</v>
      </c>
      <c r="D43" s="5" t="s">
        <v>157</v>
      </c>
      <c r="E43" s="5" t="s">
        <v>252</v>
      </c>
      <c r="F43" s="5" t="s">
        <v>159</v>
      </c>
      <c r="G43" s="5" t="s">
        <v>160</v>
      </c>
      <c r="H43" s="5"/>
      <c r="I43" s="5"/>
      <c r="J43" s="5" t="s">
        <v>139</v>
      </c>
      <c r="K43" s="5"/>
      <c r="L43" s="5"/>
      <c r="M43" s="5" t="s">
        <v>139</v>
      </c>
      <c r="N43" s="5"/>
    </row>
    <row r="44" spans="1:14" x14ac:dyDescent="0.45">
      <c r="A44" t="s">
        <v>254</v>
      </c>
      <c r="B44" t="s">
        <v>140</v>
      </c>
      <c r="C44" t="s">
        <v>255</v>
      </c>
      <c r="D44" t="s">
        <v>157</v>
      </c>
      <c r="E44" t="s">
        <v>256</v>
      </c>
      <c r="F44" t="s">
        <v>159</v>
      </c>
      <c r="G44" t="s">
        <v>160</v>
      </c>
      <c r="I44" t="s">
        <v>139</v>
      </c>
      <c r="M44" t="s">
        <v>139</v>
      </c>
    </row>
    <row r="45" spans="1:14" x14ac:dyDescent="0.45">
      <c r="A45" s="5" t="s">
        <v>257</v>
      </c>
      <c r="B45" s="5" t="s">
        <v>140</v>
      </c>
      <c r="C45" s="5" t="s">
        <v>258</v>
      </c>
      <c r="D45" s="5" t="s">
        <v>157</v>
      </c>
      <c r="E45" s="5" t="s">
        <v>242</v>
      </c>
      <c r="F45" s="5" t="s">
        <v>159</v>
      </c>
      <c r="G45" s="5" t="s">
        <v>160</v>
      </c>
      <c r="H45" s="5"/>
      <c r="I45" s="5" t="s">
        <v>139</v>
      </c>
      <c r="J45" s="5" t="s">
        <v>139</v>
      </c>
      <c r="K45" s="5"/>
      <c r="L45" s="5"/>
      <c r="M45" s="5" t="s">
        <v>139</v>
      </c>
      <c r="N45" s="5"/>
    </row>
    <row r="46" spans="1:14" x14ac:dyDescent="0.45">
      <c r="A46" t="s">
        <v>259</v>
      </c>
      <c r="B46" t="s">
        <v>140</v>
      </c>
      <c r="C46" t="s">
        <v>260</v>
      </c>
      <c r="D46" t="s">
        <v>157</v>
      </c>
      <c r="E46" t="s">
        <v>242</v>
      </c>
      <c r="F46" t="s">
        <v>159</v>
      </c>
      <c r="G46" t="s">
        <v>160</v>
      </c>
      <c r="M46" t="s">
        <v>139</v>
      </c>
    </row>
    <row r="47" spans="1:14" x14ac:dyDescent="0.45">
      <c r="A47" s="5" t="s">
        <v>261</v>
      </c>
      <c r="B47" s="5" t="s">
        <v>224</v>
      </c>
      <c r="C47" s="5" t="s">
        <v>262</v>
      </c>
      <c r="D47" s="5" t="s">
        <v>381</v>
      </c>
      <c r="E47" s="5" t="s">
        <v>263</v>
      </c>
      <c r="F47" s="5" t="s">
        <v>264</v>
      </c>
      <c r="G47" s="5" t="s">
        <v>138</v>
      </c>
      <c r="H47" s="5" t="s">
        <v>265</v>
      </c>
      <c r="I47" s="5"/>
      <c r="J47" s="5"/>
      <c r="K47" s="5"/>
      <c r="L47" s="5"/>
      <c r="M47" s="5" t="s">
        <v>139</v>
      </c>
      <c r="N47" s="5"/>
    </row>
    <row r="48" spans="1:14" x14ac:dyDescent="0.45">
      <c r="A48" t="s">
        <v>266</v>
      </c>
      <c r="B48" t="s">
        <v>167</v>
      </c>
      <c r="C48" t="s">
        <v>267</v>
      </c>
      <c r="D48" t="s">
        <v>401</v>
      </c>
      <c r="E48" t="s">
        <v>268</v>
      </c>
      <c r="F48" t="s">
        <v>269</v>
      </c>
      <c r="G48" t="s">
        <v>138</v>
      </c>
      <c r="M48" t="s">
        <v>139</v>
      </c>
    </row>
    <row r="49" spans="1:14" x14ac:dyDescent="0.45">
      <c r="A49" s="6" t="s">
        <v>271</v>
      </c>
      <c r="B49" s="7"/>
      <c r="C49" s="7"/>
      <c r="D49" s="7"/>
      <c r="E49" s="7"/>
      <c r="F49" s="7"/>
      <c r="G49" s="7"/>
      <c r="H49" s="7"/>
      <c r="I49" s="7"/>
      <c r="J49" s="7"/>
      <c r="K49" s="7"/>
      <c r="L49" s="7"/>
      <c r="M49" s="7"/>
      <c r="N49" s="7"/>
    </row>
    <row r="50" spans="1:14" x14ac:dyDescent="0.45">
      <c r="A50" s="5" t="s">
        <v>272</v>
      </c>
      <c r="B50" s="5" t="s">
        <v>224</v>
      </c>
      <c r="C50" s="5" t="s">
        <v>273</v>
      </c>
      <c r="D50" s="5" t="s">
        <v>403</v>
      </c>
      <c r="E50" s="5" t="s">
        <v>275</v>
      </c>
      <c r="F50" s="5" t="s">
        <v>276</v>
      </c>
      <c r="G50" s="5" t="s">
        <v>145</v>
      </c>
      <c r="H50" s="5" t="s">
        <v>404</v>
      </c>
      <c r="I50" s="5"/>
      <c r="J50" s="5"/>
      <c r="K50" s="5"/>
      <c r="L50" s="5"/>
      <c r="M50" s="5" t="s">
        <v>139</v>
      </c>
      <c r="N50" s="5"/>
    </row>
    <row r="51" spans="1:14" x14ac:dyDescent="0.45">
      <c r="A51" t="s">
        <v>277</v>
      </c>
      <c r="B51" t="s">
        <v>224</v>
      </c>
      <c r="C51" t="s">
        <v>273</v>
      </c>
      <c r="D51" t="s">
        <v>403</v>
      </c>
      <c r="E51" t="s">
        <v>275</v>
      </c>
      <c r="F51" t="s">
        <v>278</v>
      </c>
      <c r="G51" t="s">
        <v>145</v>
      </c>
      <c r="H51" t="s">
        <v>404</v>
      </c>
      <c r="M51" t="s">
        <v>139</v>
      </c>
    </row>
    <row r="52" spans="1:14" x14ac:dyDescent="0.45">
      <c r="A52" s="5" t="s">
        <v>405</v>
      </c>
      <c r="B52" s="5" t="s">
        <v>280</v>
      </c>
      <c r="C52" s="5" t="s">
        <v>273</v>
      </c>
      <c r="D52" s="5" t="s">
        <v>381</v>
      </c>
      <c r="E52" s="5" t="s">
        <v>406</v>
      </c>
      <c r="F52" s="5" t="s">
        <v>407</v>
      </c>
      <c r="G52" s="5" t="s">
        <v>145</v>
      </c>
      <c r="H52" s="5"/>
      <c r="I52" s="5"/>
      <c r="J52" s="5"/>
      <c r="K52" s="5"/>
      <c r="L52" s="5"/>
      <c r="M52" s="5" t="s">
        <v>139</v>
      </c>
      <c r="N52" s="5"/>
    </row>
    <row r="53" spans="1:14" x14ac:dyDescent="0.45">
      <c r="A53" t="s">
        <v>279</v>
      </c>
      <c r="B53" t="s">
        <v>280</v>
      </c>
      <c r="C53" t="s">
        <v>273</v>
      </c>
      <c r="D53" t="s">
        <v>381</v>
      </c>
      <c r="E53" t="s">
        <v>281</v>
      </c>
      <c r="F53" t="s">
        <v>282</v>
      </c>
      <c r="G53" t="s">
        <v>145</v>
      </c>
      <c r="M53" t="s">
        <v>139</v>
      </c>
    </row>
    <row r="54" spans="1:14" x14ac:dyDescent="0.45">
      <c r="A54" s="5" t="s">
        <v>283</v>
      </c>
      <c r="B54" s="5" t="s">
        <v>280</v>
      </c>
      <c r="C54" s="5" t="s">
        <v>273</v>
      </c>
      <c r="D54" s="5" t="s">
        <v>381</v>
      </c>
      <c r="E54" s="5" t="s">
        <v>284</v>
      </c>
      <c r="F54" s="5" t="s">
        <v>285</v>
      </c>
      <c r="G54" s="5" t="s">
        <v>145</v>
      </c>
      <c r="H54" s="5"/>
      <c r="I54" s="5"/>
      <c r="J54" s="5"/>
      <c r="K54" s="5"/>
      <c r="L54" s="5"/>
      <c r="M54" s="5" t="s">
        <v>139</v>
      </c>
      <c r="N54" s="5"/>
    </row>
    <row r="55" spans="1:14" x14ac:dyDescent="0.45">
      <c r="A55" t="s">
        <v>286</v>
      </c>
      <c r="B55" t="s">
        <v>280</v>
      </c>
      <c r="C55" t="s">
        <v>273</v>
      </c>
      <c r="D55" t="s">
        <v>381</v>
      </c>
      <c r="E55" t="s">
        <v>287</v>
      </c>
      <c r="F55" t="s">
        <v>288</v>
      </c>
      <c r="G55" t="s">
        <v>145</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c r="M57" s="5" t="s">
        <v>139</v>
      </c>
      <c r="N57" s="5"/>
    </row>
    <row r="58" spans="1:14" x14ac:dyDescent="0.45">
      <c r="A58" t="s">
        <v>294</v>
      </c>
      <c r="B58" t="s">
        <v>140</v>
      </c>
      <c r="C58" t="s">
        <v>291</v>
      </c>
      <c r="D58" t="s">
        <v>292</v>
      </c>
      <c r="E58" t="s">
        <v>295</v>
      </c>
      <c r="F58" t="s">
        <v>159</v>
      </c>
      <c r="G58" t="s">
        <v>160</v>
      </c>
      <c r="I58" t="s">
        <v>139</v>
      </c>
      <c r="J58" t="s">
        <v>139</v>
      </c>
      <c r="M58" t="s">
        <v>139</v>
      </c>
    </row>
    <row r="59" spans="1:14" x14ac:dyDescent="0.45">
      <c r="A59" s="5" t="s">
        <v>296</v>
      </c>
      <c r="B59" s="5" t="s">
        <v>133</v>
      </c>
      <c r="C59" s="5" t="s">
        <v>297</v>
      </c>
      <c r="D59" s="5" t="s">
        <v>381</v>
      </c>
      <c r="E59" s="5" t="s">
        <v>413</v>
      </c>
      <c r="F59" s="5" t="s">
        <v>299</v>
      </c>
      <c r="G59" s="5" t="s">
        <v>138</v>
      </c>
      <c r="H59" s="5"/>
      <c r="I59" s="5" t="s">
        <v>139</v>
      </c>
      <c r="J59" s="5" t="s">
        <v>139</v>
      </c>
      <c r="K59" s="5" t="s">
        <v>139</v>
      </c>
      <c r="L59" s="5"/>
      <c r="M59" s="5" t="s">
        <v>139</v>
      </c>
      <c r="N59" s="5"/>
    </row>
    <row r="60" spans="1:14" x14ac:dyDescent="0.45">
      <c r="A60" t="s">
        <v>300</v>
      </c>
      <c r="B60" t="s">
        <v>140</v>
      </c>
      <c r="C60" t="s">
        <v>301</v>
      </c>
      <c r="D60" t="s">
        <v>135</v>
      </c>
      <c r="E60" t="s">
        <v>302</v>
      </c>
      <c r="F60" t="s">
        <v>159</v>
      </c>
      <c r="G60" t="s">
        <v>160</v>
      </c>
      <c r="J60" t="s">
        <v>139</v>
      </c>
      <c r="M60" t="s">
        <v>139</v>
      </c>
    </row>
    <row r="61" spans="1:14" x14ac:dyDescent="0.45">
      <c r="A61" s="5" t="s">
        <v>303</v>
      </c>
      <c r="B61" s="5" t="s">
        <v>140</v>
      </c>
      <c r="C61" s="5" t="s">
        <v>304</v>
      </c>
      <c r="D61" s="5" t="s">
        <v>135</v>
      </c>
      <c r="E61" s="5" t="s">
        <v>305</v>
      </c>
      <c r="F61" s="5" t="s">
        <v>159</v>
      </c>
      <c r="G61" s="5" t="s">
        <v>160</v>
      </c>
      <c r="H61" s="5"/>
      <c r="I61" s="5"/>
      <c r="J61" s="5" t="s">
        <v>139</v>
      </c>
      <c r="K61" s="5"/>
      <c r="L61" s="5"/>
      <c r="M61" s="5" t="s">
        <v>139</v>
      </c>
      <c r="N61" s="5"/>
    </row>
    <row r="62" spans="1:14" x14ac:dyDescent="0.45">
      <c r="A62" t="s">
        <v>306</v>
      </c>
      <c r="B62" t="s">
        <v>133</v>
      </c>
      <c r="C62" t="s">
        <v>308</v>
      </c>
      <c r="D62" t="s">
        <v>414</v>
      </c>
      <c r="E62" t="s">
        <v>415</v>
      </c>
      <c r="F62" t="s">
        <v>457</v>
      </c>
      <c r="G62" t="s">
        <v>138</v>
      </c>
      <c r="H62" t="s">
        <v>458</v>
      </c>
      <c r="I62" t="s">
        <v>139</v>
      </c>
      <c r="J62" t="s">
        <v>139</v>
      </c>
      <c r="M62" t="s">
        <v>139</v>
      </c>
    </row>
    <row r="63" spans="1:14" x14ac:dyDescent="0.45">
      <c r="A63" s="5" t="s">
        <v>311</v>
      </c>
      <c r="B63" s="5" t="s">
        <v>140</v>
      </c>
      <c r="C63" s="5" t="s">
        <v>312</v>
      </c>
      <c r="D63" s="5" t="s">
        <v>135</v>
      </c>
      <c r="E63" s="5" t="s">
        <v>313</v>
      </c>
      <c r="F63" s="5" t="s">
        <v>159</v>
      </c>
      <c r="G63" s="5" t="s">
        <v>160</v>
      </c>
      <c r="H63" s="5"/>
      <c r="I63" s="5" t="s">
        <v>139</v>
      </c>
      <c r="J63" s="5" t="s">
        <v>139</v>
      </c>
      <c r="K63" s="5"/>
      <c r="L63" s="5"/>
      <c r="M63" s="5" t="s">
        <v>139</v>
      </c>
      <c r="N63" s="5"/>
    </row>
    <row r="64" spans="1:14" x14ac:dyDescent="0.45">
      <c r="A64" t="s">
        <v>314</v>
      </c>
      <c r="B64" t="s">
        <v>140</v>
      </c>
      <c r="C64" t="s">
        <v>315</v>
      </c>
      <c r="D64" t="s">
        <v>135</v>
      </c>
      <c r="E64" t="s">
        <v>316</v>
      </c>
      <c r="F64" t="s">
        <v>159</v>
      </c>
      <c r="G64" t="s">
        <v>160</v>
      </c>
      <c r="J64" t="s">
        <v>139</v>
      </c>
      <c r="M64" t="s">
        <v>139</v>
      </c>
    </row>
    <row r="65" spans="1:14" x14ac:dyDescent="0.45">
      <c r="A65" s="5" t="s">
        <v>317</v>
      </c>
      <c r="B65" s="5" t="s">
        <v>133</v>
      </c>
      <c r="C65" s="5" t="s">
        <v>459</v>
      </c>
      <c r="D65" s="5" t="s">
        <v>381</v>
      </c>
      <c r="E65" s="5" t="s">
        <v>552</v>
      </c>
      <c r="F65" s="5" t="s">
        <v>319</v>
      </c>
      <c r="G65" s="5" t="s">
        <v>138</v>
      </c>
      <c r="H65" s="5" t="s">
        <v>553</v>
      </c>
      <c r="I65" s="5" t="s">
        <v>139</v>
      </c>
      <c r="J65" s="5" t="s">
        <v>139</v>
      </c>
      <c r="K65" s="5"/>
      <c r="L65" s="5"/>
      <c r="M65" s="5" t="s">
        <v>139</v>
      </c>
      <c r="N65" s="5"/>
    </row>
    <row r="66" spans="1:14" x14ac:dyDescent="0.45">
      <c r="A66" t="s">
        <v>320</v>
      </c>
      <c r="B66" t="s">
        <v>140</v>
      </c>
      <c r="C66" t="s">
        <v>321</v>
      </c>
      <c r="D66" t="s">
        <v>135</v>
      </c>
      <c r="E66" t="s">
        <v>322</v>
      </c>
      <c r="F66" t="s">
        <v>400</v>
      </c>
      <c r="G66" t="s">
        <v>160</v>
      </c>
      <c r="J66" t="s">
        <v>139</v>
      </c>
      <c r="M66" t="s">
        <v>139</v>
      </c>
    </row>
    <row r="67" spans="1:14" x14ac:dyDescent="0.45">
      <c r="A67" s="5" t="s">
        <v>323</v>
      </c>
      <c r="B67" s="5" t="s">
        <v>140</v>
      </c>
      <c r="C67" s="5" t="s">
        <v>324</v>
      </c>
      <c r="D67" s="5" t="s">
        <v>135</v>
      </c>
      <c r="E67" s="5" t="s">
        <v>325</v>
      </c>
      <c r="F67" s="5" t="s">
        <v>400</v>
      </c>
      <c r="G67" s="5" t="s">
        <v>160</v>
      </c>
      <c r="H67" s="5"/>
      <c r="I67" s="5"/>
      <c r="J67" s="5" t="s">
        <v>139</v>
      </c>
      <c r="K67" s="5"/>
      <c r="L67" s="5"/>
      <c r="M67" s="5" t="s">
        <v>139</v>
      </c>
      <c r="N67" s="5"/>
    </row>
    <row r="68" spans="1:14" x14ac:dyDescent="0.45">
      <c r="A68" t="s">
        <v>326</v>
      </c>
      <c r="B68" t="s">
        <v>140</v>
      </c>
      <c r="C68" t="s">
        <v>327</v>
      </c>
      <c r="D68" t="s">
        <v>135</v>
      </c>
      <c r="E68" t="s">
        <v>328</v>
      </c>
      <c r="F68" t="s">
        <v>400</v>
      </c>
      <c r="G68" t="s">
        <v>160</v>
      </c>
      <c r="I68" t="s">
        <v>139</v>
      </c>
      <c r="J68" t="s">
        <v>139</v>
      </c>
      <c r="M68" t="s">
        <v>139</v>
      </c>
    </row>
    <row r="69" spans="1:14" x14ac:dyDescent="0.45">
      <c r="A69" s="6" t="s">
        <v>329</v>
      </c>
      <c r="B69" s="7"/>
      <c r="C69" s="7"/>
      <c r="D69" s="7"/>
      <c r="E69" s="7"/>
      <c r="F69" s="7"/>
      <c r="G69" s="7"/>
      <c r="H69" s="7"/>
      <c r="I69" s="7"/>
      <c r="J69" s="7"/>
      <c r="K69" s="7"/>
      <c r="L69" s="7"/>
      <c r="M69" s="7"/>
      <c r="N69" s="7"/>
    </row>
    <row r="70" spans="1:14" x14ac:dyDescent="0.45">
      <c r="A70" s="5" t="s">
        <v>330</v>
      </c>
      <c r="B70" s="5" t="s">
        <v>133</v>
      </c>
      <c r="C70" s="5" t="s">
        <v>331</v>
      </c>
      <c r="D70" s="5" t="s">
        <v>381</v>
      </c>
      <c r="E70" s="5"/>
      <c r="F70" s="5" t="s">
        <v>418</v>
      </c>
      <c r="G70" s="5" t="s">
        <v>138</v>
      </c>
      <c r="H70" s="5" t="s">
        <v>460</v>
      </c>
      <c r="I70" s="5" t="s">
        <v>139</v>
      </c>
      <c r="J70" s="5" t="s">
        <v>139</v>
      </c>
      <c r="K70" s="5"/>
      <c r="L70" s="5"/>
      <c r="M70" s="5" t="s">
        <v>139</v>
      </c>
      <c r="N70" s="5"/>
    </row>
    <row r="71" spans="1:14" x14ac:dyDescent="0.45">
      <c r="A71" t="s">
        <v>333</v>
      </c>
      <c r="B71" t="s">
        <v>140</v>
      </c>
      <c r="C71" t="s">
        <v>334</v>
      </c>
      <c r="D71" t="s">
        <v>335</v>
      </c>
      <c r="E71" t="s">
        <v>336</v>
      </c>
      <c r="F71" t="s">
        <v>159</v>
      </c>
      <c r="G71" t="s">
        <v>160</v>
      </c>
      <c r="I71" t="s">
        <v>139</v>
      </c>
      <c r="J71" t="s">
        <v>139</v>
      </c>
      <c r="M71" t="s">
        <v>139</v>
      </c>
    </row>
    <row r="72" spans="1:14" x14ac:dyDescent="0.45">
      <c r="A72" s="5" t="s">
        <v>337</v>
      </c>
      <c r="B72" s="5" t="s">
        <v>140</v>
      </c>
      <c r="C72" s="5" t="s">
        <v>338</v>
      </c>
      <c r="D72" s="5" t="s">
        <v>335</v>
      </c>
      <c r="E72" s="5" t="s">
        <v>339</v>
      </c>
      <c r="F72" s="5" t="s">
        <v>159</v>
      </c>
      <c r="G72" s="5" t="s">
        <v>160</v>
      </c>
      <c r="H72" s="5"/>
      <c r="I72" s="5" t="s">
        <v>139</v>
      </c>
      <c r="J72" s="5" t="s">
        <v>139</v>
      </c>
      <c r="K72" s="5"/>
      <c r="L72" s="5"/>
      <c r="M72" s="5" t="s">
        <v>139</v>
      </c>
      <c r="N72" s="5"/>
    </row>
    <row r="73" spans="1:14" x14ac:dyDescent="0.45">
      <c r="A73" t="s">
        <v>340</v>
      </c>
      <c r="B73" t="s">
        <v>140</v>
      </c>
      <c r="C73" t="s">
        <v>341</v>
      </c>
      <c r="D73" t="s">
        <v>335</v>
      </c>
      <c r="E73" t="s">
        <v>342</v>
      </c>
      <c r="F73" t="s">
        <v>159</v>
      </c>
      <c r="G73" t="s">
        <v>160</v>
      </c>
      <c r="I73" t="s">
        <v>139</v>
      </c>
      <c r="J73" t="s">
        <v>139</v>
      </c>
      <c r="M73" t="s">
        <v>139</v>
      </c>
    </row>
    <row r="74" spans="1:14" x14ac:dyDescent="0.45">
      <c r="A74" s="5" t="s">
        <v>343</v>
      </c>
      <c r="B74" s="5" t="s">
        <v>140</v>
      </c>
      <c r="C74" s="5" t="s">
        <v>344</v>
      </c>
      <c r="D74" s="5" t="s">
        <v>135</v>
      </c>
      <c r="E74" s="5" t="s">
        <v>345</v>
      </c>
      <c r="F74" s="5" t="s">
        <v>159</v>
      </c>
      <c r="G74" s="5" t="s">
        <v>138</v>
      </c>
      <c r="H74" s="5"/>
      <c r="I74" s="5" t="s">
        <v>139</v>
      </c>
      <c r="J74" s="5" t="s">
        <v>139</v>
      </c>
      <c r="K74" s="5"/>
      <c r="L74" s="5"/>
      <c r="M74" s="5" t="s">
        <v>139</v>
      </c>
      <c r="N74" s="5"/>
    </row>
    <row r="75" spans="1:14" x14ac:dyDescent="0.45">
      <c r="A75" t="s">
        <v>346</v>
      </c>
      <c r="B75" t="s">
        <v>140</v>
      </c>
      <c r="C75" t="s">
        <v>347</v>
      </c>
      <c r="D75" t="s">
        <v>135</v>
      </c>
      <c r="E75" t="s">
        <v>345</v>
      </c>
      <c r="F75" t="s">
        <v>159</v>
      </c>
      <c r="G75" t="s">
        <v>138</v>
      </c>
      <c r="I75" t="s">
        <v>139</v>
      </c>
      <c r="J75" t="s">
        <v>139</v>
      </c>
      <c r="L75" t="s">
        <v>139</v>
      </c>
      <c r="M75" t="s">
        <v>139</v>
      </c>
    </row>
    <row r="76" spans="1:14" x14ac:dyDescent="0.45">
      <c r="A76" s="5" t="s">
        <v>348</v>
      </c>
      <c r="B76" s="5" t="s">
        <v>140</v>
      </c>
      <c r="C76" s="5" t="s">
        <v>349</v>
      </c>
      <c r="D76" s="5" t="s">
        <v>335</v>
      </c>
      <c r="E76" s="5" t="s">
        <v>350</v>
      </c>
      <c r="F76" s="5" t="s">
        <v>159</v>
      </c>
      <c r="G76" s="5" t="s">
        <v>160</v>
      </c>
      <c r="H76" s="5"/>
      <c r="I76" s="5" t="s">
        <v>139</v>
      </c>
      <c r="J76" s="5" t="s">
        <v>139</v>
      </c>
      <c r="K76" s="5"/>
      <c r="L76" s="5"/>
      <c r="M76" s="5" t="s">
        <v>139</v>
      </c>
      <c r="N76" s="5"/>
    </row>
    <row r="77" spans="1:14" x14ac:dyDescent="0.45">
      <c r="A77" t="s">
        <v>351</v>
      </c>
      <c r="B77" t="s">
        <v>133</v>
      </c>
      <c r="C77" t="s">
        <v>352</v>
      </c>
      <c r="D77" t="s">
        <v>381</v>
      </c>
      <c r="F77" t="s">
        <v>420</v>
      </c>
      <c r="G77" t="s">
        <v>138</v>
      </c>
      <c r="H77" t="s">
        <v>461</v>
      </c>
      <c r="I77" t="s">
        <v>139</v>
      </c>
      <c r="J77" t="s">
        <v>139</v>
      </c>
      <c r="M77" t="s">
        <v>139</v>
      </c>
    </row>
    <row r="78" spans="1:14" x14ac:dyDescent="0.45">
      <c r="A78" s="5" t="s">
        <v>354</v>
      </c>
      <c r="B78" s="5" t="s">
        <v>140</v>
      </c>
      <c r="C78" s="5" t="s">
        <v>355</v>
      </c>
      <c r="D78" s="5" t="s">
        <v>335</v>
      </c>
      <c r="E78" s="5" t="s">
        <v>356</v>
      </c>
      <c r="F78" s="5" t="s">
        <v>159</v>
      </c>
      <c r="G78" s="5" t="s">
        <v>160</v>
      </c>
      <c r="H78" s="5" t="s">
        <v>357</v>
      </c>
      <c r="I78" s="5" t="s">
        <v>139</v>
      </c>
      <c r="J78" s="5" t="s">
        <v>139</v>
      </c>
      <c r="K78" s="5"/>
      <c r="L78" s="5"/>
      <c r="M78" s="5" t="s">
        <v>139</v>
      </c>
      <c r="N78" s="5"/>
    </row>
    <row r="79" spans="1:14" x14ac:dyDescent="0.45">
      <c r="A79" t="s">
        <v>422</v>
      </c>
      <c r="B79" t="s">
        <v>133</v>
      </c>
      <c r="C79" t="s">
        <v>423</v>
      </c>
      <c r="D79" t="s">
        <v>424</v>
      </c>
      <c r="E79" t="s">
        <v>425</v>
      </c>
      <c r="F79" t="s">
        <v>426</v>
      </c>
      <c r="G79" t="s">
        <v>145</v>
      </c>
      <c r="J79" t="s">
        <v>139</v>
      </c>
      <c r="M79" t="s">
        <v>139</v>
      </c>
    </row>
    <row r="80" spans="1:14" x14ac:dyDescent="0.45">
      <c r="A80" s="6" t="s">
        <v>427</v>
      </c>
      <c r="B80" s="7"/>
      <c r="C80" s="7"/>
      <c r="D80" s="7"/>
      <c r="E80" s="7"/>
      <c r="F80" s="7"/>
      <c r="G80" s="7"/>
      <c r="H80" s="7"/>
      <c r="I80" s="7"/>
      <c r="J80" s="7"/>
      <c r="K80" s="7"/>
      <c r="L80" s="7"/>
      <c r="M80" s="7"/>
      <c r="N80" s="7"/>
    </row>
    <row r="81" spans="1:14" x14ac:dyDescent="0.45">
      <c r="A81" s="5" t="s">
        <v>428</v>
      </c>
      <c r="B81" s="5" t="s">
        <v>224</v>
      </c>
      <c r="C81" s="5" t="s">
        <v>554</v>
      </c>
      <c r="D81" s="5" t="s">
        <v>381</v>
      </c>
      <c r="E81" s="5" t="s">
        <v>572</v>
      </c>
      <c r="F81" s="5" t="s">
        <v>431</v>
      </c>
      <c r="G81" s="5" t="s">
        <v>145</v>
      </c>
      <c r="H81" s="5" t="s">
        <v>556</v>
      </c>
      <c r="I81" s="5" t="s">
        <v>139</v>
      </c>
      <c r="J81" s="5" t="s">
        <v>139</v>
      </c>
      <c r="K81" s="5"/>
      <c r="L81" s="5"/>
      <c r="M81" s="5" t="s">
        <v>139</v>
      </c>
      <c r="N81" s="5"/>
    </row>
    <row r="82" spans="1:14" x14ac:dyDescent="0.45">
      <c r="A82" t="s">
        <v>433</v>
      </c>
      <c r="B82" t="s">
        <v>140</v>
      </c>
      <c r="C82" t="s">
        <v>434</v>
      </c>
      <c r="D82" t="s">
        <v>435</v>
      </c>
      <c r="E82" t="s">
        <v>436</v>
      </c>
      <c r="F82" t="s">
        <v>159</v>
      </c>
      <c r="G82" t="s">
        <v>145</v>
      </c>
      <c r="H82" t="s">
        <v>556</v>
      </c>
      <c r="J82" t="s">
        <v>139</v>
      </c>
      <c r="M82" t="s">
        <v>139</v>
      </c>
    </row>
    <row r="83" spans="1:14" x14ac:dyDescent="0.45">
      <c r="A83" s="6" t="s">
        <v>358</v>
      </c>
      <c r="B83" s="7"/>
      <c r="C83" s="7"/>
      <c r="D83" s="7"/>
      <c r="E83" s="7"/>
      <c r="F83" s="7"/>
      <c r="G83" s="7"/>
      <c r="H83" s="7"/>
      <c r="I83" s="7"/>
      <c r="J83" s="7"/>
      <c r="K83" s="7"/>
      <c r="L83" s="7"/>
      <c r="M83" s="7"/>
      <c r="N83" s="7"/>
    </row>
    <row r="84" spans="1:14" x14ac:dyDescent="0.45">
      <c r="A84" s="5" t="s">
        <v>510</v>
      </c>
      <c r="B84" s="5" t="s">
        <v>133</v>
      </c>
      <c r="C84" s="5" t="s">
        <v>573</v>
      </c>
      <c r="D84" s="5" t="s">
        <v>381</v>
      </c>
      <c r="E84" s="5" t="s">
        <v>574</v>
      </c>
      <c r="F84" s="5" t="s">
        <v>575</v>
      </c>
      <c r="G84" s="5" t="s">
        <v>449</v>
      </c>
      <c r="H84" s="5"/>
      <c r="I84" s="5" t="s">
        <v>139</v>
      </c>
      <c r="J84" s="5" t="s">
        <v>139</v>
      </c>
      <c r="K84" s="5"/>
      <c r="L84" s="5"/>
      <c r="M84" s="5" t="s">
        <v>139</v>
      </c>
      <c r="N84" s="5"/>
    </row>
    <row r="85" spans="1:14" x14ac:dyDescent="0.45">
      <c r="A85" t="s">
        <v>445</v>
      </c>
      <c r="B85" t="s">
        <v>133</v>
      </c>
      <c r="C85" t="s">
        <v>446</v>
      </c>
      <c r="D85" t="s">
        <v>381</v>
      </c>
      <c r="E85" t="s">
        <v>447</v>
      </c>
      <c r="F85" t="s">
        <v>448</v>
      </c>
      <c r="G85" t="s">
        <v>449</v>
      </c>
      <c r="I85" t="s">
        <v>139</v>
      </c>
      <c r="J85" t="s">
        <v>139</v>
      </c>
      <c r="M85" t="s">
        <v>139</v>
      </c>
    </row>
    <row r="86" spans="1:14" x14ac:dyDescent="0.45">
      <c r="A86" s="5" t="s">
        <v>441</v>
      </c>
      <c r="B86" s="5" t="s">
        <v>224</v>
      </c>
      <c r="C86" s="5" t="s">
        <v>442</v>
      </c>
      <c r="D86" s="5" t="s">
        <v>381</v>
      </c>
      <c r="E86" s="5" t="s">
        <v>462</v>
      </c>
      <c r="F86" s="5" t="s">
        <v>444</v>
      </c>
      <c r="G86" s="5" t="s">
        <v>138</v>
      </c>
      <c r="H86" s="5" t="s">
        <v>463</v>
      </c>
      <c r="I86" s="5"/>
      <c r="J86" s="5"/>
      <c r="K86" s="5"/>
      <c r="L86" s="5"/>
      <c r="M86" s="5" t="s">
        <v>139</v>
      </c>
      <c r="N86" s="5"/>
    </row>
    <row r="87" spans="1:14" x14ac:dyDescent="0.45">
      <c r="A87" t="s">
        <v>452</v>
      </c>
      <c r="B87" t="s">
        <v>133</v>
      </c>
      <c r="C87" t="s">
        <v>453</v>
      </c>
      <c r="D87" t="s">
        <v>381</v>
      </c>
      <c r="E87" t="s">
        <v>454</v>
      </c>
      <c r="F87" t="s">
        <v>455</v>
      </c>
      <c r="G87" t="s">
        <v>138</v>
      </c>
      <c r="M87" t="s">
        <v>139</v>
      </c>
    </row>
  </sheetData>
  <mergeCells count="13">
    <mergeCell ref="B3:N3"/>
    <mergeCell ref="B2:N2"/>
    <mergeCell ref="A1:N1"/>
    <mergeCell ref="B4:N4"/>
    <mergeCell ref="A30:N30"/>
    <mergeCell ref="A7:N7"/>
    <mergeCell ref="A11:N11"/>
    <mergeCell ref="A49:N49"/>
    <mergeCell ref="A56:N56"/>
    <mergeCell ref="B5:N5"/>
    <mergeCell ref="A80:N80"/>
    <mergeCell ref="A69:N69"/>
    <mergeCell ref="A83:N83"/>
  </mergeCells>
  <dataValidations count="1">
    <dataValidation type="list" allowBlank="1" errorTitle="Invalid Review Status" error="Choose a review status from the list." sqref="N2:N87" xr:uid="{00000000-0002-0000-19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N104"/>
  <sheetViews>
    <sheetView workbookViewId="0">
      <pane ySplit="6" topLeftCell="A7" activePane="bottomLeft" state="frozen"/>
      <selection pane="bottomLeft"/>
    </sheetView>
  </sheetViews>
  <sheetFormatPr defaultRowHeight="14.25" x14ac:dyDescent="0.45"/>
  <cols>
    <col min="1" max="1" width="50" customWidth="1"/>
    <col min="2" max="2" width="21"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576</v>
      </c>
      <c r="B1" s="7"/>
      <c r="C1" s="7"/>
      <c r="D1" s="7"/>
      <c r="E1" s="7"/>
      <c r="F1" s="7"/>
      <c r="G1" s="7"/>
      <c r="H1" s="7"/>
      <c r="I1" s="7"/>
      <c r="J1" s="7"/>
      <c r="K1" s="7"/>
      <c r="L1" s="7"/>
      <c r="M1" s="7"/>
      <c r="N1" s="7"/>
    </row>
    <row r="2" spans="1:14" x14ac:dyDescent="0.45">
      <c r="A2" s="4" t="s">
        <v>18</v>
      </c>
      <c r="B2" s="7" t="s">
        <v>95</v>
      </c>
      <c r="C2" s="7"/>
      <c r="D2" s="7"/>
      <c r="E2" s="7"/>
      <c r="F2" s="7"/>
      <c r="G2" s="7"/>
      <c r="H2" s="7"/>
      <c r="I2" s="7"/>
      <c r="J2" s="7"/>
      <c r="K2" s="7"/>
      <c r="L2" s="7"/>
      <c r="M2" s="7"/>
      <c r="N2" s="7"/>
    </row>
    <row r="3" spans="1:14" x14ac:dyDescent="0.45">
      <c r="A3" s="4" t="s">
        <v>19</v>
      </c>
      <c r="B3" s="7" t="s">
        <v>27</v>
      </c>
      <c r="C3" s="7"/>
      <c r="D3" s="7"/>
      <c r="E3" s="7"/>
      <c r="F3" s="7"/>
      <c r="G3" s="7"/>
      <c r="H3" s="7"/>
      <c r="I3" s="7"/>
      <c r="J3" s="7"/>
      <c r="K3" s="7"/>
      <c r="L3" s="7"/>
      <c r="M3" s="7"/>
      <c r="N3" s="7"/>
    </row>
    <row r="4" spans="1:14" x14ac:dyDescent="0.45">
      <c r="A4" s="4" t="s">
        <v>20</v>
      </c>
      <c r="B4" s="7" t="s">
        <v>96</v>
      </c>
      <c r="C4" s="7"/>
      <c r="D4" s="7"/>
      <c r="E4" s="7"/>
      <c r="F4" s="7"/>
      <c r="G4" s="7"/>
      <c r="H4" s="7"/>
      <c r="I4" s="7"/>
      <c r="J4" s="7"/>
      <c r="K4" s="7"/>
      <c r="L4" s="7"/>
      <c r="M4" s="7"/>
      <c r="N4" s="7"/>
    </row>
    <row r="5" spans="1:14" x14ac:dyDescent="0.45">
      <c r="A5" s="4" t="s">
        <v>21</v>
      </c>
      <c r="B5" s="7" t="s">
        <v>31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134</v>
      </c>
      <c r="D8" t="s">
        <v>135</v>
      </c>
      <c r="E8" t="s">
        <v>577</v>
      </c>
      <c r="F8" t="s">
        <v>137</v>
      </c>
      <c r="G8" t="s">
        <v>138</v>
      </c>
      <c r="I8" t="s">
        <v>139</v>
      </c>
      <c r="J8" t="s">
        <v>139</v>
      </c>
      <c r="K8" t="s">
        <v>139</v>
      </c>
      <c r="M8" t="s">
        <v>139</v>
      </c>
    </row>
    <row r="9" spans="1:14" x14ac:dyDescent="0.45">
      <c r="A9" s="5" t="s">
        <v>20</v>
      </c>
      <c r="B9" s="5" t="s">
        <v>140</v>
      </c>
      <c r="C9" s="5" t="s">
        <v>578</v>
      </c>
      <c r="D9" s="5" t="s">
        <v>579</v>
      </c>
      <c r="E9" s="5" t="s">
        <v>580</v>
      </c>
      <c r="F9" s="5" t="s">
        <v>581</v>
      </c>
      <c r="G9" s="5" t="s">
        <v>145</v>
      </c>
      <c r="H9" s="5"/>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L10" t="s">
        <v>139</v>
      </c>
      <c r="M10" t="s">
        <v>139</v>
      </c>
    </row>
    <row r="11" spans="1:14" x14ac:dyDescent="0.45">
      <c r="A11" s="5" t="s">
        <v>149</v>
      </c>
      <c r="B11" s="5" t="s">
        <v>133</v>
      </c>
      <c r="C11" s="5" t="s">
        <v>150</v>
      </c>
      <c r="D11" s="5" t="s">
        <v>582</v>
      </c>
      <c r="E11" s="5" t="s">
        <v>583</v>
      </c>
      <c r="F11" s="5" t="s">
        <v>153</v>
      </c>
      <c r="G11" s="5" t="s">
        <v>138</v>
      </c>
      <c r="H11" s="5"/>
      <c r="I11" s="5" t="s">
        <v>139</v>
      </c>
      <c r="J11" s="5" t="s">
        <v>139</v>
      </c>
      <c r="K11" s="5"/>
      <c r="L11" s="5"/>
      <c r="M11" s="5" t="s">
        <v>139</v>
      </c>
      <c r="N11" s="5"/>
    </row>
    <row r="12" spans="1:14" x14ac:dyDescent="0.45">
      <c r="A12" s="6" t="s">
        <v>154</v>
      </c>
      <c r="B12" s="7"/>
      <c r="C12" s="7"/>
      <c r="D12" s="7"/>
      <c r="E12" s="7"/>
      <c r="F12" s="7"/>
      <c r="G12" s="7"/>
      <c r="H12" s="7"/>
      <c r="I12" s="7"/>
      <c r="J12" s="7"/>
      <c r="K12" s="7"/>
      <c r="L12" s="7"/>
      <c r="M12" s="7"/>
      <c r="N12" s="7"/>
    </row>
    <row r="13" spans="1:14" x14ac:dyDescent="0.45">
      <c r="A13" t="s">
        <v>155</v>
      </c>
      <c r="B13" t="s">
        <v>140</v>
      </c>
      <c r="C13" t="s">
        <v>156</v>
      </c>
      <c r="D13" t="s">
        <v>157</v>
      </c>
      <c r="E13" t="s">
        <v>158</v>
      </c>
      <c r="F13" t="s">
        <v>159</v>
      </c>
      <c r="G13" t="s">
        <v>160</v>
      </c>
      <c r="J13" t="s">
        <v>139</v>
      </c>
      <c r="L13" t="s">
        <v>139</v>
      </c>
      <c r="M13" t="s">
        <v>139</v>
      </c>
    </row>
    <row r="14" spans="1:14" x14ac:dyDescent="0.45">
      <c r="A14" s="5" t="s">
        <v>161</v>
      </c>
      <c r="B14" s="5" t="s">
        <v>140</v>
      </c>
      <c r="C14" s="5" t="s">
        <v>156</v>
      </c>
      <c r="D14" s="5" t="s">
        <v>157</v>
      </c>
      <c r="E14" s="5" t="s">
        <v>162</v>
      </c>
      <c r="F14" s="5" t="s">
        <v>159</v>
      </c>
      <c r="G14" s="5" t="s">
        <v>160</v>
      </c>
      <c r="H14" s="5"/>
      <c r="I14" s="5"/>
      <c r="J14" s="5" t="s">
        <v>139</v>
      </c>
      <c r="K14" s="5"/>
      <c r="L14" s="5" t="s">
        <v>139</v>
      </c>
      <c r="M14" s="5" t="s">
        <v>139</v>
      </c>
      <c r="N14" s="5"/>
    </row>
    <row r="15" spans="1:14" x14ac:dyDescent="0.45">
      <c r="A15" t="s">
        <v>163</v>
      </c>
      <c r="B15" t="s">
        <v>140</v>
      </c>
      <c r="C15" t="s">
        <v>164</v>
      </c>
      <c r="D15" t="s">
        <v>157</v>
      </c>
      <c r="E15" t="s">
        <v>392</v>
      </c>
      <c r="F15" t="s">
        <v>159</v>
      </c>
      <c r="G15" t="s">
        <v>160</v>
      </c>
      <c r="M15" t="s">
        <v>139</v>
      </c>
    </row>
    <row r="16" spans="1:14" x14ac:dyDescent="0.45">
      <c r="A16" s="5" t="s">
        <v>166</v>
      </c>
      <c r="B16" s="5" t="s">
        <v>167</v>
      </c>
      <c r="C16" s="5" t="s">
        <v>168</v>
      </c>
      <c r="D16" s="5" t="s">
        <v>169</v>
      </c>
      <c r="E16" s="5" t="s">
        <v>209</v>
      </c>
      <c r="F16" s="5" t="s">
        <v>171</v>
      </c>
      <c r="G16" s="5" t="s">
        <v>138</v>
      </c>
      <c r="H16" s="5"/>
      <c r="I16" s="5"/>
      <c r="J16" s="5"/>
      <c r="K16" s="5"/>
      <c r="L16" s="5" t="s">
        <v>139</v>
      </c>
      <c r="M16" s="5" t="s">
        <v>139</v>
      </c>
      <c r="N16" s="5"/>
    </row>
    <row r="17" spans="1:14" x14ac:dyDescent="0.45">
      <c r="A17" t="s">
        <v>172</v>
      </c>
      <c r="B17" t="s">
        <v>133</v>
      </c>
      <c r="C17" t="s">
        <v>168</v>
      </c>
      <c r="D17" t="s">
        <v>169</v>
      </c>
      <c r="E17" t="s">
        <v>209</v>
      </c>
      <c r="F17" t="s">
        <v>173</v>
      </c>
      <c r="G17" t="s">
        <v>138</v>
      </c>
      <c r="L17" t="s">
        <v>139</v>
      </c>
      <c r="M17" t="s">
        <v>139</v>
      </c>
    </row>
    <row r="18" spans="1:14" x14ac:dyDescent="0.45">
      <c r="A18" s="5" t="s">
        <v>174</v>
      </c>
      <c r="B18" s="5" t="s">
        <v>167</v>
      </c>
      <c r="C18" s="5" t="s">
        <v>175</v>
      </c>
      <c r="D18" s="5" t="s">
        <v>169</v>
      </c>
      <c r="E18" s="5" t="s">
        <v>393</v>
      </c>
      <c r="F18" s="5" t="s">
        <v>177</v>
      </c>
      <c r="G18" s="5" t="s">
        <v>138</v>
      </c>
      <c r="H18" s="5"/>
      <c r="I18" s="5"/>
      <c r="J18" s="5"/>
      <c r="K18" s="5"/>
      <c r="L18" s="5" t="s">
        <v>139</v>
      </c>
      <c r="M18" s="5" t="s">
        <v>139</v>
      </c>
      <c r="N18" s="5"/>
    </row>
    <row r="19" spans="1:14" x14ac:dyDescent="0.45">
      <c r="A19" t="s">
        <v>178</v>
      </c>
      <c r="B19" t="s">
        <v>167</v>
      </c>
      <c r="C19" t="s">
        <v>179</v>
      </c>
      <c r="D19" t="s">
        <v>584</v>
      </c>
      <c r="E19" t="s">
        <v>395</v>
      </c>
      <c r="F19" t="s">
        <v>396</v>
      </c>
      <c r="G19" t="s">
        <v>397</v>
      </c>
      <c r="K19" t="s">
        <v>139</v>
      </c>
      <c r="L19" t="s">
        <v>139</v>
      </c>
      <c r="M19" t="s">
        <v>139</v>
      </c>
    </row>
    <row r="20" spans="1:14" x14ac:dyDescent="0.45">
      <c r="A20" s="5" t="s">
        <v>181</v>
      </c>
      <c r="B20" s="5" t="s">
        <v>167</v>
      </c>
      <c r="C20" s="5" t="s">
        <v>179</v>
      </c>
      <c r="D20" s="5" t="s">
        <v>585</v>
      </c>
      <c r="E20" s="5" t="s">
        <v>395</v>
      </c>
      <c r="F20" s="5" t="s">
        <v>398</v>
      </c>
      <c r="G20" s="5" t="s">
        <v>397</v>
      </c>
      <c r="H20" s="5"/>
      <c r="I20" s="5"/>
      <c r="J20" s="5"/>
      <c r="K20" s="5" t="s">
        <v>139</v>
      </c>
      <c r="L20" s="5" t="s">
        <v>139</v>
      </c>
      <c r="M20" s="5" t="s">
        <v>139</v>
      </c>
      <c r="N20" s="5"/>
    </row>
    <row r="21" spans="1:14" x14ac:dyDescent="0.45">
      <c r="A21" t="s">
        <v>182</v>
      </c>
      <c r="B21" t="s">
        <v>133</v>
      </c>
      <c r="C21" t="s">
        <v>183</v>
      </c>
      <c r="D21" t="s">
        <v>169</v>
      </c>
      <c r="E21" t="s">
        <v>586</v>
      </c>
      <c r="F21" t="s">
        <v>185</v>
      </c>
      <c r="G21" t="s">
        <v>182</v>
      </c>
      <c r="H21" t="s">
        <v>186</v>
      </c>
      <c r="J21" t="s">
        <v>139</v>
      </c>
      <c r="L21" t="s">
        <v>139</v>
      </c>
      <c r="M21" t="s">
        <v>139</v>
      </c>
    </row>
    <row r="22" spans="1:14" x14ac:dyDescent="0.45">
      <c r="A22" s="5" t="s">
        <v>187</v>
      </c>
      <c r="B22" s="5" t="s">
        <v>140</v>
      </c>
      <c r="C22" s="5" t="s">
        <v>188</v>
      </c>
      <c r="D22" s="5" t="s">
        <v>157</v>
      </c>
      <c r="E22" s="5" t="s">
        <v>189</v>
      </c>
      <c r="F22" s="5" t="s">
        <v>159</v>
      </c>
      <c r="G22" s="5" t="s">
        <v>160</v>
      </c>
      <c r="H22" s="5"/>
      <c r="I22" s="5"/>
      <c r="J22" s="5"/>
      <c r="K22" s="5"/>
      <c r="L22" s="5" t="s">
        <v>139</v>
      </c>
      <c r="M22" s="5" t="s">
        <v>139</v>
      </c>
      <c r="N22" s="5"/>
    </row>
    <row r="23" spans="1:14" x14ac:dyDescent="0.45">
      <c r="A23" t="s">
        <v>190</v>
      </c>
      <c r="B23" t="s">
        <v>140</v>
      </c>
      <c r="C23" t="s">
        <v>191</v>
      </c>
      <c r="D23" t="s">
        <v>157</v>
      </c>
      <c r="E23" t="s">
        <v>192</v>
      </c>
      <c r="F23" t="s">
        <v>159</v>
      </c>
      <c r="G23" t="s">
        <v>160</v>
      </c>
      <c r="L23" t="s">
        <v>139</v>
      </c>
      <c r="M23" t="s">
        <v>139</v>
      </c>
    </row>
    <row r="24" spans="1:14" x14ac:dyDescent="0.45">
      <c r="A24" s="5" t="s">
        <v>193</v>
      </c>
      <c r="B24" s="5" t="s">
        <v>140</v>
      </c>
      <c r="C24" s="5" t="s">
        <v>194</v>
      </c>
      <c r="D24" s="5" t="s">
        <v>157</v>
      </c>
      <c r="E24" s="5" t="s">
        <v>195</v>
      </c>
      <c r="F24" s="5" t="s">
        <v>159</v>
      </c>
      <c r="G24" s="5" t="s">
        <v>160</v>
      </c>
      <c r="H24" s="5"/>
      <c r="I24" s="5"/>
      <c r="J24" s="5"/>
      <c r="K24" s="5"/>
      <c r="L24" s="5" t="s">
        <v>139</v>
      </c>
      <c r="M24" s="5" t="s">
        <v>139</v>
      </c>
      <c r="N24" s="5"/>
    </row>
    <row r="25" spans="1:14" x14ac:dyDescent="0.45">
      <c r="A25" t="s">
        <v>196</v>
      </c>
      <c r="B25" t="s">
        <v>140</v>
      </c>
      <c r="C25" t="s">
        <v>197</v>
      </c>
      <c r="D25" t="s">
        <v>157</v>
      </c>
      <c r="E25" t="s">
        <v>198</v>
      </c>
      <c r="F25" t="s">
        <v>159</v>
      </c>
      <c r="G25" t="s">
        <v>160</v>
      </c>
      <c r="L25" t="s">
        <v>139</v>
      </c>
      <c r="M25" t="s">
        <v>139</v>
      </c>
    </row>
    <row r="26" spans="1:14" x14ac:dyDescent="0.45">
      <c r="A26" s="5" t="s">
        <v>199</v>
      </c>
      <c r="B26" s="5" t="s">
        <v>140</v>
      </c>
      <c r="C26" s="5" t="s">
        <v>200</v>
      </c>
      <c r="D26" s="5" t="s">
        <v>157</v>
      </c>
      <c r="E26" s="5" t="s">
        <v>201</v>
      </c>
      <c r="F26" s="5" t="s">
        <v>159</v>
      </c>
      <c r="G26" s="5" t="s">
        <v>160</v>
      </c>
      <c r="H26" s="5"/>
      <c r="I26" s="5"/>
      <c r="J26" s="5"/>
      <c r="K26" s="5"/>
      <c r="L26" s="5" t="s">
        <v>139</v>
      </c>
      <c r="M26" s="5" t="s">
        <v>139</v>
      </c>
      <c r="N26" s="5"/>
    </row>
    <row r="27" spans="1:14" x14ac:dyDescent="0.45">
      <c r="A27" t="s">
        <v>202</v>
      </c>
      <c r="B27" t="s">
        <v>140</v>
      </c>
      <c r="C27" t="s">
        <v>203</v>
      </c>
      <c r="D27" t="s">
        <v>157</v>
      </c>
      <c r="E27" t="s">
        <v>204</v>
      </c>
      <c r="F27" t="s">
        <v>159</v>
      </c>
      <c r="G27" t="s">
        <v>160</v>
      </c>
      <c r="L27" t="s">
        <v>139</v>
      </c>
      <c r="M27" t="s">
        <v>139</v>
      </c>
    </row>
    <row r="28" spans="1:14" x14ac:dyDescent="0.45">
      <c r="A28" s="5" t="s">
        <v>205</v>
      </c>
      <c r="B28" s="5" t="s">
        <v>140</v>
      </c>
      <c r="C28" s="5" t="s">
        <v>206</v>
      </c>
      <c r="D28" s="5" t="s">
        <v>157</v>
      </c>
      <c r="E28" s="5" t="s">
        <v>204</v>
      </c>
      <c r="F28" s="5" t="s">
        <v>159</v>
      </c>
      <c r="G28" s="5" t="s">
        <v>160</v>
      </c>
      <c r="H28" s="5"/>
      <c r="I28" s="5"/>
      <c r="J28" s="5" t="s">
        <v>139</v>
      </c>
      <c r="K28" s="5" t="s">
        <v>139</v>
      </c>
      <c r="L28" s="5"/>
      <c r="M28" s="5" t="s">
        <v>139</v>
      </c>
      <c r="N28" s="5"/>
    </row>
    <row r="29" spans="1:14" x14ac:dyDescent="0.45">
      <c r="A29" t="s">
        <v>207</v>
      </c>
      <c r="B29" t="s">
        <v>133</v>
      </c>
      <c r="C29" t="s">
        <v>208</v>
      </c>
      <c r="D29" t="s">
        <v>169</v>
      </c>
      <c r="E29" t="s">
        <v>209</v>
      </c>
      <c r="F29" t="s">
        <v>210</v>
      </c>
      <c r="G29" t="s">
        <v>138</v>
      </c>
      <c r="H29" t="s">
        <v>211</v>
      </c>
      <c r="J29" t="s">
        <v>139</v>
      </c>
      <c r="L29" t="s">
        <v>139</v>
      </c>
      <c r="M29" t="s">
        <v>139</v>
      </c>
    </row>
    <row r="30" spans="1:14" x14ac:dyDescent="0.45">
      <c r="A30" s="5" t="s">
        <v>212</v>
      </c>
      <c r="B30" s="5" t="s">
        <v>140</v>
      </c>
      <c r="C30" s="5" t="s">
        <v>213</v>
      </c>
      <c r="D30" s="5" t="s">
        <v>214</v>
      </c>
      <c r="E30" s="5" t="s">
        <v>215</v>
      </c>
      <c r="F30" s="5" t="s">
        <v>400</v>
      </c>
      <c r="G30" s="5" t="s">
        <v>138</v>
      </c>
      <c r="H30" s="5"/>
      <c r="I30" s="5"/>
      <c r="J30" s="5" t="s">
        <v>139</v>
      </c>
      <c r="K30" s="5"/>
      <c r="L30" s="5" t="s">
        <v>139</v>
      </c>
      <c r="M30" s="5" t="s">
        <v>139</v>
      </c>
      <c r="N30" s="5"/>
    </row>
    <row r="31" spans="1:14" x14ac:dyDescent="0.45">
      <c r="A31" s="6" t="s">
        <v>216</v>
      </c>
      <c r="B31" s="7"/>
      <c r="C31" s="7"/>
      <c r="D31" s="7"/>
      <c r="E31" s="7"/>
      <c r="F31" s="7"/>
      <c r="G31" s="7"/>
      <c r="H31" s="7"/>
      <c r="I31" s="7"/>
      <c r="J31" s="7"/>
      <c r="K31" s="7"/>
      <c r="L31" s="7"/>
      <c r="M31" s="7"/>
      <c r="N31" s="7"/>
    </row>
    <row r="32" spans="1:14" x14ac:dyDescent="0.45">
      <c r="A32" t="s">
        <v>217</v>
      </c>
      <c r="B32" t="s">
        <v>140</v>
      </c>
      <c r="C32" t="s">
        <v>218</v>
      </c>
      <c r="D32" t="s">
        <v>157</v>
      </c>
      <c r="E32" t="s">
        <v>219</v>
      </c>
      <c r="F32" t="s">
        <v>159</v>
      </c>
      <c r="G32" t="s">
        <v>160</v>
      </c>
      <c r="I32" t="s">
        <v>139</v>
      </c>
      <c r="J32" t="s">
        <v>139</v>
      </c>
      <c r="M32" t="s">
        <v>139</v>
      </c>
    </row>
    <row r="33" spans="1:14" x14ac:dyDescent="0.45">
      <c r="A33" s="5" t="s">
        <v>220</v>
      </c>
      <c r="B33" s="5" t="s">
        <v>140</v>
      </c>
      <c r="C33" s="5" t="s">
        <v>221</v>
      </c>
      <c r="D33" s="5" t="s">
        <v>157</v>
      </c>
      <c r="E33" s="5" t="s">
        <v>222</v>
      </c>
      <c r="F33" s="5" t="s">
        <v>159</v>
      </c>
      <c r="G33" s="5" t="s">
        <v>160</v>
      </c>
      <c r="H33" s="5"/>
      <c r="I33" s="5" t="s">
        <v>139</v>
      </c>
      <c r="J33" s="5" t="s">
        <v>139</v>
      </c>
      <c r="K33" s="5"/>
      <c r="L33" s="5" t="s">
        <v>139</v>
      </c>
      <c r="M33" s="5" t="s">
        <v>139</v>
      </c>
      <c r="N33" s="5"/>
    </row>
    <row r="34" spans="1:14" x14ac:dyDescent="0.45">
      <c r="A34" t="s">
        <v>223</v>
      </c>
      <c r="B34" t="s">
        <v>224</v>
      </c>
      <c r="C34" t="s">
        <v>225</v>
      </c>
      <c r="D34" t="s">
        <v>587</v>
      </c>
      <c r="E34" t="s">
        <v>227</v>
      </c>
      <c r="F34" t="s">
        <v>228</v>
      </c>
      <c r="G34" t="s">
        <v>138</v>
      </c>
      <c r="L34" t="s">
        <v>139</v>
      </c>
      <c r="M34" t="s">
        <v>139</v>
      </c>
    </row>
    <row r="35" spans="1:14" x14ac:dyDescent="0.45">
      <c r="A35" s="5" t="s">
        <v>229</v>
      </c>
      <c r="B35" s="5" t="s">
        <v>167</v>
      </c>
      <c r="C35" s="5" t="s">
        <v>225</v>
      </c>
      <c r="D35" s="5" t="s">
        <v>587</v>
      </c>
      <c r="E35" s="5" t="s">
        <v>227</v>
      </c>
      <c r="F35" s="5" t="s">
        <v>230</v>
      </c>
      <c r="G35" s="5" t="s">
        <v>138</v>
      </c>
      <c r="H35" s="5"/>
      <c r="I35" s="5"/>
      <c r="J35" s="5"/>
      <c r="K35" s="5"/>
      <c r="L35" s="5" t="s">
        <v>139</v>
      </c>
      <c r="M35" s="5" t="s">
        <v>139</v>
      </c>
      <c r="N35" s="5"/>
    </row>
    <row r="36" spans="1:14" x14ac:dyDescent="0.45">
      <c r="A36" t="s">
        <v>231</v>
      </c>
      <c r="B36" t="s">
        <v>167</v>
      </c>
      <c r="C36" t="s">
        <v>225</v>
      </c>
      <c r="D36" t="s">
        <v>587</v>
      </c>
      <c r="E36" t="s">
        <v>227</v>
      </c>
      <c r="F36" t="s">
        <v>232</v>
      </c>
      <c r="G36" t="s">
        <v>138</v>
      </c>
      <c r="L36" t="s">
        <v>139</v>
      </c>
      <c r="M36" t="s">
        <v>139</v>
      </c>
    </row>
    <row r="37" spans="1:14" x14ac:dyDescent="0.45">
      <c r="A37" s="5" t="s">
        <v>233</v>
      </c>
      <c r="B37" s="5" t="s">
        <v>224</v>
      </c>
      <c r="C37" s="5" t="s">
        <v>225</v>
      </c>
      <c r="D37" s="5" t="s">
        <v>587</v>
      </c>
      <c r="E37" s="5" t="s">
        <v>227</v>
      </c>
      <c r="F37" s="5" t="s">
        <v>234</v>
      </c>
      <c r="G37" s="5" t="s">
        <v>138</v>
      </c>
      <c r="H37" s="5"/>
      <c r="I37" s="5"/>
      <c r="J37" s="5"/>
      <c r="K37" s="5"/>
      <c r="L37" s="5" t="s">
        <v>139</v>
      </c>
      <c r="M37" s="5" t="s">
        <v>139</v>
      </c>
      <c r="N37" s="5"/>
    </row>
    <row r="38" spans="1:14" x14ac:dyDescent="0.45">
      <c r="A38" t="s">
        <v>235</v>
      </c>
      <c r="B38" t="s">
        <v>133</v>
      </c>
      <c r="C38" t="s">
        <v>236</v>
      </c>
      <c r="D38" t="s">
        <v>169</v>
      </c>
      <c r="E38" t="s">
        <v>402</v>
      </c>
      <c r="F38" t="s">
        <v>239</v>
      </c>
      <c r="G38" t="s">
        <v>145</v>
      </c>
      <c r="I38" t="s">
        <v>139</v>
      </c>
      <c r="J38" t="s">
        <v>139</v>
      </c>
      <c r="K38" t="s">
        <v>139</v>
      </c>
      <c r="L38" t="s">
        <v>139</v>
      </c>
      <c r="M38" t="s">
        <v>139</v>
      </c>
    </row>
    <row r="39" spans="1:14" x14ac:dyDescent="0.45">
      <c r="A39" s="5" t="s">
        <v>240</v>
      </c>
      <c r="B39" s="5" t="s">
        <v>140</v>
      </c>
      <c r="C39" s="5" t="s">
        <v>241</v>
      </c>
      <c r="D39" s="5" t="s">
        <v>157</v>
      </c>
      <c r="E39" s="5" t="s">
        <v>242</v>
      </c>
      <c r="F39" s="5" t="s">
        <v>159</v>
      </c>
      <c r="G39" s="5" t="s">
        <v>160</v>
      </c>
      <c r="H39" s="5"/>
      <c r="I39" s="5"/>
      <c r="J39" s="5" t="s">
        <v>139</v>
      </c>
      <c r="K39" s="5" t="s">
        <v>139</v>
      </c>
      <c r="L39" s="5" t="s">
        <v>139</v>
      </c>
      <c r="M39" s="5" t="s">
        <v>139</v>
      </c>
      <c r="N39" s="5"/>
    </row>
    <row r="40" spans="1:14" x14ac:dyDescent="0.45">
      <c r="A40" t="s">
        <v>243</v>
      </c>
      <c r="B40" t="s">
        <v>140</v>
      </c>
      <c r="C40" t="s">
        <v>244</v>
      </c>
      <c r="D40" t="s">
        <v>157</v>
      </c>
      <c r="E40" t="s">
        <v>242</v>
      </c>
      <c r="F40" t="s">
        <v>159</v>
      </c>
      <c r="G40" t="s">
        <v>160</v>
      </c>
      <c r="J40" t="s">
        <v>139</v>
      </c>
      <c r="L40" t="s">
        <v>139</v>
      </c>
      <c r="M40" t="s">
        <v>139</v>
      </c>
    </row>
    <row r="41" spans="1:14" x14ac:dyDescent="0.45">
      <c r="A41" s="5" t="s">
        <v>245</v>
      </c>
      <c r="B41" s="5" t="s">
        <v>140</v>
      </c>
      <c r="C41" s="5" t="s">
        <v>246</v>
      </c>
      <c r="D41" s="5" t="s">
        <v>157</v>
      </c>
      <c r="E41" s="5" t="s">
        <v>247</v>
      </c>
      <c r="F41" s="5" t="s">
        <v>159</v>
      </c>
      <c r="G41" s="5" t="s">
        <v>160</v>
      </c>
      <c r="H41" s="5"/>
      <c r="I41" s="5"/>
      <c r="J41" s="5"/>
      <c r="K41" s="5"/>
      <c r="L41" s="5" t="s">
        <v>139</v>
      </c>
      <c r="M41" s="5" t="s">
        <v>139</v>
      </c>
      <c r="N41" s="5"/>
    </row>
    <row r="42" spans="1:14" x14ac:dyDescent="0.45">
      <c r="A42" t="s">
        <v>248</v>
      </c>
      <c r="B42" t="s">
        <v>140</v>
      </c>
      <c r="C42" t="s">
        <v>249</v>
      </c>
      <c r="D42" t="s">
        <v>157</v>
      </c>
      <c r="E42" t="s">
        <v>247</v>
      </c>
      <c r="F42" t="s">
        <v>159</v>
      </c>
      <c r="G42" t="s">
        <v>160</v>
      </c>
      <c r="J42" t="s">
        <v>139</v>
      </c>
      <c r="K42" t="s">
        <v>139</v>
      </c>
      <c r="L42" t="s">
        <v>139</v>
      </c>
      <c r="M42" t="s">
        <v>139</v>
      </c>
    </row>
    <row r="43" spans="1:14" x14ac:dyDescent="0.45">
      <c r="A43" s="5" t="s">
        <v>250</v>
      </c>
      <c r="B43" s="5" t="s">
        <v>140</v>
      </c>
      <c r="C43" s="5" t="s">
        <v>251</v>
      </c>
      <c r="D43" s="5" t="s">
        <v>157</v>
      </c>
      <c r="E43" s="5" t="s">
        <v>252</v>
      </c>
      <c r="F43" s="5" t="s">
        <v>159</v>
      </c>
      <c r="G43" s="5" t="s">
        <v>160</v>
      </c>
      <c r="H43" s="5"/>
      <c r="I43" s="5"/>
      <c r="J43" s="5" t="s">
        <v>139</v>
      </c>
      <c r="K43" s="5"/>
      <c r="L43" s="5" t="s">
        <v>139</v>
      </c>
      <c r="M43" s="5" t="s">
        <v>139</v>
      </c>
      <c r="N43" s="5"/>
    </row>
    <row r="44" spans="1:14" x14ac:dyDescent="0.45">
      <c r="A44" t="s">
        <v>253</v>
      </c>
      <c r="B44" t="s">
        <v>140</v>
      </c>
      <c r="C44" t="s">
        <v>251</v>
      </c>
      <c r="D44" t="s">
        <v>157</v>
      </c>
      <c r="E44" t="s">
        <v>252</v>
      </c>
      <c r="F44" t="s">
        <v>159</v>
      </c>
      <c r="G44" t="s">
        <v>160</v>
      </c>
      <c r="J44" t="s">
        <v>139</v>
      </c>
      <c r="L44" t="s">
        <v>139</v>
      </c>
      <c r="M44" t="s">
        <v>139</v>
      </c>
    </row>
    <row r="45" spans="1:14" x14ac:dyDescent="0.45">
      <c r="A45" s="5" t="s">
        <v>254</v>
      </c>
      <c r="B45" s="5" t="s">
        <v>140</v>
      </c>
      <c r="C45" s="5" t="s">
        <v>255</v>
      </c>
      <c r="D45" s="5" t="s">
        <v>157</v>
      </c>
      <c r="E45" s="5" t="s">
        <v>256</v>
      </c>
      <c r="F45" s="5" t="s">
        <v>159</v>
      </c>
      <c r="G45" s="5" t="s">
        <v>160</v>
      </c>
      <c r="H45" s="5"/>
      <c r="I45" s="5" t="s">
        <v>139</v>
      </c>
      <c r="J45" s="5"/>
      <c r="K45" s="5"/>
      <c r="L45" s="5" t="s">
        <v>139</v>
      </c>
      <c r="M45" s="5" t="s">
        <v>139</v>
      </c>
      <c r="N45" s="5"/>
    </row>
    <row r="46" spans="1:14" x14ac:dyDescent="0.45">
      <c r="A46" t="s">
        <v>257</v>
      </c>
      <c r="B46" t="s">
        <v>140</v>
      </c>
      <c r="C46" t="s">
        <v>258</v>
      </c>
      <c r="D46" t="s">
        <v>157</v>
      </c>
      <c r="E46" t="s">
        <v>242</v>
      </c>
      <c r="F46" t="s">
        <v>159</v>
      </c>
      <c r="G46" t="s">
        <v>160</v>
      </c>
      <c r="I46" t="s">
        <v>139</v>
      </c>
      <c r="J46" t="s">
        <v>139</v>
      </c>
      <c r="L46" t="s">
        <v>139</v>
      </c>
      <c r="M46" t="s">
        <v>139</v>
      </c>
    </row>
    <row r="47" spans="1:14" x14ac:dyDescent="0.45">
      <c r="A47" s="5" t="s">
        <v>259</v>
      </c>
      <c r="B47" s="5" t="s">
        <v>140</v>
      </c>
      <c r="C47" s="5" t="s">
        <v>260</v>
      </c>
      <c r="D47" s="5" t="s">
        <v>157</v>
      </c>
      <c r="E47" s="5" t="s">
        <v>242</v>
      </c>
      <c r="F47" s="5" t="s">
        <v>159</v>
      </c>
      <c r="G47" s="5" t="s">
        <v>160</v>
      </c>
      <c r="H47" s="5"/>
      <c r="I47" s="5"/>
      <c r="J47" s="5"/>
      <c r="K47" s="5"/>
      <c r="L47" s="5" t="s">
        <v>139</v>
      </c>
      <c r="M47" s="5" t="s">
        <v>139</v>
      </c>
      <c r="N47" s="5"/>
    </row>
    <row r="48" spans="1:14" x14ac:dyDescent="0.45">
      <c r="A48" t="s">
        <v>261</v>
      </c>
      <c r="B48" t="s">
        <v>224</v>
      </c>
      <c r="C48" t="s">
        <v>262</v>
      </c>
      <c r="D48" t="s">
        <v>169</v>
      </c>
      <c r="E48" t="s">
        <v>263</v>
      </c>
      <c r="F48" t="s">
        <v>264</v>
      </c>
      <c r="G48" t="s">
        <v>138</v>
      </c>
      <c r="H48" t="s">
        <v>265</v>
      </c>
      <c r="L48" t="s">
        <v>139</v>
      </c>
      <c r="M48" t="s">
        <v>139</v>
      </c>
    </row>
    <row r="49" spans="1:14" x14ac:dyDescent="0.45">
      <c r="A49" s="5" t="s">
        <v>266</v>
      </c>
      <c r="B49" s="5" t="s">
        <v>167</v>
      </c>
      <c r="C49" s="5" t="s">
        <v>267</v>
      </c>
      <c r="D49" s="5" t="s">
        <v>587</v>
      </c>
      <c r="E49" s="5" t="s">
        <v>268</v>
      </c>
      <c r="F49" s="5" t="s">
        <v>269</v>
      </c>
      <c r="G49" s="5" t="s">
        <v>138</v>
      </c>
      <c r="H49" s="5" t="s">
        <v>270</v>
      </c>
      <c r="I49" s="5"/>
      <c r="J49" s="5"/>
      <c r="K49" s="5"/>
      <c r="L49" s="5" t="s">
        <v>139</v>
      </c>
      <c r="M49" s="5" t="s">
        <v>139</v>
      </c>
      <c r="N49" s="5"/>
    </row>
    <row r="50" spans="1:14" x14ac:dyDescent="0.45">
      <c r="A50" s="6" t="s">
        <v>271</v>
      </c>
      <c r="B50" s="7"/>
      <c r="C50" s="7"/>
      <c r="D50" s="7"/>
      <c r="E50" s="7"/>
      <c r="F50" s="7"/>
      <c r="G50" s="7"/>
      <c r="H50" s="7"/>
      <c r="I50" s="7"/>
      <c r="J50" s="7"/>
      <c r="K50" s="7"/>
      <c r="L50" s="7"/>
      <c r="M50" s="7"/>
      <c r="N50" s="7"/>
    </row>
    <row r="51" spans="1:14" x14ac:dyDescent="0.45">
      <c r="A51" t="s">
        <v>272</v>
      </c>
      <c r="B51" t="s">
        <v>224</v>
      </c>
      <c r="C51" t="s">
        <v>273</v>
      </c>
      <c r="D51" t="s">
        <v>274</v>
      </c>
      <c r="E51" t="s">
        <v>275</v>
      </c>
      <c r="F51" t="s">
        <v>276</v>
      </c>
      <c r="G51" t="s">
        <v>145</v>
      </c>
      <c r="L51" t="s">
        <v>139</v>
      </c>
      <c r="M51" t="s">
        <v>139</v>
      </c>
    </row>
    <row r="52" spans="1:14" x14ac:dyDescent="0.45">
      <c r="A52" s="5" t="s">
        <v>277</v>
      </c>
      <c r="B52" s="5" t="s">
        <v>224</v>
      </c>
      <c r="C52" s="5" t="s">
        <v>273</v>
      </c>
      <c r="D52" s="5" t="s">
        <v>274</v>
      </c>
      <c r="E52" s="5" t="s">
        <v>275</v>
      </c>
      <c r="F52" s="5" t="s">
        <v>278</v>
      </c>
      <c r="G52" s="5" t="s">
        <v>145</v>
      </c>
      <c r="H52" s="5"/>
      <c r="I52" s="5"/>
      <c r="J52" s="5"/>
      <c r="K52" s="5"/>
      <c r="L52" s="5" t="s">
        <v>139</v>
      </c>
      <c r="M52" s="5" t="s">
        <v>139</v>
      </c>
      <c r="N52" s="5"/>
    </row>
    <row r="53" spans="1:14" x14ac:dyDescent="0.45">
      <c r="A53" t="s">
        <v>279</v>
      </c>
      <c r="B53" t="s">
        <v>280</v>
      </c>
      <c r="C53" t="s">
        <v>273</v>
      </c>
      <c r="D53" t="s">
        <v>169</v>
      </c>
      <c r="E53" t="s">
        <v>281</v>
      </c>
      <c r="F53" t="s">
        <v>282</v>
      </c>
      <c r="G53" t="s">
        <v>145</v>
      </c>
      <c r="L53" t="s">
        <v>139</v>
      </c>
      <c r="M53" t="s">
        <v>139</v>
      </c>
    </row>
    <row r="54" spans="1:14" x14ac:dyDescent="0.45">
      <c r="A54" s="5" t="s">
        <v>283</v>
      </c>
      <c r="B54" s="5" t="s">
        <v>280</v>
      </c>
      <c r="C54" s="5" t="s">
        <v>273</v>
      </c>
      <c r="D54" s="5" t="s">
        <v>169</v>
      </c>
      <c r="E54" s="5" t="s">
        <v>284</v>
      </c>
      <c r="F54" s="5" t="s">
        <v>285</v>
      </c>
      <c r="G54" s="5" t="s">
        <v>145</v>
      </c>
      <c r="H54" s="5"/>
      <c r="I54" s="5"/>
      <c r="J54" s="5"/>
      <c r="K54" s="5"/>
      <c r="L54" s="5" t="s">
        <v>139</v>
      </c>
      <c r="M54" s="5" t="s">
        <v>139</v>
      </c>
      <c r="N54" s="5"/>
    </row>
    <row r="55" spans="1:14" x14ac:dyDescent="0.45">
      <c r="A55" t="s">
        <v>286</v>
      </c>
      <c r="B55" t="s">
        <v>280</v>
      </c>
      <c r="C55" t="s">
        <v>273</v>
      </c>
      <c r="D55" t="s">
        <v>169</v>
      </c>
      <c r="E55" t="s">
        <v>287</v>
      </c>
      <c r="F55" t="s">
        <v>288</v>
      </c>
      <c r="G55" t="s">
        <v>145</v>
      </c>
      <c r="L55" t="s">
        <v>139</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t="s">
        <v>139</v>
      </c>
      <c r="M57" s="5" t="s">
        <v>139</v>
      </c>
      <c r="N57" s="5"/>
    </row>
    <row r="58" spans="1:14" x14ac:dyDescent="0.45">
      <c r="A58" t="s">
        <v>294</v>
      </c>
      <c r="B58" t="s">
        <v>140</v>
      </c>
      <c r="C58" t="s">
        <v>291</v>
      </c>
      <c r="D58" t="s">
        <v>292</v>
      </c>
      <c r="E58" t="s">
        <v>295</v>
      </c>
      <c r="F58" t="s">
        <v>159</v>
      </c>
      <c r="G58" t="s">
        <v>160</v>
      </c>
      <c r="I58" t="s">
        <v>139</v>
      </c>
      <c r="J58" t="s">
        <v>139</v>
      </c>
      <c r="L58" t="s">
        <v>139</v>
      </c>
      <c r="M58" t="s">
        <v>139</v>
      </c>
    </row>
    <row r="59" spans="1:14" x14ac:dyDescent="0.45">
      <c r="A59" s="5" t="s">
        <v>296</v>
      </c>
      <c r="B59" s="5" t="s">
        <v>140</v>
      </c>
      <c r="C59" s="5" t="s">
        <v>297</v>
      </c>
      <c r="D59" s="5" t="s">
        <v>588</v>
      </c>
      <c r="E59" s="5" t="s">
        <v>589</v>
      </c>
      <c r="F59" s="5" t="s">
        <v>299</v>
      </c>
      <c r="G59" s="5" t="s">
        <v>138</v>
      </c>
      <c r="H59" s="5"/>
      <c r="I59" s="5" t="s">
        <v>139</v>
      </c>
      <c r="J59" s="5" t="s">
        <v>139</v>
      </c>
      <c r="K59" s="5" t="s">
        <v>139</v>
      </c>
      <c r="L59" s="5" t="s">
        <v>139</v>
      </c>
      <c r="M59" s="5" t="s">
        <v>139</v>
      </c>
      <c r="N59" s="5"/>
    </row>
    <row r="60" spans="1:14" x14ac:dyDescent="0.45">
      <c r="A60" t="s">
        <v>300</v>
      </c>
      <c r="B60" t="s">
        <v>140</v>
      </c>
      <c r="C60" t="s">
        <v>301</v>
      </c>
      <c r="D60" t="s">
        <v>135</v>
      </c>
      <c r="E60" t="s">
        <v>302</v>
      </c>
      <c r="F60" t="s">
        <v>159</v>
      </c>
      <c r="G60" t="s">
        <v>160</v>
      </c>
      <c r="J60" t="s">
        <v>139</v>
      </c>
      <c r="L60" t="s">
        <v>139</v>
      </c>
      <c r="M60" t="s">
        <v>139</v>
      </c>
    </row>
    <row r="61" spans="1:14" x14ac:dyDescent="0.45">
      <c r="A61" s="5" t="s">
        <v>303</v>
      </c>
      <c r="B61" s="5" t="s">
        <v>140</v>
      </c>
      <c r="C61" s="5" t="s">
        <v>304</v>
      </c>
      <c r="D61" s="5" t="s">
        <v>135</v>
      </c>
      <c r="E61" s="5" t="s">
        <v>305</v>
      </c>
      <c r="F61" s="5" t="s">
        <v>159</v>
      </c>
      <c r="G61" s="5" t="s">
        <v>160</v>
      </c>
      <c r="H61" s="5"/>
      <c r="I61" s="5"/>
      <c r="J61" s="5" t="s">
        <v>139</v>
      </c>
      <c r="K61" s="5"/>
      <c r="L61" s="5" t="s">
        <v>139</v>
      </c>
      <c r="M61" s="5" t="s">
        <v>139</v>
      </c>
      <c r="N61" s="5"/>
    </row>
    <row r="62" spans="1:14" x14ac:dyDescent="0.45">
      <c r="A62" t="s">
        <v>306</v>
      </c>
      <c r="B62" t="s">
        <v>133</v>
      </c>
      <c r="C62" t="s">
        <v>308</v>
      </c>
      <c r="D62" t="s">
        <v>588</v>
      </c>
      <c r="E62" t="s">
        <v>589</v>
      </c>
      <c r="F62" t="s">
        <v>309</v>
      </c>
      <c r="G62" t="s">
        <v>138</v>
      </c>
      <c r="I62" t="s">
        <v>139</v>
      </c>
      <c r="J62" t="s">
        <v>139</v>
      </c>
      <c r="L62" t="s">
        <v>139</v>
      </c>
      <c r="M62" t="s">
        <v>139</v>
      </c>
    </row>
    <row r="63" spans="1:14" x14ac:dyDescent="0.45">
      <c r="A63" s="5" t="s">
        <v>311</v>
      </c>
      <c r="B63" s="5" t="s">
        <v>140</v>
      </c>
      <c r="C63" s="5" t="s">
        <v>312</v>
      </c>
      <c r="D63" s="5" t="s">
        <v>135</v>
      </c>
      <c r="E63" s="5" t="s">
        <v>313</v>
      </c>
      <c r="F63" s="5" t="s">
        <v>159</v>
      </c>
      <c r="G63" s="5" t="s">
        <v>160</v>
      </c>
      <c r="H63" s="5"/>
      <c r="I63" s="5" t="s">
        <v>139</v>
      </c>
      <c r="J63" s="5" t="s">
        <v>139</v>
      </c>
      <c r="K63" s="5"/>
      <c r="L63" s="5"/>
      <c r="M63" s="5" t="s">
        <v>139</v>
      </c>
      <c r="N63" s="5"/>
    </row>
    <row r="64" spans="1:14" x14ac:dyDescent="0.45">
      <c r="A64" t="s">
        <v>314</v>
      </c>
      <c r="B64" t="s">
        <v>140</v>
      </c>
      <c r="C64" t="s">
        <v>315</v>
      </c>
      <c r="D64" t="s">
        <v>135</v>
      </c>
      <c r="E64" t="s">
        <v>316</v>
      </c>
      <c r="F64" t="s">
        <v>159</v>
      </c>
      <c r="G64" t="s">
        <v>160</v>
      </c>
      <c r="J64" t="s">
        <v>139</v>
      </c>
      <c r="M64" t="s">
        <v>139</v>
      </c>
    </row>
    <row r="65" spans="1:14" x14ac:dyDescent="0.45">
      <c r="A65" s="5" t="s">
        <v>317</v>
      </c>
      <c r="B65" s="5" t="s">
        <v>224</v>
      </c>
      <c r="C65" s="5" t="s">
        <v>318</v>
      </c>
      <c r="D65" s="5" t="s">
        <v>588</v>
      </c>
      <c r="E65" s="5" t="s">
        <v>590</v>
      </c>
      <c r="F65" s="5" t="s">
        <v>319</v>
      </c>
      <c r="G65" s="5" t="s">
        <v>138</v>
      </c>
      <c r="H65" s="5"/>
      <c r="I65" s="5" t="s">
        <v>139</v>
      </c>
      <c r="J65" s="5" t="s">
        <v>139</v>
      </c>
      <c r="K65" s="5"/>
      <c r="L65" s="5" t="s">
        <v>139</v>
      </c>
      <c r="M65" s="5" t="s">
        <v>139</v>
      </c>
      <c r="N65" s="5"/>
    </row>
    <row r="66" spans="1:14" x14ac:dyDescent="0.45">
      <c r="A66" t="s">
        <v>320</v>
      </c>
      <c r="B66" t="s">
        <v>140</v>
      </c>
      <c r="C66" t="s">
        <v>321</v>
      </c>
      <c r="D66" t="s">
        <v>135</v>
      </c>
      <c r="E66" t="s">
        <v>322</v>
      </c>
      <c r="F66" t="s">
        <v>159</v>
      </c>
      <c r="G66" t="s">
        <v>160</v>
      </c>
      <c r="L66" t="s">
        <v>139</v>
      </c>
      <c r="M66" t="s">
        <v>139</v>
      </c>
    </row>
    <row r="67" spans="1:14" x14ac:dyDescent="0.45">
      <c r="A67" s="5" t="s">
        <v>323</v>
      </c>
      <c r="B67" s="5" t="s">
        <v>140</v>
      </c>
      <c r="C67" s="5" t="s">
        <v>324</v>
      </c>
      <c r="D67" s="5" t="s">
        <v>135</v>
      </c>
      <c r="E67" s="5" t="s">
        <v>325</v>
      </c>
      <c r="F67" s="5" t="s">
        <v>159</v>
      </c>
      <c r="G67" s="5" t="s">
        <v>160</v>
      </c>
      <c r="H67" s="5"/>
      <c r="I67" s="5"/>
      <c r="J67" s="5"/>
      <c r="K67" s="5"/>
      <c r="L67" s="5" t="s">
        <v>139</v>
      </c>
      <c r="M67" s="5" t="s">
        <v>139</v>
      </c>
      <c r="N67" s="5"/>
    </row>
    <row r="68" spans="1:14" x14ac:dyDescent="0.45">
      <c r="A68" t="s">
        <v>326</v>
      </c>
      <c r="B68" t="s">
        <v>140</v>
      </c>
      <c r="C68" t="s">
        <v>327</v>
      </c>
      <c r="D68" t="s">
        <v>135</v>
      </c>
      <c r="E68" t="s">
        <v>328</v>
      </c>
      <c r="F68" t="s">
        <v>159</v>
      </c>
      <c r="G68" t="s">
        <v>160</v>
      </c>
      <c r="I68" t="s">
        <v>139</v>
      </c>
      <c r="J68" t="s">
        <v>139</v>
      </c>
      <c r="L68" t="s">
        <v>139</v>
      </c>
      <c r="M68" t="s">
        <v>139</v>
      </c>
    </row>
    <row r="69" spans="1:14" x14ac:dyDescent="0.45">
      <c r="A69" s="6" t="s">
        <v>329</v>
      </c>
      <c r="B69" s="7"/>
      <c r="C69" s="7"/>
      <c r="D69" s="7"/>
      <c r="E69" s="7"/>
      <c r="F69" s="7"/>
      <c r="G69" s="7"/>
      <c r="H69" s="7"/>
      <c r="I69" s="7"/>
      <c r="J69" s="7"/>
      <c r="K69" s="7"/>
      <c r="L69" s="7"/>
      <c r="M69" s="7"/>
      <c r="N69" s="7"/>
    </row>
    <row r="70" spans="1:14" x14ac:dyDescent="0.45">
      <c r="A70" s="5" t="s">
        <v>330</v>
      </c>
      <c r="B70" s="5" t="s">
        <v>140</v>
      </c>
      <c r="C70" s="5" t="s">
        <v>331</v>
      </c>
      <c r="D70" s="5" t="s">
        <v>588</v>
      </c>
      <c r="E70" s="5" t="s">
        <v>589</v>
      </c>
      <c r="F70" s="5" t="s">
        <v>159</v>
      </c>
      <c r="G70" s="5" t="s">
        <v>138</v>
      </c>
      <c r="H70" s="5"/>
      <c r="I70" s="5" t="s">
        <v>139</v>
      </c>
      <c r="J70" s="5" t="s">
        <v>139</v>
      </c>
      <c r="K70" s="5"/>
      <c r="L70" s="5" t="s">
        <v>139</v>
      </c>
      <c r="M70" s="5" t="s">
        <v>139</v>
      </c>
      <c r="N70" s="5"/>
    </row>
    <row r="71" spans="1:14" x14ac:dyDescent="0.45">
      <c r="A71" t="s">
        <v>333</v>
      </c>
      <c r="B71" t="s">
        <v>140</v>
      </c>
      <c r="C71" t="s">
        <v>334</v>
      </c>
      <c r="D71" t="s">
        <v>335</v>
      </c>
      <c r="E71" t="s">
        <v>336</v>
      </c>
      <c r="F71" t="s">
        <v>159</v>
      </c>
      <c r="G71" t="s">
        <v>160</v>
      </c>
      <c r="I71" t="s">
        <v>139</v>
      </c>
      <c r="J71" t="s">
        <v>139</v>
      </c>
      <c r="L71" t="s">
        <v>139</v>
      </c>
      <c r="M71" t="s">
        <v>139</v>
      </c>
    </row>
    <row r="72" spans="1:14" x14ac:dyDescent="0.45">
      <c r="A72" s="5" t="s">
        <v>337</v>
      </c>
      <c r="B72" s="5" t="s">
        <v>140</v>
      </c>
      <c r="C72" s="5" t="s">
        <v>338</v>
      </c>
      <c r="D72" s="5" t="s">
        <v>335</v>
      </c>
      <c r="E72" s="5" t="s">
        <v>339</v>
      </c>
      <c r="F72" s="5" t="s">
        <v>159</v>
      </c>
      <c r="G72" s="5" t="s">
        <v>160</v>
      </c>
      <c r="H72" s="5"/>
      <c r="I72" s="5" t="s">
        <v>139</v>
      </c>
      <c r="J72" s="5" t="s">
        <v>139</v>
      </c>
      <c r="K72" s="5"/>
      <c r="L72" s="5" t="s">
        <v>139</v>
      </c>
      <c r="M72" s="5" t="s">
        <v>139</v>
      </c>
      <c r="N72" s="5"/>
    </row>
    <row r="73" spans="1:14" x14ac:dyDescent="0.45">
      <c r="A73" t="s">
        <v>340</v>
      </c>
      <c r="B73" t="s">
        <v>140</v>
      </c>
      <c r="C73" t="s">
        <v>341</v>
      </c>
      <c r="D73" t="s">
        <v>335</v>
      </c>
      <c r="E73" t="s">
        <v>342</v>
      </c>
      <c r="F73" t="s">
        <v>159</v>
      </c>
      <c r="G73" t="s">
        <v>160</v>
      </c>
      <c r="I73" t="s">
        <v>139</v>
      </c>
      <c r="J73" t="s">
        <v>139</v>
      </c>
      <c r="L73" t="s">
        <v>139</v>
      </c>
      <c r="M73" t="s">
        <v>139</v>
      </c>
    </row>
    <row r="74" spans="1:14" x14ac:dyDescent="0.45">
      <c r="A74" s="5" t="s">
        <v>348</v>
      </c>
      <c r="B74" s="5" t="s">
        <v>140</v>
      </c>
      <c r="C74" s="5" t="s">
        <v>349</v>
      </c>
      <c r="D74" s="5" t="s">
        <v>335</v>
      </c>
      <c r="E74" s="5" t="s">
        <v>350</v>
      </c>
      <c r="F74" s="5" t="s">
        <v>159</v>
      </c>
      <c r="G74" s="5" t="s">
        <v>160</v>
      </c>
      <c r="H74" s="5"/>
      <c r="I74" s="5" t="s">
        <v>139</v>
      </c>
      <c r="J74" s="5" t="s">
        <v>139</v>
      </c>
      <c r="K74" s="5"/>
      <c r="L74" s="5"/>
      <c r="M74" s="5" t="s">
        <v>139</v>
      </c>
      <c r="N74" s="5"/>
    </row>
    <row r="75" spans="1:14" x14ac:dyDescent="0.45">
      <c r="A75" t="s">
        <v>351</v>
      </c>
      <c r="B75" t="s">
        <v>140</v>
      </c>
      <c r="C75" t="s">
        <v>352</v>
      </c>
      <c r="D75" t="s">
        <v>588</v>
      </c>
      <c r="E75" t="s">
        <v>591</v>
      </c>
      <c r="F75" t="s">
        <v>592</v>
      </c>
      <c r="G75" t="s">
        <v>138</v>
      </c>
      <c r="I75" t="s">
        <v>139</v>
      </c>
      <c r="J75" t="s">
        <v>139</v>
      </c>
      <c r="L75" t="s">
        <v>139</v>
      </c>
      <c r="M75" t="s">
        <v>139</v>
      </c>
    </row>
    <row r="76" spans="1:14" x14ac:dyDescent="0.45">
      <c r="A76" s="5" t="s">
        <v>354</v>
      </c>
      <c r="B76" s="5" t="s">
        <v>140</v>
      </c>
      <c r="C76" s="5" t="s">
        <v>355</v>
      </c>
      <c r="D76" s="5" t="s">
        <v>335</v>
      </c>
      <c r="E76" s="5" t="s">
        <v>356</v>
      </c>
      <c r="F76" s="5" t="s">
        <v>159</v>
      </c>
      <c r="G76" s="5" t="s">
        <v>160</v>
      </c>
      <c r="H76" s="5" t="s">
        <v>357</v>
      </c>
      <c r="I76" s="5" t="s">
        <v>139</v>
      </c>
      <c r="J76" s="5" t="s">
        <v>139</v>
      </c>
      <c r="K76" s="5"/>
      <c r="L76" s="5" t="s">
        <v>139</v>
      </c>
      <c r="M76" s="5" t="s">
        <v>139</v>
      </c>
      <c r="N76" s="5"/>
    </row>
    <row r="77" spans="1:14" x14ac:dyDescent="0.45">
      <c r="A77" t="s">
        <v>593</v>
      </c>
      <c r="B77" t="s">
        <v>140</v>
      </c>
      <c r="C77" t="s">
        <v>594</v>
      </c>
      <c r="D77" t="s">
        <v>588</v>
      </c>
      <c r="E77" t="s">
        <v>595</v>
      </c>
      <c r="F77" t="s">
        <v>592</v>
      </c>
      <c r="G77" t="s">
        <v>138</v>
      </c>
      <c r="I77" t="s">
        <v>139</v>
      </c>
      <c r="J77" t="s">
        <v>139</v>
      </c>
      <c r="M77" t="s">
        <v>139</v>
      </c>
    </row>
    <row r="78" spans="1:14" x14ac:dyDescent="0.45">
      <c r="A78" s="5" t="s">
        <v>596</v>
      </c>
      <c r="B78" s="5" t="s">
        <v>140</v>
      </c>
      <c r="C78" s="5" t="s">
        <v>597</v>
      </c>
      <c r="D78" s="5" t="s">
        <v>588</v>
      </c>
      <c r="E78" s="5" t="s">
        <v>595</v>
      </c>
      <c r="F78" s="5" t="s">
        <v>592</v>
      </c>
      <c r="G78" s="5" t="s">
        <v>138</v>
      </c>
      <c r="H78" s="5"/>
      <c r="I78" s="5" t="s">
        <v>139</v>
      </c>
      <c r="J78" s="5" t="s">
        <v>139</v>
      </c>
      <c r="K78" s="5"/>
      <c r="L78" s="5"/>
      <c r="M78" s="5" t="s">
        <v>139</v>
      </c>
      <c r="N78" s="5"/>
    </row>
    <row r="79" spans="1:14" x14ac:dyDescent="0.45">
      <c r="A79" t="s">
        <v>598</v>
      </c>
      <c r="B79" t="s">
        <v>140</v>
      </c>
      <c r="C79" t="s">
        <v>599</v>
      </c>
      <c r="D79" t="s">
        <v>588</v>
      </c>
      <c r="E79" t="s">
        <v>600</v>
      </c>
      <c r="F79" t="s">
        <v>592</v>
      </c>
      <c r="G79" t="s">
        <v>138</v>
      </c>
      <c r="L79" t="s">
        <v>139</v>
      </c>
      <c r="M79" t="s">
        <v>139</v>
      </c>
    </row>
    <row r="80" spans="1:14" x14ac:dyDescent="0.45">
      <c r="A80" s="5" t="s">
        <v>601</v>
      </c>
      <c r="B80" s="5" t="s">
        <v>140</v>
      </c>
      <c r="C80" s="5" t="s">
        <v>602</v>
      </c>
      <c r="D80" s="5" t="s">
        <v>588</v>
      </c>
      <c r="E80" s="5" t="s">
        <v>603</v>
      </c>
      <c r="F80" s="5" t="s">
        <v>604</v>
      </c>
      <c r="G80" s="5" t="s">
        <v>138</v>
      </c>
      <c r="H80" s="5"/>
      <c r="I80" s="5" t="s">
        <v>139</v>
      </c>
      <c r="J80" s="5" t="s">
        <v>139</v>
      </c>
      <c r="K80" s="5"/>
      <c r="L80" s="5"/>
      <c r="M80" s="5" t="s">
        <v>139</v>
      </c>
      <c r="N80" s="5"/>
    </row>
    <row r="81" spans="1:14" x14ac:dyDescent="0.45">
      <c r="A81" t="s">
        <v>605</v>
      </c>
      <c r="B81" t="s">
        <v>140</v>
      </c>
      <c r="C81" t="s">
        <v>606</v>
      </c>
      <c r="D81" t="s">
        <v>588</v>
      </c>
      <c r="E81" t="s">
        <v>607</v>
      </c>
      <c r="F81" t="s">
        <v>592</v>
      </c>
      <c r="G81" t="s">
        <v>138</v>
      </c>
      <c r="I81" t="s">
        <v>139</v>
      </c>
      <c r="J81" t="s">
        <v>139</v>
      </c>
      <c r="M81" t="s">
        <v>139</v>
      </c>
    </row>
    <row r="82" spans="1:14" x14ac:dyDescent="0.45">
      <c r="A82" s="5" t="s">
        <v>608</v>
      </c>
      <c r="B82" s="5" t="s">
        <v>140</v>
      </c>
      <c r="C82" s="5" t="s">
        <v>609</v>
      </c>
      <c r="D82" s="5" t="s">
        <v>588</v>
      </c>
      <c r="E82" s="5" t="s">
        <v>610</v>
      </c>
      <c r="F82" s="5" t="s">
        <v>592</v>
      </c>
      <c r="G82" s="5" t="s">
        <v>138</v>
      </c>
      <c r="H82" s="5"/>
      <c r="I82" s="5"/>
      <c r="J82" s="5" t="s">
        <v>139</v>
      </c>
      <c r="K82" s="5"/>
      <c r="L82" s="5" t="s">
        <v>139</v>
      </c>
      <c r="M82" s="5" t="s">
        <v>139</v>
      </c>
      <c r="N82" s="5"/>
    </row>
    <row r="83" spans="1:14" x14ac:dyDescent="0.45">
      <c r="A83" t="s">
        <v>611</v>
      </c>
      <c r="B83" t="s">
        <v>140</v>
      </c>
      <c r="C83" t="s">
        <v>612</v>
      </c>
      <c r="D83" t="s">
        <v>588</v>
      </c>
      <c r="E83" t="s">
        <v>613</v>
      </c>
      <c r="F83" t="s">
        <v>614</v>
      </c>
      <c r="G83" t="s">
        <v>138</v>
      </c>
      <c r="I83" t="s">
        <v>139</v>
      </c>
      <c r="J83" t="s">
        <v>139</v>
      </c>
      <c r="M83" t="s">
        <v>139</v>
      </c>
    </row>
    <row r="84" spans="1:14" x14ac:dyDescent="0.45">
      <c r="A84" s="5" t="s">
        <v>615</v>
      </c>
      <c r="B84" s="5" t="s">
        <v>140</v>
      </c>
      <c r="C84" s="5" t="s">
        <v>616</v>
      </c>
      <c r="D84" s="5" t="s">
        <v>588</v>
      </c>
      <c r="E84" s="5" t="s">
        <v>617</v>
      </c>
      <c r="F84" s="5" t="s">
        <v>592</v>
      </c>
      <c r="G84" s="5" t="s">
        <v>138</v>
      </c>
      <c r="H84" s="5"/>
      <c r="I84" s="5" t="s">
        <v>139</v>
      </c>
      <c r="J84" s="5" t="s">
        <v>139</v>
      </c>
      <c r="K84" s="5"/>
      <c r="L84" s="5"/>
      <c r="M84" s="5" t="s">
        <v>139</v>
      </c>
      <c r="N84" s="5"/>
    </row>
    <row r="85" spans="1:14" x14ac:dyDescent="0.45">
      <c r="A85" t="s">
        <v>618</v>
      </c>
      <c r="B85" t="s">
        <v>140</v>
      </c>
      <c r="C85" t="s">
        <v>619</v>
      </c>
      <c r="D85" t="s">
        <v>588</v>
      </c>
      <c r="E85" t="s">
        <v>620</v>
      </c>
      <c r="F85" t="s">
        <v>592</v>
      </c>
      <c r="G85" t="s">
        <v>138</v>
      </c>
      <c r="I85" t="s">
        <v>139</v>
      </c>
      <c r="J85" t="s">
        <v>139</v>
      </c>
      <c r="M85" t="s">
        <v>139</v>
      </c>
    </row>
    <row r="86" spans="1:14" x14ac:dyDescent="0.45">
      <c r="A86" s="5" t="s">
        <v>621</v>
      </c>
      <c r="B86" s="5" t="s">
        <v>140</v>
      </c>
      <c r="C86" s="5" t="s">
        <v>622</v>
      </c>
      <c r="D86" s="5" t="s">
        <v>588</v>
      </c>
      <c r="E86" s="5" t="s">
        <v>589</v>
      </c>
      <c r="F86" s="5" t="s">
        <v>592</v>
      </c>
      <c r="G86" s="5" t="s">
        <v>138</v>
      </c>
      <c r="H86" s="5"/>
      <c r="I86" s="5"/>
      <c r="J86" s="5" t="s">
        <v>139</v>
      </c>
      <c r="K86" s="5"/>
      <c r="L86" s="5"/>
      <c r="M86" s="5" t="s">
        <v>139</v>
      </c>
      <c r="N86" s="5"/>
    </row>
    <row r="87" spans="1:14" x14ac:dyDescent="0.45">
      <c r="A87" t="s">
        <v>623</v>
      </c>
      <c r="B87" t="s">
        <v>140</v>
      </c>
      <c r="C87" t="s">
        <v>624</v>
      </c>
      <c r="D87" t="s">
        <v>588</v>
      </c>
      <c r="E87" t="s">
        <v>589</v>
      </c>
      <c r="F87" t="s">
        <v>592</v>
      </c>
      <c r="G87" t="s">
        <v>138</v>
      </c>
      <c r="J87" t="s">
        <v>139</v>
      </c>
      <c r="M87" t="s">
        <v>139</v>
      </c>
    </row>
    <row r="88" spans="1:14" x14ac:dyDescent="0.45">
      <c r="A88" s="5" t="s">
        <v>625</v>
      </c>
      <c r="B88" s="5" t="s">
        <v>140</v>
      </c>
      <c r="C88" s="5" t="s">
        <v>626</v>
      </c>
      <c r="D88" s="5" t="s">
        <v>588</v>
      </c>
      <c r="E88" s="5" t="s">
        <v>589</v>
      </c>
      <c r="F88" s="5" t="s">
        <v>592</v>
      </c>
      <c r="G88" s="5" t="s">
        <v>138</v>
      </c>
      <c r="H88" s="5"/>
      <c r="I88" s="5"/>
      <c r="J88" s="5" t="s">
        <v>139</v>
      </c>
      <c r="K88" s="5"/>
      <c r="L88" s="5"/>
      <c r="M88" s="5" t="s">
        <v>139</v>
      </c>
      <c r="N88" s="5"/>
    </row>
    <row r="89" spans="1:14" x14ac:dyDescent="0.45">
      <c r="A89" t="s">
        <v>627</v>
      </c>
      <c r="B89" t="s">
        <v>140</v>
      </c>
      <c r="C89" t="s">
        <v>344</v>
      </c>
      <c r="D89" t="s">
        <v>588</v>
      </c>
      <c r="E89" t="s">
        <v>589</v>
      </c>
      <c r="F89" t="s">
        <v>592</v>
      </c>
      <c r="G89" t="s">
        <v>145</v>
      </c>
      <c r="I89" t="s">
        <v>139</v>
      </c>
      <c r="J89" t="s">
        <v>139</v>
      </c>
      <c r="M89" t="s">
        <v>139</v>
      </c>
    </row>
    <row r="90" spans="1:14" x14ac:dyDescent="0.45">
      <c r="A90" s="5" t="s">
        <v>628</v>
      </c>
      <c r="B90" s="5" t="s">
        <v>140</v>
      </c>
      <c r="C90" s="5" t="s">
        <v>347</v>
      </c>
      <c r="D90" s="5" t="s">
        <v>588</v>
      </c>
      <c r="E90" s="5" t="s">
        <v>589</v>
      </c>
      <c r="F90" s="5" t="s">
        <v>592</v>
      </c>
      <c r="G90" s="5" t="s">
        <v>145</v>
      </c>
      <c r="H90" s="5"/>
      <c r="I90" s="5" t="s">
        <v>139</v>
      </c>
      <c r="J90" s="5" t="s">
        <v>139</v>
      </c>
      <c r="K90" s="5"/>
      <c r="L90" s="5"/>
      <c r="M90" s="5" t="s">
        <v>139</v>
      </c>
      <c r="N90" s="5"/>
    </row>
    <row r="91" spans="1:14" x14ac:dyDescent="0.45">
      <c r="A91" t="s">
        <v>629</v>
      </c>
      <c r="B91" t="s">
        <v>140</v>
      </c>
      <c r="C91" t="s">
        <v>630</v>
      </c>
      <c r="D91" t="s">
        <v>588</v>
      </c>
      <c r="E91" t="s">
        <v>589</v>
      </c>
      <c r="F91" t="s">
        <v>592</v>
      </c>
      <c r="G91" t="s">
        <v>138</v>
      </c>
      <c r="J91" t="s">
        <v>139</v>
      </c>
      <c r="M91" t="s">
        <v>139</v>
      </c>
    </row>
    <row r="92" spans="1:14" x14ac:dyDescent="0.45">
      <c r="A92" s="6" t="s">
        <v>427</v>
      </c>
      <c r="B92" s="7"/>
      <c r="C92" s="7"/>
      <c r="D92" s="7"/>
      <c r="E92" s="7"/>
      <c r="F92" s="7"/>
      <c r="G92" s="7"/>
      <c r="H92" s="7"/>
      <c r="I92" s="7"/>
      <c r="J92" s="7"/>
      <c r="K92" s="7"/>
      <c r="L92" s="7"/>
      <c r="M92" s="7"/>
      <c r="N92" s="7"/>
    </row>
    <row r="93" spans="1:14" x14ac:dyDescent="0.45">
      <c r="A93" s="5" t="s">
        <v>428</v>
      </c>
      <c r="B93" s="5" t="s">
        <v>133</v>
      </c>
      <c r="C93" s="5" t="s">
        <v>631</v>
      </c>
      <c r="D93" s="5" t="s">
        <v>381</v>
      </c>
      <c r="E93" s="5" t="s">
        <v>430</v>
      </c>
      <c r="F93" s="5" t="s">
        <v>431</v>
      </c>
      <c r="G93" s="5" t="s">
        <v>145</v>
      </c>
      <c r="H93" s="5" t="s">
        <v>432</v>
      </c>
      <c r="I93" s="5" t="s">
        <v>139</v>
      </c>
      <c r="J93" s="5" t="s">
        <v>139</v>
      </c>
      <c r="K93" s="5"/>
      <c r="L93" s="5" t="s">
        <v>139</v>
      </c>
      <c r="M93" s="5" t="s">
        <v>139</v>
      </c>
      <c r="N93" s="5"/>
    </row>
    <row r="94" spans="1:14" x14ac:dyDescent="0.45">
      <c r="A94" t="s">
        <v>433</v>
      </c>
      <c r="B94" t="s">
        <v>140</v>
      </c>
      <c r="C94" t="s">
        <v>434</v>
      </c>
      <c r="D94" t="s">
        <v>435</v>
      </c>
      <c r="E94" t="s">
        <v>436</v>
      </c>
      <c r="F94" t="s">
        <v>159</v>
      </c>
      <c r="G94" t="s">
        <v>160</v>
      </c>
      <c r="J94" t="s">
        <v>139</v>
      </c>
      <c r="L94" t="s">
        <v>139</v>
      </c>
      <c r="M94" t="s">
        <v>139</v>
      </c>
    </row>
    <row r="95" spans="1:14" x14ac:dyDescent="0.45">
      <c r="A95" s="6" t="s">
        <v>358</v>
      </c>
      <c r="B95" s="7"/>
      <c r="C95" s="7"/>
      <c r="D95" s="7"/>
      <c r="E95" s="7"/>
      <c r="F95" s="7"/>
      <c r="G95" s="7"/>
      <c r="H95" s="7"/>
      <c r="I95" s="7"/>
      <c r="J95" s="7"/>
      <c r="K95" s="7"/>
      <c r="L95" s="7"/>
      <c r="M95" s="7"/>
      <c r="N95" s="7"/>
    </row>
    <row r="96" spans="1:14" x14ac:dyDescent="0.45">
      <c r="A96" s="5" t="s">
        <v>359</v>
      </c>
      <c r="B96" s="5" t="s">
        <v>140</v>
      </c>
      <c r="C96" s="5" t="s">
        <v>360</v>
      </c>
      <c r="D96" s="5" t="s">
        <v>579</v>
      </c>
      <c r="E96" s="5" t="s">
        <v>632</v>
      </c>
      <c r="F96" s="5" t="s">
        <v>633</v>
      </c>
      <c r="G96" s="5" t="s">
        <v>363</v>
      </c>
      <c r="H96" s="5"/>
      <c r="I96" s="5"/>
      <c r="J96" s="5" t="s">
        <v>139</v>
      </c>
      <c r="K96" s="5" t="s">
        <v>139</v>
      </c>
      <c r="L96" s="5"/>
      <c r="M96" s="5" t="s">
        <v>139</v>
      </c>
      <c r="N96" s="5"/>
    </row>
    <row r="97" spans="1:14" x14ac:dyDescent="0.45">
      <c r="A97" t="s">
        <v>368</v>
      </c>
      <c r="B97" t="s">
        <v>140</v>
      </c>
      <c r="C97" t="s">
        <v>369</v>
      </c>
      <c r="D97" t="s">
        <v>579</v>
      </c>
      <c r="E97" t="s">
        <v>634</v>
      </c>
      <c r="F97" t="s">
        <v>371</v>
      </c>
      <c r="G97" t="s">
        <v>138</v>
      </c>
      <c r="J97" t="s">
        <v>139</v>
      </c>
      <c r="L97" t="s">
        <v>139</v>
      </c>
      <c r="M97" t="s">
        <v>139</v>
      </c>
    </row>
    <row r="98" spans="1:14" x14ac:dyDescent="0.45">
      <c r="A98" s="5" t="s">
        <v>635</v>
      </c>
      <c r="B98" s="5" t="s">
        <v>133</v>
      </c>
      <c r="C98" s="5" t="s">
        <v>636</v>
      </c>
      <c r="D98" s="5" t="s">
        <v>169</v>
      </c>
      <c r="E98" s="5" t="s">
        <v>637</v>
      </c>
      <c r="F98" s="5" t="s">
        <v>638</v>
      </c>
      <c r="G98" s="5" t="s">
        <v>639</v>
      </c>
      <c r="H98" s="5"/>
      <c r="I98" s="5"/>
      <c r="J98" s="5"/>
      <c r="K98" s="5"/>
      <c r="L98" s="5" t="s">
        <v>139</v>
      </c>
      <c r="M98" s="5" t="s">
        <v>139</v>
      </c>
      <c r="N98" s="5"/>
    </row>
    <row r="99" spans="1:14" x14ac:dyDescent="0.45">
      <c r="A99" t="s">
        <v>372</v>
      </c>
      <c r="B99" t="s">
        <v>133</v>
      </c>
      <c r="C99" t="s">
        <v>373</v>
      </c>
      <c r="D99" t="s">
        <v>169</v>
      </c>
      <c r="E99" t="s">
        <v>640</v>
      </c>
      <c r="F99" t="s">
        <v>375</v>
      </c>
      <c r="G99" t="s">
        <v>138</v>
      </c>
      <c r="L99" t="s">
        <v>139</v>
      </c>
      <c r="M99" t="s">
        <v>139</v>
      </c>
    </row>
    <row r="100" spans="1:14" x14ac:dyDescent="0.45">
      <c r="A100" s="5" t="s">
        <v>641</v>
      </c>
      <c r="B100" s="5" t="s">
        <v>140</v>
      </c>
      <c r="C100" s="5" t="s">
        <v>642</v>
      </c>
      <c r="D100" s="5" t="s">
        <v>579</v>
      </c>
      <c r="E100" s="5" t="s">
        <v>643</v>
      </c>
      <c r="F100" s="5" t="s">
        <v>644</v>
      </c>
      <c r="G100" s="5" t="s">
        <v>138</v>
      </c>
      <c r="H100" s="5"/>
      <c r="I100" s="5"/>
      <c r="J100" s="5" t="s">
        <v>139</v>
      </c>
      <c r="K100" s="5"/>
      <c r="L100" s="5" t="s">
        <v>139</v>
      </c>
      <c r="M100" s="5" t="s">
        <v>139</v>
      </c>
      <c r="N100" s="5"/>
    </row>
    <row r="101" spans="1:14" x14ac:dyDescent="0.45">
      <c r="A101" t="s">
        <v>348</v>
      </c>
      <c r="B101" t="s">
        <v>140</v>
      </c>
      <c r="C101" t="s">
        <v>645</v>
      </c>
      <c r="D101" t="s">
        <v>579</v>
      </c>
      <c r="E101" t="s">
        <v>646</v>
      </c>
      <c r="F101" t="s">
        <v>647</v>
      </c>
      <c r="G101" t="s">
        <v>138</v>
      </c>
      <c r="I101" t="s">
        <v>139</v>
      </c>
      <c r="J101" t="s">
        <v>139</v>
      </c>
      <c r="M101" t="s">
        <v>139</v>
      </c>
    </row>
    <row r="102" spans="1:14" x14ac:dyDescent="0.45">
      <c r="A102" s="5" t="s">
        <v>648</v>
      </c>
      <c r="B102" s="5" t="s">
        <v>140</v>
      </c>
      <c r="C102" s="5" t="s">
        <v>649</v>
      </c>
      <c r="D102" s="5" t="s">
        <v>579</v>
      </c>
      <c r="E102" s="5" t="s">
        <v>650</v>
      </c>
      <c r="F102" s="5" t="s">
        <v>651</v>
      </c>
      <c r="G102" s="5" t="s">
        <v>138</v>
      </c>
      <c r="H102" s="5"/>
      <c r="I102" s="5" t="s">
        <v>139</v>
      </c>
      <c r="J102" s="5" t="s">
        <v>139</v>
      </c>
      <c r="K102" s="5"/>
      <c r="L102" s="5"/>
      <c r="M102" s="5" t="s">
        <v>139</v>
      </c>
      <c r="N102" s="5"/>
    </row>
    <row r="103" spans="1:14" x14ac:dyDescent="0.45">
      <c r="A103" t="s">
        <v>652</v>
      </c>
      <c r="B103" t="s">
        <v>140</v>
      </c>
      <c r="C103" t="s">
        <v>653</v>
      </c>
      <c r="D103" t="s">
        <v>579</v>
      </c>
      <c r="E103" t="s">
        <v>654</v>
      </c>
      <c r="F103" t="s">
        <v>655</v>
      </c>
      <c r="G103" t="s">
        <v>138</v>
      </c>
      <c r="J103" t="s">
        <v>139</v>
      </c>
      <c r="M103" t="s">
        <v>139</v>
      </c>
    </row>
    <row r="104" spans="1:14" x14ac:dyDescent="0.45">
      <c r="A104" s="5" t="s">
        <v>656</v>
      </c>
      <c r="B104" s="5" t="s">
        <v>140</v>
      </c>
      <c r="C104" s="5" t="s">
        <v>657</v>
      </c>
      <c r="D104" s="5" t="s">
        <v>579</v>
      </c>
      <c r="E104" s="5" t="s">
        <v>658</v>
      </c>
      <c r="F104" s="5" t="s">
        <v>659</v>
      </c>
      <c r="G104" s="5" t="s">
        <v>138</v>
      </c>
      <c r="H104" s="5"/>
      <c r="I104" s="5" t="s">
        <v>139</v>
      </c>
      <c r="J104" s="5" t="s">
        <v>139</v>
      </c>
      <c r="K104" s="5"/>
      <c r="L104" s="5"/>
      <c r="M104" s="5" t="s">
        <v>139</v>
      </c>
      <c r="N104" s="5"/>
    </row>
  </sheetData>
  <mergeCells count="13">
    <mergeCell ref="B2:N2"/>
    <mergeCell ref="A1:N1"/>
    <mergeCell ref="A92:N92"/>
    <mergeCell ref="B4:N4"/>
    <mergeCell ref="A7:N7"/>
    <mergeCell ref="A95:N95"/>
    <mergeCell ref="B3:N3"/>
    <mergeCell ref="A56:N56"/>
    <mergeCell ref="B5:N5"/>
    <mergeCell ref="A31:N31"/>
    <mergeCell ref="A69:N69"/>
    <mergeCell ref="A12:N12"/>
    <mergeCell ref="A50:N50"/>
  </mergeCells>
  <dataValidations count="1">
    <dataValidation type="list" allowBlank="1" errorTitle="Invalid Review Status" error="Choose a review status from the list." sqref="N2:N104" xr:uid="{00000000-0002-0000-1A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N104"/>
  <sheetViews>
    <sheetView workbookViewId="0">
      <pane ySplit="6" topLeftCell="A7" activePane="bottomLeft" state="frozen"/>
      <selection pane="bottomLeft"/>
    </sheetView>
  </sheetViews>
  <sheetFormatPr defaultRowHeight="14.25" x14ac:dyDescent="0.45"/>
  <cols>
    <col min="1" max="1" width="50" customWidth="1"/>
    <col min="2" max="2" width="16"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660</v>
      </c>
      <c r="B1" s="7"/>
      <c r="C1" s="7"/>
      <c r="D1" s="7"/>
      <c r="E1" s="7"/>
      <c r="F1" s="7"/>
      <c r="G1" s="7"/>
      <c r="H1" s="7"/>
      <c r="I1" s="7"/>
      <c r="J1" s="7"/>
      <c r="K1" s="7"/>
      <c r="L1" s="7"/>
      <c r="M1" s="7"/>
      <c r="N1" s="7"/>
    </row>
    <row r="2" spans="1:14" x14ac:dyDescent="0.45">
      <c r="A2" s="4" t="s">
        <v>18</v>
      </c>
      <c r="B2" s="7" t="s">
        <v>95</v>
      </c>
      <c r="C2" s="7"/>
      <c r="D2" s="7"/>
      <c r="E2" s="7"/>
      <c r="F2" s="7"/>
      <c r="G2" s="7"/>
      <c r="H2" s="7"/>
      <c r="I2" s="7"/>
      <c r="J2" s="7"/>
      <c r="K2" s="7"/>
      <c r="L2" s="7"/>
      <c r="M2" s="7"/>
      <c r="N2" s="7"/>
    </row>
    <row r="3" spans="1:14" x14ac:dyDescent="0.45">
      <c r="A3" s="4" t="s">
        <v>19</v>
      </c>
      <c r="B3" s="7" t="s">
        <v>27</v>
      </c>
      <c r="C3" s="7"/>
      <c r="D3" s="7"/>
      <c r="E3" s="7"/>
      <c r="F3" s="7"/>
      <c r="G3" s="7"/>
      <c r="H3" s="7"/>
      <c r="I3" s="7"/>
      <c r="J3" s="7"/>
      <c r="K3" s="7"/>
      <c r="L3" s="7"/>
      <c r="M3" s="7"/>
      <c r="N3" s="7"/>
    </row>
    <row r="4" spans="1:14" x14ac:dyDescent="0.45">
      <c r="A4" s="4" t="s">
        <v>20</v>
      </c>
      <c r="B4" s="7" t="s">
        <v>99</v>
      </c>
      <c r="C4" s="7"/>
      <c r="D4" s="7"/>
      <c r="E4" s="7"/>
      <c r="F4" s="7"/>
      <c r="G4" s="7"/>
      <c r="H4" s="7"/>
      <c r="I4" s="7"/>
      <c r="J4" s="7"/>
      <c r="K4" s="7"/>
      <c r="L4" s="7"/>
      <c r="M4" s="7"/>
      <c r="N4" s="7"/>
    </row>
    <row r="5" spans="1:14" x14ac:dyDescent="0.45">
      <c r="A5" s="4" t="s">
        <v>21</v>
      </c>
      <c r="B5" s="7" t="s">
        <v>31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134</v>
      </c>
      <c r="D8" t="s">
        <v>135</v>
      </c>
      <c r="E8" t="s">
        <v>577</v>
      </c>
      <c r="F8" t="s">
        <v>137</v>
      </c>
      <c r="G8" t="s">
        <v>138</v>
      </c>
      <c r="I8" t="s">
        <v>139</v>
      </c>
      <c r="J8" t="s">
        <v>139</v>
      </c>
      <c r="K8" t="s">
        <v>139</v>
      </c>
      <c r="M8" t="s">
        <v>139</v>
      </c>
    </row>
    <row r="9" spans="1:14" x14ac:dyDescent="0.45">
      <c r="A9" s="5" t="s">
        <v>20</v>
      </c>
      <c r="B9" s="5" t="s">
        <v>140</v>
      </c>
      <c r="C9" s="5" t="s">
        <v>578</v>
      </c>
      <c r="D9" s="5" t="s">
        <v>579</v>
      </c>
      <c r="E9" s="5" t="s">
        <v>580</v>
      </c>
      <c r="F9" s="5" t="s">
        <v>581</v>
      </c>
      <c r="G9" s="5" t="s">
        <v>145</v>
      </c>
      <c r="H9" s="5"/>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L10" t="s">
        <v>139</v>
      </c>
      <c r="M10" t="s">
        <v>139</v>
      </c>
    </row>
    <row r="11" spans="1:14" x14ac:dyDescent="0.45">
      <c r="A11" s="5" t="s">
        <v>149</v>
      </c>
      <c r="B11" s="5" t="s">
        <v>133</v>
      </c>
      <c r="C11" s="5" t="s">
        <v>150</v>
      </c>
      <c r="D11" s="5" t="s">
        <v>582</v>
      </c>
      <c r="E11" s="5" t="s">
        <v>583</v>
      </c>
      <c r="F11" s="5" t="s">
        <v>153</v>
      </c>
      <c r="G11" s="5" t="s">
        <v>138</v>
      </c>
      <c r="H11" s="5"/>
      <c r="I11" s="5" t="s">
        <v>139</v>
      </c>
      <c r="J11" s="5" t="s">
        <v>139</v>
      </c>
      <c r="K11" s="5"/>
      <c r="L11" s="5"/>
      <c r="M11" s="5" t="s">
        <v>139</v>
      </c>
      <c r="N11" s="5"/>
    </row>
    <row r="12" spans="1:14" x14ac:dyDescent="0.45">
      <c r="A12" s="6" t="s">
        <v>154</v>
      </c>
      <c r="B12" s="7"/>
      <c r="C12" s="7"/>
      <c r="D12" s="7"/>
      <c r="E12" s="7"/>
      <c r="F12" s="7"/>
      <c r="G12" s="7"/>
      <c r="H12" s="7"/>
      <c r="I12" s="7"/>
      <c r="J12" s="7"/>
      <c r="K12" s="7"/>
      <c r="L12" s="7"/>
      <c r="M12" s="7"/>
      <c r="N12" s="7"/>
    </row>
    <row r="13" spans="1:14" x14ac:dyDescent="0.45">
      <c r="A13" t="s">
        <v>155</v>
      </c>
      <c r="B13" t="s">
        <v>140</v>
      </c>
      <c r="C13" t="s">
        <v>156</v>
      </c>
      <c r="D13" t="s">
        <v>157</v>
      </c>
      <c r="E13" t="s">
        <v>158</v>
      </c>
      <c r="F13" t="s">
        <v>159</v>
      </c>
      <c r="G13" t="s">
        <v>160</v>
      </c>
      <c r="J13" t="s">
        <v>139</v>
      </c>
      <c r="L13" t="s">
        <v>139</v>
      </c>
      <c r="M13" t="s">
        <v>139</v>
      </c>
    </row>
    <row r="14" spans="1:14" x14ac:dyDescent="0.45">
      <c r="A14" s="5" t="s">
        <v>161</v>
      </c>
      <c r="B14" s="5" t="s">
        <v>140</v>
      </c>
      <c r="C14" s="5" t="s">
        <v>156</v>
      </c>
      <c r="D14" s="5" t="s">
        <v>157</v>
      </c>
      <c r="E14" s="5" t="s">
        <v>162</v>
      </c>
      <c r="F14" s="5" t="s">
        <v>159</v>
      </c>
      <c r="G14" s="5" t="s">
        <v>160</v>
      </c>
      <c r="H14" s="5"/>
      <c r="I14" s="5"/>
      <c r="J14" s="5" t="s">
        <v>139</v>
      </c>
      <c r="K14" s="5"/>
      <c r="L14" s="5" t="s">
        <v>139</v>
      </c>
      <c r="M14" s="5" t="s">
        <v>139</v>
      </c>
      <c r="N14" s="5"/>
    </row>
    <row r="15" spans="1:14" x14ac:dyDescent="0.45">
      <c r="A15" t="s">
        <v>163</v>
      </c>
      <c r="B15" t="s">
        <v>140</v>
      </c>
      <c r="C15" t="s">
        <v>164</v>
      </c>
      <c r="D15" t="s">
        <v>157</v>
      </c>
      <c r="E15" t="s">
        <v>392</v>
      </c>
      <c r="F15" t="s">
        <v>159</v>
      </c>
      <c r="G15" t="s">
        <v>160</v>
      </c>
      <c r="M15" t="s">
        <v>139</v>
      </c>
    </row>
    <row r="16" spans="1:14" x14ac:dyDescent="0.45">
      <c r="A16" s="5" t="s">
        <v>166</v>
      </c>
      <c r="B16" s="5" t="s">
        <v>167</v>
      </c>
      <c r="C16" s="5" t="s">
        <v>168</v>
      </c>
      <c r="D16" s="5" t="s">
        <v>169</v>
      </c>
      <c r="E16" s="5" t="s">
        <v>209</v>
      </c>
      <c r="F16" s="5" t="s">
        <v>171</v>
      </c>
      <c r="G16" s="5" t="s">
        <v>138</v>
      </c>
      <c r="H16" s="5"/>
      <c r="I16" s="5"/>
      <c r="J16" s="5"/>
      <c r="K16" s="5"/>
      <c r="L16" s="5" t="s">
        <v>139</v>
      </c>
      <c r="M16" s="5" t="s">
        <v>139</v>
      </c>
      <c r="N16" s="5"/>
    </row>
    <row r="17" spans="1:14" x14ac:dyDescent="0.45">
      <c r="A17" t="s">
        <v>172</v>
      </c>
      <c r="B17" t="s">
        <v>133</v>
      </c>
      <c r="C17" t="s">
        <v>168</v>
      </c>
      <c r="D17" t="s">
        <v>169</v>
      </c>
      <c r="E17" t="s">
        <v>209</v>
      </c>
      <c r="F17" t="s">
        <v>173</v>
      </c>
      <c r="G17" t="s">
        <v>138</v>
      </c>
      <c r="L17" t="s">
        <v>139</v>
      </c>
      <c r="M17" t="s">
        <v>139</v>
      </c>
    </row>
    <row r="18" spans="1:14" x14ac:dyDescent="0.45">
      <c r="A18" s="5" t="s">
        <v>174</v>
      </c>
      <c r="B18" s="5" t="s">
        <v>167</v>
      </c>
      <c r="C18" s="5" t="s">
        <v>175</v>
      </c>
      <c r="D18" s="5" t="s">
        <v>169</v>
      </c>
      <c r="E18" s="5" t="s">
        <v>393</v>
      </c>
      <c r="F18" s="5" t="s">
        <v>177</v>
      </c>
      <c r="G18" s="5" t="s">
        <v>138</v>
      </c>
      <c r="H18" s="5"/>
      <c r="I18" s="5"/>
      <c r="J18" s="5"/>
      <c r="K18" s="5"/>
      <c r="L18" s="5" t="s">
        <v>139</v>
      </c>
      <c r="M18" s="5" t="s">
        <v>139</v>
      </c>
      <c r="N18" s="5"/>
    </row>
    <row r="19" spans="1:14" x14ac:dyDescent="0.45">
      <c r="A19" t="s">
        <v>178</v>
      </c>
      <c r="B19" t="s">
        <v>167</v>
      </c>
      <c r="C19" t="s">
        <v>179</v>
      </c>
      <c r="D19" t="s">
        <v>584</v>
      </c>
      <c r="E19" t="s">
        <v>395</v>
      </c>
      <c r="F19" t="s">
        <v>396</v>
      </c>
      <c r="G19" t="s">
        <v>397</v>
      </c>
      <c r="K19" t="s">
        <v>139</v>
      </c>
      <c r="L19" t="s">
        <v>139</v>
      </c>
      <c r="M19" t="s">
        <v>139</v>
      </c>
    </row>
    <row r="20" spans="1:14" x14ac:dyDescent="0.45">
      <c r="A20" s="5" t="s">
        <v>181</v>
      </c>
      <c r="B20" s="5" t="s">
        <v>167</v>
      </c>
      <c r="C20" s="5" t="s">
        <v>179</v>
      </c>
      <c r="D20" s="5" t="s">
        <v>585</v>
      </c>
      <c r="E20" s="5" t="s">
        <v>395</v>
      </c>
      <c r="F20" s="5" t="s">
        <v>398</v>
      </c>
      <c r="G20" s="5" t="s">
        <v>397</v>
      </c>
      <c r="H20" s="5"/>
      <c r="I20" s="5"/>
      <c r="J20" s="5"/>
      <c r="K20" s="5" t="s">
        <v>139</v>
      </c>
      <c r="L20" s="5" t="s">
        <v>139</v>
      </c>
      <c r="M20" s="5" t="s">
        <v>139</v>
      </c>
      <c r="N20" s="5"/>
    </row>
    <row r="21" spans="1:14" x14ac:dyDescent="0.45">
      <c r="A21" t="s">
        <v>182</v>
      </c>
      <c r="B21" t="s">
        <v>133</v>
      </c>
      <c r="C21" t="s">
        <v>183</v>
      </c>
      <c r="D21" t="s">
        <v>169</v>
      </c>
      <c r="E21" t="s">
        <v>586</v>
      </c>
      <c r="F21" t="s">
        <v>185</v>
      </c>
      <c r="G21" t="s">
        <v>182</v>
      </c>
      <c r="H21" t="s">
        <v>186</v>
      </c>
      <c r="J21" t="s">
        <v>139</v>
      </c>
      <c r="L21" t="s">
        <v>139</v>
      </c>
      <c r="M21" t="s">
        <v>139</v>
      </c>
    </row>
    <row r="22" spans="1:14" x14ac:dyDescent="0.45">
      <c r="A22" s="5" t="s">
        <v>187</v>
      </c>
      <c r="B22" s="5" t="s">
        <v>140</v>
      </c>
      <c r="C22" s="5" t="s">
        <v>188</v>
      </c>
      <c r="D22" s="5" t="s">
        <v>157</v>
      </c>
      <c r="E22" s="5" t="s">
        <v>189</v>
      </c>
      <c r="F22" s="5" t="s">
        <v>159</v>
      </c>
      <c r="G22" s="5" t="s">
        <v>160</v>
      </c>
      <c r="H22" s="5"/>
      <c r="I22" s="5"/>
      <c r="J22" s="5"/>
      <c r="K22" s="5"/>
      <c r="L22" s="5" t="s">
        <v>139</v>
      </c>
      <c r="M22" s="5" t="s">
        <v>139</v>
      </c>
      <c r="N22" s="5"/>
    </row>
    <row r="23" spans="1:14" x14ac:dyDescent="0.45">
      <c r="A23" t="s">
        <v>190</v>
      </c>
      <c r="B23" t="s">
        <v>140</v>
      </c>
      <c r="C23" t="s">
        <v>191</v>
      </c>
      <c r="D23" t="s">
        <v>157</v>
      </c>
      <c r="E23" t="s">
        <v>192</v>
      </c>
      <c r="F23" t="s">
        <v>159</v>
      </c>
      <c r="G23" t="s">
        <v>160</v>
      </c>
      <c r="L23" t="s">
        <v>139</v>
      </c>
      <c r="M23" t="s">
        <v>139</v>
      </c>
    </row>
    <row r="24" spans="1:14" x14ac:dyDescent="0.45">
      <c r="A24" s="5" t="s">
        <v>193</v>
      </c>
      <c r="B24" s="5" t="s">
        <v>140</v>
      </c>
      <c r="C24" s="5" t="s">
        <v>194</v>
      </c>
      <c r="D24" s="5" t="s">
        <v>157</v>
      </c>
      <c r="E24" s="5" t="s">
        <v>195</v>
      </c>
      <c r="F24" s="5" t="s">
        <v>159</v>
      </c>
      <c r="G24" s="5" t="s">
        <v>160</v>
      </c>
      <c r="H24" s="5"/>
      <c r="I24" s="5"/>
      <c r="J24" s="5"/>
      <c r="K24" s="5"/>
      <c r="L24" s="5" t="s">
        <v>139</v>
      </c>
      <c r="M24" s="5" t="s">
        <v>139</v>
      </c>
      <c r="N24" s="5"/>
    </row>
    <row r="25" spans="1:14" x14ac:dyDescent="0.45">
      <c r="A25" t="s">
        <v>196</v>
      </c>
      <c r="B25" t="s">
        <v>140</v>
      </c>
      <c r="C25" t="s">
        <v>197</v>
      </c>
      <c r="D25" t="s">
        <v>157</v>
      </c>
      <c r="E25" t="s">
        <v>198</v>
      </c>
      <c r="F25" t="s">
        <v>159</v>
      </c>
      <c r="G25" t="s">
        <v>160</v>
      </c>
      <c r="L25" t="s">
        <v>139</v>
      </c>
      <c r="M25" t="s">
        <v>139</v>
      </c>
    </row>
    <row r="26" spans="1:14" x14ac:dyDescent="0.45">
      <c r="A26" s="5" t="s">
        <v>199</v>
      </c>
      <c r="B26" s="5" t="s">
        <v>140</v>
      </c>
      <c r="C26" s="5" t="s">
        <v>200</v>
      </c>
      <c r="D26" s="5" t="s">
        <v>157</v>
      </c>
      <c r="E26" s="5" t="s">
        <v>201</v>
      </c>
      <c r="F26" s="5" t="s">
        <v>159</v>
      </c>
      <c r="G26" s="5" t="s">
        <v>160</v>
      </c>
      <c r="H26" s="5"/>
      <c r="I26" s="5"/>
      <c r="J26" s="5"/>
      <c r="K26" s="5"/>
      <c r="L26" s="5" t="s">
        <v>139</v>
      </c>
      <c r="M26" s="5" t="s">
        <v>139</v>
      </c>
      <c r="N26" s="5"/>
    </row>
    <row r="27" spans="1:14" x14ac:dyDescent="0.45">
      <c r="A27" t="s">
        <v>202</v>
      </c>
      <c r="B27" t="s">
        <v>140</v>
      </c>
      <c r="C27" t="s">
        <v>203</v>
      </c>
      <c r="D27" t="s">
        <v>157</v>
      </c>
      <c r="E27" t="s">
        <v>204</v>
      </c>
      <c r="F27" t="s">
        <v>159</v>
      </c>
      <c r="G27" t="s">
        <v>160</v>
      </c>
      <c r="L27" t="s">
        <v>139</v>
      </c>
      <c r="M27" t="s">
        <v>139</v>
      </c>
    </row>
    <row r="28" spans="1:14" x14ac:dyDescent="0.45">
      <c r="A28" s="5" t="s">
        <v>205</v>
      </c>
      <c r="B28" s="5" t="s">
        <v>140</v>
      </c>
      <c r="C28" s="5" t="s">
        <v>206</v>
      </c>
      <c r="D28" s="5" t="s">
        <v>157</v>
      </c>
      <c r="E28" s="5" t="s">
        <v>204</v>
      </c>
      <c r="F28" s="5" t="s">
        <v>159</v>
      </c>
      <c r="G28" s="5" t="s">
        <v>160</v>
      </c>
      <c r="H28" s="5"/>
      <c r="I28" s="5"/>
      <c r="J28" s="5" t="s">
        <v>139</v>
      </c>
      <c r="K28" s="5" t="s">
        <v>139</v>
      </c>
      <c r="L28" s="5"/>
      <c r="M28" s="5" t="s">
        <v>139</v>
      </c>
      <c r="N28" s="5"/>
    </row>
    <row r="29" spans="1:14" x14ac:dyDescent="0.45">
      <c r="A29" t="s">
        <v>207</v>
      </c>
      <c r="B29" t="s">
        <v>133</v>
      </c>
      <c r="C29" t="s">
        <v>208</v>
      </c>
      <c r="D29" t="s">
        <v>169</v>
      </c>
      <c r="E29" t="s">
        <v>209</v>
      </c>
      <c r="F29" t="s">
        <v>210</v>
      </c>
      <c r="G29" t="s">
        <v>138</v>
      </c>
      <c r="H29" t="s">
        <v>211</v>
      </c>
      <c r="J29" t="s">
        <v>139</v>
      </c>
      <c r="L29" t="s">
        <v>139</v>
      </c>
      <c r="M29" t="s">
        <v>139</v>
      </c>
    </row>
    <row r="30" spans="1:14" x14ac:dyDescent="0.45">
      <c r="A30" s="5" t="s">
        <v>212</v>
      </c>
      <c r="B30" s="5" t="s">
        <v>140</v>
      </c>
      <c r="C30" s="5" t="s">
        <v>213</v>
      </c>
      <c r="D30" s="5" t="s">
        <v>214</v>
      </c>
      <c r="E30" s="5" t="s">
        <v>215</v>
      </c>
      <c r="F30" s="5" t="s">
        <v>400</v>
      </c>
      <c r="G30" s="5" t="s">
        <v>138</v>
      </c>
      <c r="H30" s="5"/>
      <c r="I30" s="5"/>
      <c r="J30" s="5" t="s">
        <v>139</v>
      </c>
      <c r="K30" s="5"/>
      <c r="L30" s="5" t="s">
        <v>139</v>
      </c>
      <c r="M30" s="5" t="s">
        <v>139</v>
      </c>
      <c r="N30" s="5"/>
    </row>
    <row r="31" spans="1:14" x14ac:dyDescent="0.45">
      <c r="A31" s="6" t="s">
        <v>216</v>
      </c>
      <c r="B31" s="7"/>
      <c r="C31" s="7"/>
      <c r="D31" s="7"/>
      <c r="E31" s="7"/>
      <c r="F31" s="7"/>
      <c r="G31" s="7"/>
      <c r="H31" s="7"/>
      <c r="I31" s="7"/>
      <c r="J31" s="7"/>
      <c r="K31" s="7"/>
      <c r="L31" s="7"/>
      <c r="M31" s="7"/>
      <c r="N31" s="7"/>
    </row>
    <row r="32" spans="1:14" x14ac:dyDescent="0.45">
      <c r="A32" t="s">
        <v>217</v>
      </c>
      <c r="B32" t="s">
        <v>140</v>
      </c>
      <c r="C32" t="s">
        <v>218</v>
      </c>
      <c r="D32" t="s">
        <v>157</v>
      </c>
      <c r="E32" t="s">
        <v>219</v>
      </c>
      <c r="F32" t="s">
        <v>159</v>
      </c>
      <c r="G32" t="s">
        <v>160</v>
      </c>
      <c r="I32" t="s">
        <v>139</v>
      </c>
      <c r="J32" t="s">
        <v>139</v>
      </c>
      <c r="M32" t="s">
        <v>139</v>
      </c>
    </row>
    <row r="33" spans="1:14" x14ac:dyDescent="0.45">
      <c r="A33" s="5" t="s">
        <v>220</v>
      </c>
      <c r="B33" s="5" t="s">
        <v>140</v>
      </c>
      <c r="C33" s="5" t="s">
        <v>221</v>
      </c>
      <c r="D33" s="5" t="s">
        <v>157</v>
      </c>
      <c r="E33" s="5" t="s">
        <v>222</v>
      </c>
      <c r="F33" s="5" t="s">
        <v>159</v>
      </c>
      <c r="G33" s="5" t="s">
        <v>160</v>
      </c>
      <c r="H33" s="5"/>
      <c r="I33" s="5" t="s">
        <v>139</v>
      </c>
      <c r="J33" s="5" t="s">
        <v>139</v>
      </c>
      <c r="K33" s="5"/>
      <c r="L33" s="5" t="s">
        <v>139</v>
      </c>
      <c r="M33" s="5" t="s">
        <v>139</v>
      </c>
      <c r="N33" s="5"/>
    </row>
    <row r="34" spans="1:14" x14ac:dyDescent="0.45">
      <c r="A34" t="s">
        <v>223</v>
      </c>
      <c r="B34" t="s">
        <v>224</v>
      </c>
      <c r="C34" t="s">
        <v>225</v>
      </c>
      <c r="D34" t="s">
        <v>587</v>
      </c>
      <c r="E34" t="s">
        <v>227</v>
      </c>
      <c r="F34" t="s">
        <v>228</v>
      </c>
      <c r="G34" t="s">
        <v>138</v>
      </c>
      <c r="L34" t="s">
        <v>139</v>
      </c>
      <c r="M34" t="s">
        <v>139</v>
      </c>
    </row>
    <row r="35" spans="1:14" x14ac:dyDescent="0.45">
      <c r="A35" s="5" t="s">
        <v>229</v>
      </c>
      <c r="B35" s="5" t="s">
        <v>167</v>
      </c>
      <c r="C35" s="5" t="s">
        <v>225</v>
      </c>
      <c r="D35" s="5" t="s">
        <v>587</v>
      </c>
      <c r="E35" s="5" t="s">
        <v>227</v>
      </c>
      <c r="F35" s="5" t="s">
        <v>230</v>
      </c>
      <c r="G35" s="5" t="s">
        <v>138</v>
      </c>
      <c r="H35" s="5"/>
      <c r="I35" s="5"/>
      <c r="J35" s="5"/>
      <c r="K35" s="5"/>
      <c r="L35" s="5" t="s">
        <v>139</v>
      </c>
      <c r="M35" s="5" t="s">
        <v>139</v>
      </c>
      <c r="N35" s="5"/>
    </row>
    <row r="36" spans="1:14" x14ac:dyDescent="0.45">
      <c r="A36" t="s">
        <v>231</v>
      </c>
      <c r="B36" t="s">
        <v>167</v>
      </c>
      <c r="C36" t="s">
        <v>225</v>
      </c>
      <c r="D36" t="s">
        <v>587</v>
      </c>
      <c r="E36" t="s">
        <v>227</v>
      </c>
      <c r="F36" t="s">
        <v>232</v>
      </c>
      <c r="G36" t="s">
        <v>138</v>
      </c>
      <c r="L36" t="s">
        <v>139</v>
      </c>
      <c r="M36" t="s">
        <v>139</v>
      </c>
    </row>
    <row r="37" spans="1:14" x14ac:dyDescent="0.45">
      <c r="A37" s="5" t="s">
        <v>233</v>
      </c>
      <c r="B37" s="5" t="s">
        <v>224</v>
      </c>
      <c r="C37" s="5" t="s">
        <v>225</v>
      </c>
      <c r="D37" s="5" t="s">
        <v>587</v>
      </c>
      <c r="E37" s="5" t="s">
        <v>227</v>
      </c>
      <c r="F37" s="5" t="s">
        <v>234</v>
      </c>
      <c r="G37" s="5" t="s">
        <v>138</v>
      </c>
      <c r="H37" s="5"/>
      <c r="I37" s="5"/>
      <c r="J37" s="5"/>
      <c r="K37" s="5"/>
      <c r="L37" s="5" t="s">
        <v>139</v>
      </c>
      <c r="M37" s="5" t="s">
        <v>139</v>
      </c>
      <c r="N37" s="5"/>
    </row>
    <row r="38" spans="1:14" x14ac:dyDescent="0.45">
      <c r="A38" t="s">
        <v>235</v>
      </c>
      <c r="B38" t="s">
        <v>133</v>
      </c>
      <c r="C38" t="s">
        <v>236</v>
      </c>
      <c r="D38" t="s">
        <v>169</v>
      </c>
      <c r="E38" t="s">
        <v>402</v>
      </c>
      <c r="F38" t="s">
        <v>239</v>
      </c>
      <c r="G38" t="s">
        <v>145</v>
      </c>
      <c r="I38" t="s">
        <v>139</v>
      </c>
      <c r="J38" t="s">
        <v>139</v>
      </c>
      <c r="K38" t="s">
        <v>139</v>
      </c>
      <c r="L38" t="s">
        <v>139</v>
      </c>
      <c r="M38" t="s">
        <v>139</v>
      </c>
    </row>
    <row r="39" spans="1:14" x14ac:dyDescent="0.45">
      <c r="A39" s="5" t="s">
        <v>240</v>
      </c>
      <c r="B39" s="5" t="s">
        <v>140</v>
      </c>
      <c r="C39" s="5" t="s">
        <v>241</v>
      </c>
      <c r="D39" s="5" t="s">
        <v>157</v>
      </c>
      <c r="E39" s="5" t="s">
        <v>242</v>
      </c>
      <c r="F39" s="5" t="s">
        <v>159</v>
      </c>
      <c r="G39" s="5" t="s">
        <v>160</v>
      </c>
      <c r="H39" s="5"/>
      <c r="I39" s="5"/>
      <c r="J39" s="5" t="s">
        <v>139</v>
      </c>
      <c r="K39" s="5" t="s">
        <v>139</v>
      </c>
      <c r="L39" s="5" t="s">
        <v>139</v>
      </c>
      <c r="M39" s="5" t="s">
        <v>139</v>
      </c>
      <c r="N39" s="5"/>
    </row>
    <row r="40" spans="1:14" x14ac:dyDescent="0.45">
      <c r="A40" t="s">
        <v>243</v>
      </c>
      <c r="B40" t="s">
        <v>140</v>
      </c>
      <c r="C40" t="s">
        <v>244</v>
      </c>
      <c r="D40" t="s">
        <v>157</v>
      </c>
      <c r="E40" t="s">
        <v>242</v>
      </c>
      <c r="F40" t="s">
        <v>159</v>
      </c>
      <c r="G40" t="s">
        <v>160</v>
      </c>
      <c r="J40" t="s">
        <v>139</v>
      </c>
      <c r="L40" t="s">
        <v>139</v>
      </c>
      <c r="M40" t="s">
        <v>139</v>
      </c>
    </row>
    <row r="41" spans="1:14" x14ac:dyDescent="0.45">
      <c r="A41" s="5" t="s">
        <v>245</v>
      </c>
      <c r="B41" s="5" t="s">
        <v>140</v>
      </c>
      <c r="C41" s="5" t="s">
        <v>246</v>
      </c>
      <c r="D41" s="5" t="s">
        <v>157</v>
      </c>
      <c r="E41" s="5" t="s">
        <v>247</v>
      </c>
      <c r="F41" s="5" t="s">
        <v>159</v>
      </c>
      <c r="G41" s="5" t="s">
        <v>160</v>
      </c>
      <c r="H41" s="5"/>
      <c r="I41" s="5"/>
      <c r="J41" s="5"/>
      <c r="K41" s="5"/>
      <c r="L41" s="5" t="s">
        <v>139</v>
      </c>
      <c r="M41" s="5" t="s">
        <v>139</v>
      </c>
      <c r="N41" s="5"/>
    </row>
    <row r="42" spans="1:14" x14ac:dyDescent="0.45">
      <c r="A42" t="s">
        <v>248</v>
      </c>
      <c r="B42" t="s">
        <v>140</v>
      </c>
      <c r="C42" t="s">
        <v>249</v>
      </c>
      <c r="D42" t="s">
        <v>157</v>
      </c>
      <c r="E42" t="s">
        <v>247</v>
      </c>
      <c r="F42" t="s">
        <v>159</v>
      </c>
      <c r="G42" t="s">
        <v>160</v>
      </c>
      <c r="J42" t="s">
        <v>139</v>
      </c>
      <c r="K42" t="s">
        <v>139</v>
      </c>
      <c r="L42" t="s">
        <v>139</v>
      </c>
      <c r="M42" t="s">
        <v>139</v>
      </c>
    </row>
    <row r="43" spans="1:14" x14ac:dyDescent="0.45">
      <c r="A43" s="5" t="s">
        <v>250</v>
      </c>
      <c r="B43" s="5" t="s">
        <v>140</v>
      </c>
      <c r="C43" s="5" t="s">
        <v>251</v>
      </c>
      <c r="D43" s="5" t="s">
        <v>157</v>
      </c>
      <c r="E43" s="5" t="s">
        <v>252</v>
      </c>
      <c r="F43" s="5" t="s">
        <v>159</v>
      </c>
      <c r="G43" s="5" t="s">
        <v>160</v>
      </c>
      <c r="H43" s="5"/>
      <c r="I43" s="5"/>
      <c r="J43" s="5" t="s">
        <v>139</v>
      </c>
      <c r="K43" s="5"/>
      <c r="L43" s="5" t="s">
        <v>139</v>
      </c>
      <c r="M43" s="5" t="s">
        <v>139</v>
      </c>
      <c r="N43" s="5"/>
    </row>
    <row r="44" spans="1:14" x14ac:dyDescent="0.45">
      <c r="A44" t="s">
        <v>253</v>
      </c>
      <c r="B44" t="s">
        <v>140</v>
      </c>
      <c r="C44" t="s">
        <v>251</v>
      </c>
      <c r="D44" t="s">
        <v>157</v>
      </c>
      <c r="E44" t="s">
        <v>252</v>
      </c>
      <c r="F44" t="s">
        <v>159</v>
      </c>
      <c r="G44" t="s">
        <v>160</v>
      </c>
      <c r="J44" t="s">
        <v>139</v>
      </c>
      <c r="L44" t="s">
        <v>139</v>
      </c>
      <c r="M44" t="s">
        <v>139</v>
      </c>
    </row>
    <row r="45" spans="1:14" x14ac:dyDescent="0.45">
      <c r="A45" s="5" t="s">
        <v>254</v>
      </c>
      <c r="B45" s="5" t="s">
        <v>140</v>
      </c>
      <c r="C45" s="5" t="s">
        <v>255</v>
      </c>
      <c r="D45" s="5" t="s">
        <v>157</v>
      </c>
      <c r="E45" s="5" t="s">
        <v>256</v>
      </c>
      <c r="F45" s="5" t="s">
        <v>159</v>
      </c>
      <c r="G45" s="5" t="s">
        <v>160</v>
      </c>
      <c r="H45" s="5"/>
      <c r="I45" s="5" t="s">
        <v>139</v>
      </c>
      <c r="J45" s="5"/>
      <c r="K45" s="5"/>
      <c r="L45" s="5" t="s">
        <v>139</v>
      </c>
      <c r="M45" s="5" t="s">
        <v>139</v>
      </c>
      <c r="N45" s="5"/>
    </row>
    <row r="46" spans="1:14" x14ac:dyDescent="0.45">
      <c r="A46" t="s">
        <v>257</v>
      </c>
      <c r="B46" t="s">
        <v>140</v>
      </c>
      <c r="C46" t="s">
        <v>258</v>
      </c>
      <c r="D46" t="s">
        <v>157</v>
      </c>
      <c r="E46" t="s">
        <v>242</v>
      </c>
      <c r="F46" t="s">
        <v>159</v>
      </c>
      <c r="G46" t="s">
        <v>160</v>
      </c>
      <c r="I46" t="s">
        <v>139</v>
      </c>
      <c r="J46" t="s">
        <v>139</v>
      </c>
      <c r="L46" t="s">
        <v>139</v>
      </c>
      <c r="M46" t="s">
        <v>139</v>
      </c>
    </row>
    <row r="47" spans="1:14" x14ac:dyDescent="0.45">
      <c r="A47" s="5" t="s">
        <v>259</v>
      </c>
      <c r="B47" s="5" t="s">
        <v>140</v>
      </c>
      <c r="C47" s="5" t="s">
        <v>260</v>
      </c>
      <c r="D47" s="5" t="s">
        <v>157</v>
      </c>
      <c r="E47" s="5" t="s">
        <v>242</v>
      </c>
      <c r="F47" s="5" t="s">
        <v>159</v>
      </c>
      <c r="G47" s="5" t="s">
        <v>160</v>
      </c>
      <c r="H47" s="5"/>
      <c r="I47" s="5"/>
      <c r="J47" s="5"/>
      <c r="K47" s="5"/>
      <c r="L47" s="5" t="s">
        <v>139</v>
      </c>
      <c r="M47" s="5" t="s">
        <v>139</v>
      </c>
      <c r="N47" s="5"/>
    </row>
    <row r="48" spans="1:14" x14ac:dyDescent="0.45">
      <c r="A48" t="s">
        <v>261</v>
      </c>
      <c r="B48" t="s">
        <v>224</v>
      </c>
      <c r="C48" t="s">
        <v>262</v>
      </c>
      <c r="D48" t="s">
        <v>169</v>
      </c>
      <c r="E48" t="s">
        <v>263</v>
      </c>
      <c r="F48" t="s">
        <v>264</v>
      </c>
      <c r="G48" t="s">
        <v>138</v>
      </c>
      <c r="H48" t="s">
        <v>265</v>
      </c>
      <c r="L48" t="s">
        <v>139</v>
      </c>
      <c r="M48" t="s">
        <v>139</v>
      </c>
    </row>
    <row r="49" spans="1:14" x14ac:dyDescent="0.45">
      <c r="A49" s="5" t="s">
        <v>266</v>
      </c>
      <c r="B49" s="5" t="s">
        <v>167</v>
      </c>
      <c r="C49" s="5" t="s">
        <v>267</v>
      </c>
      <c r="D49" s="5" t="s">
        <v>587</v>
      </c>
      <c r="E49" s="5" t="s">
        <v>268</v>
      </c>
      <c r="F49" s="5" t="s">
        <v>269</v>
      </c>
      <c r="G49" s="5" t="s">
        <v>138</v>
      </c>
      <c r="H49" s="5" t="s">
        <v>270</v>
      </c>
      <c r="I49" s="5"/>
      <c r="J49" s="5"/>
      <c r="K49" s="5"/>
      <c r="L49" s="5" t="s">
        <v>139</v>
      </c>
      <c r="M49" s="5" t="s">
        <v>139</v>
      </c>
      <c r="N49" s="5"/>
    </row>
    <row r="50" spans="1:14" x14ac:dyDescent="0.45">
      <c r="A50" s="6" t="s">
        <v>271</v>
      </c>
      <c r="B50" s="7"/>
      <c r="C50" s="7"/>
      <c r="D50" s="7"/>
      <c r="E50" s="7"/>
      <c r="F50" s="7"/>
      <c r="G50" s="7"/>
      <c r="H50" s="7"/>
      <c r="I50" s="7"/>
      <c r="J50" s="7"/>
      <c r="K50" s="7"/>
      <c r="L50" s="7"/>
      <c r="M50" s="7"/>
      <c r="N50" s="7"/>
    </row>
    <row r="51" spans="1:14" x14ac:dyDescent="0.45">
      <c r="A51" t="s">
        <v>272</v>
      </c>
      <c r="B51" t="s">
        <v>224</v>
      </c>
      <c r="C51" t="s">
        <v>273</v>
      </c>
      <c r="D51" t="s">
        <v>274</v>
      </c>
      <c r="E51" t="s">
        <v>275</v>
      </c>
      <c r="F51" t="s">
        <v>276</v>
      </c>
      <c r="G51" t="s">
        <v>145</v>
      </c>
      <c r="L51" t="s">
        <v>139</v>
      </c>
      <c r="M51" t="s">
        <v>139</v>
      </c>
    </row>
    <row r="52" spans="1:14" x14ac:dyDescent="0.45">
      <c r="A52" s="5" t="s">
        <v>277</v>
      </c>
      <c r="B52" s="5" t="s">
        <v>224</v>
      </c>
      <c r="C52" s="5" t="s">
        <v>273</v>
      </c>
      <c r="D52" s="5" t="s">
        <v>274</v>
      </c>
      <c r="E52" s="5" t="s">
        <v>275</v>
      </c>
      <c r="F52" s="5" t="s">
        <v>278</v>
      </c>
      <c r="G52" s="5" t="s">
        <v>145</v>
      </c>
      <c r="H52" s="5"/>
      <c r="I52" s="5"/>
      <c r="J52" s="5"/>
      <c r="K52" s="5"/>
      <c r="L52" s="5" t="s">
        <v>139</v>
      </c>
      <c r="M52" s="5" t="s">
        <v>139</v>
      </c>
      <c r="N52" s="5"/>
    </row>
    <row r="53" spans="1:14" x14ac:dyDescent="0.45">
      <c r="A53" t="s">
        <v>279</v>
      </c>
      <c r="B53" t="s">
        <v>280</v>
      </c>
      <c r="C53" t="s">
        <v>273</v>
      </c>
      <c r="D53" t="s">
        <v>169</v>
      </c>
      <c r="E53" t="s">
        <v>281</v>
      </c>
      <c r="F53" t="s">
        <v>282</v>
      </c>
      <c r="G53" t="s">
        <v>145</v>
      </c>
      <c r="L53" t="s">
        <v>139</v>
      </c>
      <c r="M53" t="s">
        <v>139</v>
      </c>
    </row>
    <row r="54" spans="1:14" x14ac:dyDescent="0.45">
      <c r="A54" s="5" t="s">
        <v>283</v>
      </c>
      <c r="B54" s="5" t="s">
        <v>280</v>
      </c>
      <c r="C54" s="5" t="s">
        <v>273</v>
      </c>
      <c r="D54" s="5" t="s">
        <v>169</v>
      </c>
      <c r="E54" s="5" t="s">
        <v>284</v>
      </c>
      <c r="F54" s="5" t="s">
        <v>285</v>
      </c>
      <c r="G54" s="5" t="s">
        <v>145</v>
      </c>
      <c r="H54" s="5"/>
      <c r="I54" s="5"/>
      <c r="J54" s="5"/>
      <c r="K54" s="5"/>
      <c r="L54" s="5" t="s">
        <v>139</v>
      </c>
      <c r="M54" s="5" t="s">
        <v>139</v>
      </c>
      <c r="N54" s="5"/>
    </row>
    <row r="55" spans="1:14" x14ac:dyDescent="0.45">
      <c r="A55" t="s">
        <v>286</v>
      </c>
      <c r="B55" t="s">
        <v>280</v>
      </c>
      <c r="C55" t="s">
        <v>273</v>
      </c>
      <c r="D55" t="s">
        <v>169</v>
      </c>
      <c r="E55" t="s">
        <v>287</v>
      </c>
      <c r="F55" t="s">
        <v>288</v>
      </c>
      <c r="G55" t="s">
        <v>145</v>
      </c>
      <c r="L55" t="s">
        <v>139</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t="s">
        <v>139</v>
      </c>
      <c r="M57" s="5" t="s">
        <v>139</v>
      </c>
      <c r="N57" s="5"/>
    </row>
    <row r="58" spans="1:14" x14ac:dyDescent="0.45">
      <c r="A58" t="s">
        <v>294</v>
      </c>
      <c r="B58" t="s">
        <v>140</v>
      </c>
      <c r="C58" t="s">
        <v>291</v>
      </c>
      <c r="D58" t="s">
        <v>292</v>
      </c>
      <c r="E58" t="s">
        <v>295</v>
      </c>
      <c r="F58" t="s">
        <v>159</v>
      </c>
      <c r="G58" t="s">
        <v>160</v>
      </c>
      <c r="I58" t="s">
        <v>139</v>
      </c>
      <c r="J58" t="s">
        <v>139</v>
      </c>
      <c r="L58" t="s">
        <v>139</v>
      </c>
      <c r="M58" t="s">
        <v>139</v>
      </c>
    </row>
    <row r="59" spans="1:14" x14ac:dyDescent="0.45">
      <c r="A59" s="5" t="s">
        <v>296</v>
      </c>
      <c r="B59" s="5" t="s">
        <v>140</v>
      </c>
      <c r="C59" s="5" t="s">
        <v>297</v>
      </c>
      <c r="D59" s="5" t="s">
        <v>588</v>
      </c>
      <c r="E59" s="5" t="s">
        <v>589</v>
      </c>
      <c r="F59" s="5" t="s">
        <v>299</v>
      </c>
      <c r="G59" s="5" t="s">
        <v>138</v>
      </c>
      <c r="H59" s="5"/>
      <c r="I59" s="5" t="s">
        <v>139</v>
      </c>
      <c r="J59" s="5" t="s">
        <v>139</v>
      </c>
      <c r="K59" s="5" t="s">
        <v>139</v>
      </c>
      <c r="L59" s="5" t="s">
        <v>139</v>
      </c>
      <c r="M59" s="5" t="s">
        <v>139</v>
      </c>
      <c r="N59" s="5"/>
    </row>
    <row r="60" spans="1:14" x14ac:dyDescent="0.45">
      <c r="A60" t="s">
        <v>300</v>
      </c>
      <c r="B60" t="s">
        <v>140</v>
      </c>
      <c r="C60" t="s">
        <v>301</v>
      </c>
      <c r="D60" t="s">
        <v>135</v>
      </c>
      <c r="E60" t="s">
        <v>302</v>
      </c>
      <c r="F60" t="s">
        <v>159</v>
      </c>
      <c r="G60" t="s">
        <v>160</v>
      </c>
      <c r="J60" t="s">
        <v>139</v>
      </c>
      <c r="L60" t="s">
        <v>139</v>
      </c>
      <c r="M60" t="s">
        <v>139</v>
      </c>
    </row>
    <row r="61" spans="1:14" x14ac:dyDescent="0.45">
      <c r="A61" s="5" t="s">
        <v>303</v>
      </c>
      <c r="B61" s="5" t="s">
        <v>140</v>
      </c>
      <c r="C61" s="5" t="s">
        <v>304</v>
      </c>
      <c r="D61" s="5" t="s">
        <v>135</v>
      </c>
      <c r="E61" s="5" t="s">
        <v>305</v>
      </c>
      <c r="F61" s="5" t="s">
        <v>159</v>
      </c>
      <c r="G61" s="5" t="s">
        <v>160</v>
      </c>
      <c r="H61" s="5"/>
      <c r="I61" s="5"/>
      <c r="J61" s="5" t="s">
        <v>139</v>
      </c>
      <c r="K61" s="5"/>
      <c r="L61" s="5" t="s">
        <v>139</v>
      </c>
      <c r="M61" s="5" t="s">
        <v>139</v>
      </c>
      <c r="N61" s="5"/>
    </row>
    <row r="62" spans="1:14" x14ac:dyDescent="0.45">
      <c r="A62" t="s">
        <v>306</v>
      </c>
      <c r="B62" t="s">
        <v>133</v>
      </c>
      <c r="C62" t="s">
        <v>308</v>
      </c>
      <c r="D62" t="s">
        <v>588</v>
      </c>
      <c r="E62" t="s">
        <v>589</v>
      </c>
      <c r="F62" t="s">
        <v>309</v>
      </c>
      <c r="G62" t="s">
        <v>138</v>
      </c>
      <c r="I62" t="s">
        <v>139</v>
      </c>
      <c r="J62" t="s">
        <v>139</v>
      </c>
      <c r="L62" t="s">
        <v>139</v>
      </c>
      <c r="M62" t="s">
        <v>139</v>
      </c>
    </row>
    <row r="63" spans="1:14" x14ac:dyDescent="0.45">
      <c r="A63" s="5" t="s">
        <v>311</v>
      </c>
      <c r="B63" s="5" t="s">
        <v>140</v>
      </c>
      <c r="C63" s="5" t="s">
        <v>312</v>
      </c>
      <c r="D63" s="5" t="s">
        <v>135</v>
      </c>
      <c r="E63" s="5" t="s">
        <v>313</v>
      </c>
      <c r="F63" s="5" t="s">
        <v>159</v>
      </c>
      <c r="G63" s="5" t="s">
        <v>160</v>
      </c>
      <c r="H63" s="5"/>
      <c r="I63" s="5" t="s">
        <v>139</v>
      </c>
      <c r="J63" s="5" t="s">
        <v>139</v>
      </c>
      <c r="K63" s="5"/>
      <c r="L63" s="5"/>
      <c r="M63" s="5" t="s">
        <v>139</v>
      </c>
      <c r="N63" s="5"/>
    </row>
    <row r="64" spans="1:14" x14ac:dyDescent="0.45">
      <c r="A64" t="s">
        <v>314</v>
      </c>
      <c r="B64" t="s">
        <v>140</v>
      </c>
      <c r="C64" t="s">
        <v>315</v>
      </c>
      <c r="D64" t="s">
        <v>135</v>
      </c>
      <c r="E64" t="s">
        <v>316</v>
      </c>
      <c r="F64" t="s">
        <v>159</v>
      </c>
      <c r="G64" t="s">
        <v>160</v>
      </c>
      <c r="J64" t="s">
        <v>139</v>
      </c>
      <c r="M64" t="s">
        <v>139</v>
      </c>
    </row>
    <row r="65" spans="1:14" x14ac:dyDescent="0.45">
      <c r="A65" s="5" t="s">
        <v>317</v>
      </c>
      <c r="B65" s="5" t="s">
        <v>224</v>
      </c>
      <c r="C65" s="5" t="s">
        <v>318</v>
      </c>
      <c r="D65" s="5" t="s">
        <v>588</v>
      </c>
      <c r="E65" s="5" t="s">
        <v>590</v>
      </c>
      <c r="F65" s="5" t="s">
        <v>319</v>
      </c>
      <c r="G65" s="5" t="s">
        <v>138</v>
      </c>
      <c r="H65" s="5"/>
      <c r="I65" s="5" t="s">
        <v>139</v>
      </c>
      <c r="J65" s="5" t="s">
        <v>139</v>
      </c>
      <c r="K65" s="5"/>
      <c r="L65" s="5" t="s">
        <v>139</v>
      </c>
      <c r="M65" s="5" t="s">
        <v>139</v>
      </c>
      <c r="N65" s="5"/>
    </row>
    <row r="66" spans="1:14" x14ac:dyDescent="0.45">
      <c r="A66" t="s">
        <v>320</v>
      </c>
      <c r="B66" t="s">
        <v>140</v>
      </c>
      <c r="C66" t="s">
        <v>321</v>
      </c>
      <c r="D66" t="s">
        <v>135</v>
      </c>
      <c r="E66" t="s">
        <v>322</v>
      </c>
      <c r="F66" t="s">
        <v>159</v>
      </c>
      <c r="G66" t="s">
        <v>160</v>
      </c>
      <c r="L66" t="s">
        <v>139</v>
      </c>
      <c r="M66" t="s">
        <v>139</v>
      </c>
    </row>
    <row r="67" spans="1:14" x14ac:dyDescent="0.45">
      <c r="A67" s="5" t="s">
        <v>323</v>
      </c>
      <c r="B67" s="5" t="s">
        <v>140</v>
      </c>
      <c r="C67" s="5" t="s">
        <v>324</v>
      </c>
      <c r="D67" s="5" t="s">
        <v>135</v>
      </c>
      <c r="E67" s="5" t="s">
        <v>325</v>
      </c>
      <c r="F67" s="5" t="s">
        <v>159</v>
      </c>
      <c r="G67" s="5" t="s">
        <v>160</v>
      </c>
      <c r="H67" s="5"/>
      <c r="I67" s="5"/>
      <c r="J67" s="5"/>
      <c r="K67" s="5"/>
      <c r="L67" s="5" t="s">
        <v>139</v>
      </c>
      <c r="M67" s="5" t="s">
        <v>139</v>
      </c>
      <c r="N67" s="5"/>
    </row>
    <row r="68" spans="1:14" x14ac:dyDescent="0.45">
      <c r="A68" t="s">
        <v>326</v>
      </c>
      <c r="B68" t="s">
        <v>140</v>
      </c>
      <c r="C68" t="s">
        <v>327</v>
      </c>
      <c r="D68" t="s">
        <v>135</v>
      </c>
      <c r="E68" t="s">
        <v>328</v>
      </c>
      <c r="F68" t="s">
        <v>159</v>
      </c>
      <c r="G68" t="s">
        <v>160</v>
      </c>
      <c r="I68" t="s">
        <v>139</v>
      </c>
      <c r="J68" t="s">
        <v>139</v>
      </c>
      <c r="L68" t="s">
        <v>139</v>
      </c>
      <c r="M68" t="s">
        <v>139</v>
      </c>
    </row>
    <row r="69" spans="1:14" x14ac:dyDescent="0.45">
      <c r="A69" s="6" t="s">
        <v>329</v>
      </c>
      <c r="B69" s="7"/>
      <c r="C69" s="7"/>
      <c r="D69" s="7"/>
      <c r="E69" s="7"/>
      <c r="F69" s="7"/>
      <c r="G69" s="7"/>
      <c r="H69" s="7"/>
      <c r="I69" s="7"/>
      <c r="J69" s="7"/>
      <c r="K69" s="7"/>
      <c r="L69" s="7"/>
      <c r="M69" s="7"/>
      <c r="N69" s="7"/>
    </row>
    <row r="70" spans="1:14" x14ac:dyDescent="0.45">
      <c r="A70" s="5" t="s">
        <v>330</v>
      </c>
      <c r="B70" s="5" t="s">
        <v>140</v>
      </c>
      <c r="C70" s="5" t="s">
        <v>331</v>
      </c>
      <c r="D70" s="5" t="s">
        <v>588</v>
      </c>
      <c r="E70" s="5" t="s">
        <v>589</v>
      </c>
      <c r="F70" s="5" t="s">
        <v>159</v>
      </c>
      <c r="G70" s="5" t="s">
        <v>138</v>
      </c>
      <c r="H70" s="5"/>
      <c r="I70" s="5" t="s">
        <v>139</v>
      </c>
      <c r="J70" s="5" t="s">
        <v>139</v>
      </c>
      <c r="K70" s="5"/>
      <c r="L70" s="5" t="s">
        <v>139</v>
      </c>
      <c r="M70" s="5" t="s">
        <v>139</v>
      </c>
      <c r="N70" s="5"/>
    </row>
    <row r="71" spans="1:14" x14ac:dyDescent="0.45">
      <c r="A71" t="s">
        <v>333</v>
      </c>
      <c r="B71" t="s">
        <v>140</v>
      </c>
      <c r="C71" t="s">
        <v>334</v>
      </c>
      <c r="D71" t="s">
        <v>335</v>
      </c>
      <c r="E71" t="s">
        <v>336</v>
      </c>
      <c r="F71" t="s">
        <v>159</v>
      </c>
      <c r="G71" t="s">
        <v>160</v>
      </c>
      <c r="I71" t="s">
        <v>139</v>
      </c>
      <c r="J71" t="s">
        <v>139</v>
      </c>
      <c r="L71" t="s">
        <v>139</v>
      </c>
      <c r="M71" t="s">
        <v>139</v>
      </c>
    </row>
    <row r="72" spans="1:14" x14ac:dyDescent="0.45">
      <c r="A72" s="5" t="s">
        <v>337</v>
      </c>
      <c r="B72" s="5" t="s">
        <v>140</v>
      </c>
      <c r="C72" s="5" t="s">
        <v>338</v>
      </c>
      <c r="D72" s="5" t="s">
        <v>335</v>
      </c>
      <c r="E72" s="5" t="s">
        <v>339</v>
      </c>
      <c r="F72" s="5" t="s">
        <v>159</v>
      </c>
      <c r="G72" s="5" t="s">
        <v>160</v>
      </c>
      <c r="H72" s="5"/>
      <c r="I72" s="5" t="s">
        <v>139</v>
      </c>
      <c r="J72" s="5" t="s">
        <v>139</v>
      </c>
      <c r="K72" s="5"/>
      <c r="L72" s="5" t="s">
        <v>139</v>
      </c>
      <c r="M72" s="5" t="s">
        <v>139</v>
      </c>
      <c r="N72" s="5"/>
    </row>
    <row r="73" spans="1:14" x14ac:dyDescent="0.45">
      <c r="A73" t="s">
        <v>340</v>
      </c>
      <c r="B73" t="s">
        <v>140</v>
      </c>
      <c r="C73" t="s">
        <v>341</v>
      </c>
      <c r="D73" t="s">
        <v>335</v>
      </c>
      <c r="E73" t="s">
        <v>342</v>
      </c>
      <c r="F73" t="s">
        <v>159</v>
      </c>
      <c r="G73" t="s">
        <v>160</v>
      </c>
      <c r="I73" t="s">
        <v>139</v>
      </c>
      <c r="J73" t="s">
        <v>139</v>
      </c>
      <c r="L73" t="s">
        <v>139</v>
      </c>
      <c r="M73" t="s">
        <v>139</v>
      </c>
    </row>
    <row r="74" spans="1:14" x14ac:dyDescent="0.45">
      <c r="A74" s="5" t="s">
        <v>348</v>
      </c>
      <c r="B74" s="5" t="s">
        <v>140</v>
      </c>
      <c r="C74" s="5" t="s">
        <v>349</v>
      </c>
      <c r="D74" s="5" t="s">
        <v>335</v>
      </c>
      <c r="E74" s="5" t="s">
        <v>350</v>
      </c>
      <c r="F74" s="5" t="s">
        <v>159</v>
      </c>
      <c r="G74" s="5" t="s">
        <v>160</v>
      </c>
      <c r="H74" s="5"/>
      <c r="I74" s="5" t="s">
        <v>139</v>
      </c>
      <c r="J74" s="5" t="s">
        <v>139</v>
      </c>
      <c r="K74" s="5"/>
      <c r="L74" s="5"/>
      <c r="M74" s="5" t="s">
        <v>139</v>
      </c>
      <c r="N74" s="5"/>
    </row>
    <row r="75" spans="1:14" x14ac:dyDescent="0.45">
      <c r="A75" t="s">
        <v>351</v>
      </c>
      <c r="B75" t="s">
        <v>140</v>
      </c>
      <c r="C75" t="s">
        <v>352</v>
      </c>
      <c r="D75" t="s">
        <v>588</v>
      </c>
      <c r="E75" t="s">
        <v>591</v>
      </c>
      <c r="F75" t="s">
        <v>592</v>
      </c>
      <c r="G75" t="s">
        <v>138</v>
      </c>
      <c r="I75" t="s">
        <v>139</v>
      </c>
      <c r="J75" t="s">
        <v>139</v>
      </c>
      <c r="L75" t="s">
        <v>139</v>
      </c>
      <c r="M75" t="s">
        <v>139</v>
      </c>
    </row>
    <row r="76" spans="1:14" x14ac:dyDescent="0.45">
      <c r="A76" s="5" t="s">
        <v>354</v>
      </c>
      <c r="B76" s="5" t="s">
        <v>140</v>
      </c>
      <c r="C76" s="5" t="s">
        <v>355</v>
      </c>
      <c r="D76" s="5" t="s">
        <v>335</v>
      </c>
      <c r="E76" s="5" t="s">
        <v>356</v>
      </c>
      <c r="F76" s="5" t="s">
        <v>159</v>
      </c>
      <c r="G76" s="5" t="s">
        <v>160</v>
      </c>
      <c r="H76" s="5" t="s">
        <v>357</v>
      </c>
      <c r="I76" s="5" t="s">
        <v>139</v>
      </c>
      <c r="J76" s="5" t="s">
        <v>139</v>
      </c>
      <c r="K76" s="5"/>
      <c r="L76" s="5" t="s">
        <v>139</v>
      </c>
      <c r="M76" s="5" t="s">
        <v>139</v>
      </c>
      <c r="N76" s="5"/>
    </row>
    <row r="77" spans="1:14" x14ac:dyDescent="0.45">
      <c r="A77" t="s">
        <v>593</v>
      </c>
      <c r="B77" t="s">
        <v>140</v>
      </c>
      <c r="C77" t="s">
        <v>594</v>
      </c>
      <c r="D77" t="s">
        <v>588</v>
      </c>
      <c r="E77" t="s">
        <v>595</v>
      </c>
      <c r="F77" t="s">
        <v>592</v>
      </c>
      <c r="G77" t="s">
        <v>138</v>
      </c>
      <c r="I77" t="s">
        <v>139</v>
      </c>
      <c r="J77" t="s">
        <v>139</v>
      </c>
      <c r="M77" t="s">
        <v>139</v>
      </c>
    </row>
    <row r="78" spans="1:14" x14ac:dyDescent="0.45">
      <c r="A78" s="5" t="s">
        <v>596</v>
      </c>
      <c r="B78" s="5" t="s">
        <v>140</v>
      </c>
      <c r="C78" s="5" t="s">
        <v>597</v>
      </c>
      <c r="D78" s="5" t="s">
        <v>588</v>
      </c>
      <c r="E78" s="5" t="s">
        <v>595</v>
      </c>
      <c r="F78" s="5" t="s">
        <v>592</v>
      </c>
      <c r="G78" s="5" t="s">
        <v>138</v>
      </c>
      <c r="H78" s="5"/>
      <c r="I78" s="5" t="s">
        <v>139</v>
      </c>
      <c r="J78" s="5" t="s">
        <v>139</v>
      </c>
      <c r="K78" s="5"/>
      <c r="L78" s="5"/>
      <c r="M78" s="5" t="s">
        <v>139</v>
      </c>
      <c r="N78" s="5"/>
    </row>
    <row r="79" spans="1:14" x14ac:dyDescent="0.45">
      <c r="A79" t="s">
        <v>598</v>
      </c>
      <c r="B79" t="s">
        <v>140</v>
      </c>
      <c r="C79" t="s">
        <v>599</v>
      </c>
      <c r="D79" t="s">
        <v>588</v>
      </c>
      <c r="E79" t="s">
        <v>600</v>
      </c>
      <c r="F79" t="s">
        <v>592</v>
      </c>
      <c r="G79" t="s">
        <v>138</v>
      </c>
      <c r="L79" t="s">
        <v>139</v>
      </c>
      <c r="M79" t="s">
        <v>139</v>
      </c>
    </row>
    <row r="80" spans="1:14" x14ac:dyDescent="0.45">
      <c r="A80" s="5" t="s">
        <v>601</v>
      </c>
      <c r="B80" s="5" t="s">
        <v>140</v>
      </c>
      <c r="C80" s="5" t="s">
        <v>602</v>
      </c>
      <c r="D80" s="5" t="s">
        <v>588</v>
      </c>
      <c r="E80" s="5" t="s">
        <v>603</v>
      </c>
      <c r="F80" s="5" t="s">
        <v>604</v>
      </c>
      <c r="G80" s="5" t="s">
        <v>138</v>
      </c>
      <c r="H80" s="5"/>
      <c r="I80" s="5" t="s">
        <v>139</v>
      </c>
      <c r="J80" s="5" t="s">
        <v>139</v>
      </c>
      <c r="K80" s="5"/>
      <c r="L80" s="5"/>
      <c r="M80" s="5" t="s">
        <v>139</v>
      </c>
      <c r="N80" s="5"/>
    </row>
    <row r="81" spans="1:14" x14ac:dyDescent="0.45">
      <c r="A81" t="s">
        <v>605</v>
      </c>
      <c r="B81" t="s">
        <v>140</v>
      </c>
      <c r="C81" t="s">
        <v>606</v>
      </c>
      <c r="D81" t="s">
        <v>588</v>
      </c>
      <c r="E81" t="s">
        <v>607</v>
      </c>
      <c r="F81" t="s">
        <v>592</v>
      </c>
      <c r="G81" t="s">
        <v>138</v>
      </c>
      <c r="I81" t="s">
        <v>139</v>
      </c>
      <c r="J81" t="s">
        <v>139</v>
      </c>
      <c r="M81" t="s">
        <v>139</v>
      </c>
    </row>
    <row r="82" spans="1:14" x14ac:dyDescent="0.45">
      <c r="A82" s="5" t="s">
        <v>608</v>
      </c>
      <c r="B82" s="5" t="s">
        <v>140</v>
      </c>
      <c r="C82" s="5" t="s">
        <v>609</v>
      </c>
      <c r="D82" s="5" t="s">
        <v>588</v>
      </c>
      <c r="E82" s="5" t="s">
        <v>610</v>
      </c>
      <c r="F82" s="5" t="s">
        <v>592</v>
      </c>
      <c r="G82" s="5" t="s">
        <v>138</v>
      </c>
      <c r="H82" s="5"/>
      <c r="I82" s="5"/>
      <c r="J82" s="5" t="s">
        <v>139</v>
      </c>
      <c r="K82" s="5"/>
      <c r="L82" s="5" t="s">
        <v>139</v>
      </c>
      <c r="M82" s="5" t="s">
        <v>139</v>
      </c>
      <c r="N82" s="5"/>
    </row>
    <row r="83" spans="1:14" x14ac:dyDescent="0.45">
      <c r="A83" t="s">
        <v>611</v>
      </c>
      <c r="B83" t="s">
        <v>140</v>
      </c>
      <c r="C83" t="s">
        <v>612</v>
      </c>
      <c r="D83" t="s">
        <v>588</v>
      </c>
      <c r="E83" t="s">
        <v>613</v>
      </c>
      <c r="F83" t="s">
        <v>614</v>
      </c>
      <c r="G83" t="s">
        <v>138</v>
      </c>
      <c r="I83" t="s">
        <v>139</v>
      </c>
      <c r="J83" t="s">
        <v>139</v>
      </c>
      <c r="M83" t="s">
        <v>139</v>
      </c>
    </row>
    <row r="84" spans="1:14" x14ac:dyDescent="0.45">
      <c r="A84" s="5" t="s">
        <v>615</v>
      </c>
      <c r="B84" s="5" t="s">
        <v>140</v>
      </c>
      <c r="C84" s="5" t="s">
        <v>616</v>
      </c>
      <c r="D84" s="5" t="s">
        <v>588</v>
      </c>
      <c r="E84" s="5" t="s">
        <v>617</v>
      </c>
      <c r="F84" s="5" t="s">
        <v>592</v>
      </c>
      <c r="G84" s="5" t="s">
        <v>138</v>
      </c>
      <c r="H84" s="5"/>
      <c r="I84" s="5" t="s">
        <v>139</v>
      </c>
      <c r="J84" s="5" t="s">
        <v>139</v>
      </c>
      <c r="K84" s="5"/>
      <c r="L84" s="5"/>
      <c r="M84" s="5" t="s">
        <v>139</v>
      </c>
      <c r="N84" s="5"/>
    </row>
    <row r="85" spans="1:14" x14ac:dyDescent="0.45">
      <c r="A85" t="s">
        <v>618</v>
      </c>
      <c r="B85" t="s">
        <v>140</v>
      </c>
      <c r="C85" t="s">
        <v>619</v>
      </c>
      <c r="D85" t="s">
        <v>588</v>
      </c>
      <c r="E85" t="s">
        <v>620</v>
      </c>
      <c r="F85" t="s">
        <v>592</v>
      </c>
      <c r="G85" t="s">
        <v>138</v>
      </c>
      <c r="I85" t="s">
        <v>139</v>
      </c>
      <c r="J85" t="s">
        <v>139</v>
      </c>
      <c r="M85" t="s">
        <v>139</v>
      </c>
    </row>
    <row r="86" spans="1:14" x14ac:dyDescent="0.45">
      <c r="A86" s="5" t="s">
        <v>621</v>
      </c>
      <c r="B86" s="5" t="s">
        <v>140</v>
      </c>
      <c r="C86" s="5" t="s">
        <v>622</v>
      </c>
      <c r="D86" s="5" t="s">
        <v>588</v>
      </c>
      <c r="E86" s="5" t="s">
        <v>589</v>
      </c>
      <c r="F86" s="5" t="s">
        <v>592</v>
      </c>
      <c r="G86" s="5" t="s">
        <v>138</v>
      </c>
      <c r="H86" s="5"/>
      <c r="I86" s="5"/>
      <c r="J86" s="5" t="s">
        <v>139</v>
      </c>
      <c r="K86" s="5"/>
      <c r="L86" s="5"/>
      <c r="M86" s="5" t="s">
        <v>139</v>
      </c>
      <c r="N86" s="5"/>
    </row>
    <row r="87" spans="1:14" x14ac:dyDescent="0.45">
      <c r="A87" t="s">
        <v>623</v>
      </c>
      <c r="B87" t="s">
        <v>140</v>
      </c>
      <c r="C87" t="s">
        <v>624</v>
      </c>
      <c r="D87" t="s">
        <v>588</v>
      </c>
      <c r="E87" t="s">
        <v>589</v>
      </c>
      <c r="F87" t="s">
        <v>592</v>
      </c>
      <c r="G87" t="s">
        <v>138</v>
      </c>
      <c r="J87" t="s">
        <v>139</v>
      </c>
      <c r="M87" t="s">
        <v>139</v>
      </c>
    </row>
    <row r="88" spans="1:14" x14ac:dyDescent="0.45">
      <c r="A88" s="5" t="s">
        <v>625</v>
      </c>
      <c r="B88" s="5" t="s">
        <v>140</v>
      </c>
      <c r="C88" s="5" t="s">
        <v>626</v>
      </c>
      <c r="D88" s="5" t="s">
        <v>588</v>
      </c>
      <c r="E88" s="5" t="s">
        <v>589</v>
      </c>
      <c r="F88" s="5" t="s">
        <v>592</v>
      </c>
      <c r="G88" s="5" t="s">
        <v>138</v>
      </c>
      <c r="H88" s="5"/>
      <c r="I88" s="5"/>
      <c r="J88" s="5" t="s">
        <v>139</v>
      </c>
      <c r="K88" s="5"/>
      <c r="L88" s="5"/>
      <c r="M88" s="5" t="s">
        <v>139</v>
      </c>
      <c r="N88" s="5"/>
    </row>
    <row r="89" spans="1:14" x14ac:dyDescent="0.45">
      <c r="A89" t="s">
        <v>627</v>
      </c>
      <c r="B89" t="s">
        <v>140</v>
      </c>
      <c r="C89" t="s">
        <v>344</v>
      </c>
      <c r="D89" t="s">
        <v>588</v>
      </c>
      <c r="E89" t="s">
        <v>589</v>
      </c>
      <c r="F89" t="s">
        <v>592</v>
      </c>
      <c r="G89" t="s">
        <v>145</v>
      </c>
      <c r="I89" t="s">
        <v>139</v>
      </c>
      <c r="J89" t="s">
        <v>139</v>
      </c>
      <c r="M89" t="s">
        <v>139</v>
      </c>
    </row>
    <row r="90" spans="1:14" x14ac:dyDescent="0.45">
      <c r="A90" s="5" t="s">
        <v>628</v>
      </c>
      <c r="B90" s="5" t="s">
        <v>140</v>
      </c>
      <c r="C90" s="5" t="s">
        <v>347</v>
      </c>
      <c r="D90" s="5" t="s">
        <v>588</v>
      </c>
      <c r="E90" s="5" t="s">
        <v>589</v>
      </c>
      <c r="F90" s="5" t="s">
        <v>592</v>
      </c>
      <c r="G90" s="5" t="s">
        <v>145</v>
      </c>
      <c r="H90" s="5"/>
      <c r="I90" s="5" t="s">
        <v>139</v>
      </c>
      <c r="J90" s="5" t="s">
        <v>139</v>
      </c>
      <c r="K90" s="5"/>
      <c r="L90" s="5"/>
      <c r="M90" s="5" t="s">
        <v>139</v>
      </c>
      <c r="N90" s="5"/>
    </row>
    <row r="91" spans="1:14" x14ac:dyDescent="0.45">
      <c r="A91" t="s">
        <v>629</v>
      </c>
      <c r="B91" t="s">
        <v>140</v>
      </c>
      <c r="C91" t="s">
        <v>630</v>
      </c>
      <c r="D91" t="s">
        <v>588</v>
      </c>
      <c r="E91" t="s">
        <v>589</v>
      </c>
      <c r="F91" t="s">
        <v>592</v>
      </c>
      <c r="G91" t="s">
        <v>138</v>
      </c>
      <c r="J91" t="s">
        <v>139</v>
      </c>
      <c r="M91" t="s">
        <v>139</v>
      </c>
    </row>
    <row r="92" spans="1:14" x14ac:dyDescent="0.45">
      <c r="A92" s="6" t="s">
        <v>427</v>
      </c>
      <c r="B92" s="7"/>
      <c r="C92" s="7"/>
      <c r="D92" s="7"/>
      <c r="E92" s="7"/>
      <c r="F92" s="7"/>
      <c r="G92" s="7"/>
      <c r="H92" s="7"/>
      <c r="I92" s="7"/>
      <c r="J92" s="7"/>
      <c r="K92" s="7"/>
      <c r="L92" s="7"/>
      <c r="M92" s="7"/>
      <c r="N92" s="7"/>
    </row>
    <row r="93" spans="1:14" x14ac:dyDescent="0.45">
      <c r="A93" s="5" t="s">
        <v>428</v>
      </c>
      <c r="B93" s="5" t="s">
        <v>133</v>
      </c>
      <c r="C93" s="5" t="s">
        <v>631</v>
      </c>
      <c r="D93" s="5" t="s">
        <v>381</v>
      </c>
      <c r="E93" s="5" t="s">
        <v>430</v>
      </c>
      <c r="F93" s="5" t="s">
        <v>431</v>
      </c>
      <c r="G93" s="5" t="s">
        <v>145</v>
      </c>
      <c r="H93" s="5"/>
      <c r="I93" s="5" t="s">
        <v>139</v>
      </c>
      <c r="J93" s="5" t="s">
        <v>139</v>
      </c>
      <c r="K93" s="5"/>
      <c r="L93" s="5" t="s">
        <v>139</v>
      </c>
      <c r="M93" s="5" t="s">
        <v>139</v>
      </c>
      <c r="N93" s="5"/>
    </row>
    <row r="94" spans="1:14" x14ac:dyDescent="0.45">
      <c r="A94" t="s">
        <v>433</v>
      </c>
      <c r="B94" t="s">
        <v>140</v>
      </c>
      <c r="C94" t="s">
        <v>434</v>
      </c>
      <c r="D94" t="s">
        <v>435</v>
      </c>
      <c r="E94" t="s">
        <v>436</v>
      </c>
      <c r="F94" t="s">
        <v>159</v>
      </c>
      <c r="G94" t="s">
        <v>160</v>
      </c>
      <c r="J94" t="s">
        <v>139</v>
      </c>
      <c r="L94" t="s">
        <v>139</v>
      </c>
      <c r="M94" t="s">
        <v>139</v>
      </c>
    </row>
    <row r="95" spans="1:14" x14ac:dyDescent="0.45">
      <c r="A95" s="6" t="s">
        <v>358</v>
      </c>
      <c r="B95" s="7"/>
      <c r="C95" s="7"/>
      <c r="D95" s="7"/>
      <c r="E95" s="7"/>
      <c r="F95" s="7"/>
      <c r="G95" s="7"/>
      <c r="H95" s="7"/>
      <c r="I95" s="7"/>
      <c r="J95" s="7"/>
      <c r="K95" s="7"/>
      <c r="L95" s="7"/>
      <c r="M95" s="7"/>
      <c r="N95" s="7"/>
    </row>
    <row r="96" spans="1:14" x14ac:dyDescent="0.45">
      <c r="A96" s="5" t="s">
        <v>359</v>
      </c>
      <c r="B96" s="5" t="s">
        <v>140</v>
      </c>
      <c r="C96" s="5" t="s">
        <v>360</v>
      </c>
      <c r="D96" s="5" t="s">
        <v>579</v>
      </c>
      <c r="E96" s="5" t="s">
        <v>632</v>
      </c>
      <c r="F96" s="5" t="s">
        <v>633</v>
      </c>
      <c r="G96" s="5" t="s">
        <v>363</v>
      </c>
      <c r="H96" s="5"/>
      <c r="I96" s="5"/>
      <c r="J96" s="5" t="s">
        <v>139</v>
      </c>
      <c r="K96" s="5" t="s">
        <v>139</v>
      </c>
      <c r="L96" s="5"/>
      <c r="M96" s="5" t="s">
        <v>139</v>
      </c>
      <c r="N96" s="5"/>
    </row>
    <row r="97" spans="1:14" x14ac:dyDescent="0.45">
      <c r="A97" t="s">
        <v>368</v>
      </c>
      <c r="B97" t="s">
        <v>140</v>
      </c>
      <c r="C97" t="s">
        <v>369</v>
      </c>
      <c r="D97" t="s">
        <v>579</v>
      </c>
      <c r="E97" t="s">
        <v>661</v>
      </c>
      <c r="F97" t="s">
        <v>371</v>
      </c>
      <c r="G97" t="s">
        <v>138</v>
      </c>
      <c r="J97" t="s">
        <v>139</v>
      </c>
      <c r="L97" t="s">
        <v>139</v>
      </c>
      <c r="M97" t="s">
        <v>139</v>
      </c>
    </row>
    <row r="98" spans="1:14" x14ac:dyDescent="0.45">
      <c r="A98" s="5" t="s">
        <v>635</v>
      </c>
      <c r="B98" s="5" t="s">
        <v>133</v>
      </c>
      <c r="C98" s="5" t="s">
        <v>636</v>
      </c>
      <c r="D98" s="5" t="s">
        <v>169</v>
      </c>
      <c r="E98" s="5" t="s">
        <v>662</v>
      </c>
      <c r="F98" s="5" t="s">
        <v>638</v>
      </c>
      <c r="G98" s="5" t="s">
        <v>639</v>
      </c>
      <c r="H98" s="5"/>
      <c r="I98" s="5"/>
      <c r="J98" s="5"/>
      <c r="K98" s="5"/>
      <c r="L98" s="5" t="s">
        <v>139</v>
      </c>
      <c r="M98" s="5" t="s">
        <v>139</v>
      </c>
      <c r="N98" s="5"/>
    </row>
    <row r="99" spans="1:14" x14ac:dyDescent="0.45">
      <c r="A99" t="s">
        <v>372</v>
      </c>
      <c r="B99" t="s">
        <v>133</v>
      </c>
      <c r="C99" t="s">
        <v>373</v>
      </c>
      <c r="D99" t="s">
        <v>169</v>
      </c>
      <c r="E99" t="s">
        <v>663</v>
      </c>
      <c r="F99" t="s">
        <v>375</v>
      </c>
      <c r="G99" t="s">
        <v>138</v>
      </c>
      <c r="L99" t="s">
        <v>139</v>
      </c>
      <c r="M99" t="s">
        <v>139</v>
      </c>
    </row>
    <row r="100" spans="1:14" x14ac:dyDescent="0.45">
      <c r="A100" s="5" t="s">
        <v>641</v>
      </c>
      <c r="B100" s="5" t="s">
        <v>140</v>
      </c>
      <c r="C100" s="5" t="s">
        <v>642</v>
      </c>
      <c r="D100" s="5" t="s">
        <v>579</v>
      </c>
      <c r="E100" s="5" t="s">
        <v>643</v>
      </c>
      <c r="F100" s="5" t="s">
        <v>644</v>
      </c>
      <c r="G100" s="5" t="s">
        <v>138</v>
      </c>
      <c r="H100" s="5"/>
      <c r="I100" s="5"/>
      <c r="J100" s="5" t="s">
        <v>139</v>
      </c>
      <c r="K100" s="5"/>
      <c r="L100" s="5" t="s">
        <v>139</v>
      </c>
      <c r="M100" s="5" t="s">
        <v>139</v>
      </c>
      <c r="N100" s="5"/>
    </row>
    <row r="101" spans="1:14" x14ac:dyDescent="0.45">
      <c r="A101" t="s">
        <v>348</v>
      </c>
      <c r="B101" t="s">
        <v>140</v>
      </c>
      <c r="C101" t="s">
        <v>645</v>
      </c>
      <c r="D101" t="s">
        <v>579</v>
      </c>
      <c r="E101" t="s">
        <v>646</v>
      </c>
      <c r="F101" t="s">
        <v>647</v>
      </c>
      <c r="G101" t="s">
        <v>138</v>
      </c>
      <c r="I101" t="s">
        <v>139</v>
      </c>
      <c r="J101" t="s">
        <v>139</v>
      </c>
      <c r="M101" t="s">
        <v>139</v>
      </c>
    </row>
    <row r="102" spans="1:14" x14ac:dyDescent="0.45">
      <c r="A102" s="5" t="s">
        <v>648</v>
      </c>
      <c r="B102" s="5" t="s">
        <v>140</v>
      </c>
      <c r="C102" s="5" t="s">
        <v>649</v>
      </c>
      <c r="D102" s="5" t="s">
        <v>579</v>
      </c>
      <c r="E102" s="5" t="s">
        <v>664</v>
      </c>
      <c r="F102" s="5" t="s">
        <v>651</v>
      </c>
      <c r="G102" s="5" t="s">
        <v>138</v>
      </c>
      <c r="H102" s="5"/>
      <c r="I102" s="5" t="s">
        <v>139</v>
      </c>
      <c r="J102" s="5" t="s">
        <v>139</v>
      </c>
      <c r="K102" s="5"/>
      <c r="L102" s="5"/>
      <c r="M102" s="5" t="s">
        <v>139</v>
      </c>
      <c r="N102" s="5"/>
    </row>
    <row r="103" spans="1:14" x14ac:dyDescent="0.45">
      <c r="A103" t="s">
        <v>652</v>
      </c>
      <c r="B103" t="s">
        <v>140</v>
      </c>
      <c r="C103" t="s">
        <v>653</v>
      </c>
      <c r="D103" t="s">
        <v>579</v>
      </c>
      <c r="E103" t="s">
        <v>654</v>
      </c>
      <c r="F103" t="s">
        <v>655</v>
      </c>
      <c r="G103" t="s">
        <v>138</v>
      </c>
      <c r="J103" t="s">
        <v>139</v>
      </c>
      <c r="M103" t="s">
        <v>139</v>
      </c>
    </row>
    <row r="104" spans="1:14" x14ac:dyDescent="0.45">
      <c r="A104" s="5" t="s">
        <v>656</v>
      </c>
      <c r="B104" s="5" t="s">
        <v>140</v>
      </c>
      <c r="C104" s="5" t="s">
        <v>657</v>
      </c>
      <c r="D104" s="5" t="s">
        <v>579</v>
      </c>
      <c r="E104" s="5" t="s">
        <v>658</v>
      </c>
      <c r="F104" s="5" t="s">
        <v>659</v>
      </c>
      <c r="G104" s="5" t="s">
        <v>138</v>
      </c>
      <c r="H104" s="5"/>
      <c r="I104" s="5" t="s">
        <v>139</v>
      </c>
      <c r="J104" s="5" t="s">
        <v>139</v>
      </c>
      <c r="K104" s="5"/>
      <c r="L104" s="5"/>
      <c r="M104" s="5" t="s">
        <v>139</v>
      </c>
      <c r="N104" s="5"/>
    </row>
  </sheetData>
  <mergeCells count="13">
    <mergeCell ref="B2:N2"/>
    <mergeCell ref="A1:N1"/>
    <mergeCell ref="A92:N92"/>
    <mergeCell ref="B4:N4"/>
    <mergeCell ref="A7:N7"/>
    <mergeCell ref="A95:N95"/>
    <mergeCell ref="B3:N3"/>
    <mergeCell ref="A56:N56"/>
    <mergeCell ref="B5:N5"/>
    <mergeCell ref="A31:N31"/>
    <mergeCell ref="A69:N69"/>
    <mergeCell ref="A12:N12"/>
    <mergeCell ref="A50:N50"/>
  </mergeCells>
  <dataValidations count="1">
    <dataValidation type="list" allowBlank="1" errorTitle="Invalid Review Status" error="Choose a review status from the list." sqref="N2:N104" xr:uid="{00000000-0002-0000-1B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N8"/>
  <sheetViews>
    <sheetView workbookViewId="0">
      <pane ySplit="6" topLeftCell="A7" activePane="bottomLeft" state="frozen"/>
      <selection pane="bottomLeft"/>
    </sheetView>
  </sheetViews>
  <sheetFormatPr defaultRowHeight="14.25" x14ac:dyDescent="0.45"/>
  <cols>
    <col min="1" max="1" width="50" customWidth="1"/>
    <col min="2" max="2" width="16" customWidth="1"/>
    <col min="3" max="3" width="50" customWidth="1"/>
    <col min="4" max="4" width="35" customWidth="1"/>
    <col min="5" max="6" width="50" customWidth="1"/>
    <col min="7" max="7" width="12" customWidth="1"/>
    <col min="8" max="8" width="23"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665</v>
      </c>
      <c r="B1" s="7"/>
      <c r="C1" s="7"/>
      <c r="D1" s="7"/>
      <c r="E1" s="7"/>
      <c r="F1" s="7"/>
      <c r="G1" s="7"/>
      <c r="H1" s="7"/>
      <c r="I1" s="7"/>
      <c r="J1" s="7"/>
      <c r="K1" s="7"/>
      <c r="L1" s="7"/>
      <c r="M1" s="7"/>
      <c r="N1" s="7"/>
    </row>
    <row r="2" spans="1:14" x14ac:dyDescent="0.45">
      <c r="A2" s="4" t="s">
        <v>18</v>
      </c>
      <c r="B2" s="7" t="s">
        <v>95</v>
      </c>
      <c r="C2" s="7"/>
      <c r="D2" s="7"/>
      <c r="E2" s="7"/>
      <c r="F2" s="7"/>
      <c r="G2" s="7"/>
      <c r="H2" s="7"/>
      <c r="I2" s="7"/>
      <c r="J2" s="7"/>
      <c r="K2" s="7"/>
      <c r="L2" s="7"/>
      <c r="M2" s="7"/>
      <c r="N2" s="7"/>
    </row>
    <row r="3" spans="1:14" x14ac:dyDescent="0.45">
      <c r="A3" s="4" t="s">
        <v>19</v>
      </c>
      <c r="B3" s="7" t="s">
        <v>27</v>
      </c>
      <c r="C3" s="7"/>
      <c r="D3" s="7"/>
      <c r="E3" s="7"/>
      <c r="F3" s="7"/>
      <c r="G3" s="7"/>
      <c r="H3" s="7"/>
      <c r="I3" s="7"/>
      <c r="J3" s="7"/>
      <c r="K3" s="7"/>
      <c r="L3" s="7"/>
      <c r="M3" s="7"/>
      <c r="N3" s="7"/>
    </row>
    <row r="4" spans="1:14" x14ac:dyDescent="0.45">
      <c r="A4" s="4" t="s">
        <v>20</v>
      </c>
      <c r="B4" s="7" t="s">
        <v>101</v>
      </c>
      <c r="C4" s="7"/>
      <c r="D4" s="7"/>
      <c r="E4" s="7"/>
      <c r="F4" s="7"/>
      <c r="G4" s="7"/>
      <c r="H4" s="7"/>
      <c r="I4" s="7"/>
      <c r="J4" s="7"/>
      <c r="K4" s="7"/>
      <c r="L4" s="7"/>
      <c r="M4" s="7"/>
      <c r="N4" s="7"/>
    </row>
    <row r="5" spans="1:14" x14ac:dyDescent="0.45">
      <c r="A5" s="4" t="s">
        <v>21</v>
      </c>
      <c r="B5" s="7" t="s">
        <v>31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358</v>
      </c>
      <c r="B7" s="7"/>
      <c r="C7" s="7"/>
      <c r="D7" s="7"/>
      <c r="E7" s="7"/>
      <c r="F7" s="7"/>
      <c r="G7" s="7"/>
      <c r="H7" s="7"/>
      <c r="I7" s="7"/>
      <c r="J7" s="7"/>
      <c r="K7" s="7"/>
      <c r="L7" s="7"/>
      <c r="M7" s="7"/>
      <c r="N7" s="7"/>
    </row>
    <row r="8" spans="1:14" x14ac:dyDescent="0.45">
      <c r="A8" t="s">
        <v>666</v>
      </c>
      <c r="B8" t="s">
        <v>133</v>
      </c>
      <c r="C8" t="s">
        <v>667</v>
      </c>
      <c r="D8" t="s">
        <v>169</v>
      </c>
      <c r="E8" t="s">
        <v>668</v>
      </c>
      <c r="F8" t="s">
        <v>669</v>
      </c>
      <c r="G8" t="s">
        <v>639</v>
      </c>
      <c r="M8" t="s">
        <v>139</v>
      </c>
    </row>
  </sheetData>
  <mergeCells count="6">
    <mergeCell ref="A1:N1"/>
    <mergeCell ref="B5:N5"/>
    <mergeCell ref="B4:N4"/>
    <mergeCell ref="A7:N7"/>
    <mergeCell ref="B3:N3"/>
    <mergeCell ref="B2:N2"/>
  </mergeCells>
  <dataValidations count="1">
    <dataValidation type="list" allowBlank="1" errorTitle="Invalid Review Status" error="Choose a review status from the list." sqref="N2:N8" xr:uid="{00000000-0002-0000-1C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N29"/>
  <sheetViews>
    <sheetView workbookViewId="0">
      <pane ySplit="6" topLeftCell="A7" activePane="bottomLeft" state="frozen"/>
      <selection pane="bottomLeft"/>
    </sheetView>
  </sheetViews>
  <sheetFormatPr defaultRowHeight="14.25" x14ac:dyDescent="0.45"/>
  <cols>
    <col min="1" max="1" width="50" customWidth="1"/>
    <col min="2" max="2" width="16" customWidth="1"/>
    <col min="3" max="3" width="50" customWidth="1"/>
    <col min="4" max="4" width="35" customWidth="1"/>
    <col min="5" max="6" width="50" customWidth="1"/>
    <col min="7" max="7" width="15"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670</v>
      </c>
      <c r="B1" s="7"/>
      <c r="C1" s="7"/>
      <c r="D1" s="7"/>
      <c r="E1" s="7"/>
      <c r="F1" s="7"/>
      <c r="G1" s="7"/>
      <c r="H1" s="7"/>
      <c r="I1" s="7"/>
      <c r="J1" s="7"/>
      <c r="K1" s="7"/>
      <c r="L1" s="7"/>
      <c r="M1" s="7"/>
      <c r="N1" s="7"/>
    </row>
    <row r="2" spans="1:14" x14ac:dyDescent="0.45">
      <c r="A2" s="4" t="s">
        <v>18</v>
      </c>
      <c r="B2" s="7" t="s">
        <v>95</v>
      </c>
      <c r="C2" s="7"/>
      <c r="D2" s="7"/>
      <c r="E2" s="7"/>
      <c r="F2" s="7"/>
      <c r="G2" s="7"/>
      <c r="H2" s="7"/>
      <c r="I2" s="7"/>
      <c r="J2" s="7"/>
      <c r="K2" s="7"/>
      <c r="L2" s="7"/>
      <c r="M2" s="7"/>
      <c r="N2" s="7"/>
    </row>
    <row r="3" spans="1:14" x14ac:dyDescent="0.45">
      <c r="A3" s="4" t="s">
        <v>19</v>
      </c>
      <c r="B3" s="7" t="s">
        <v>27</v>
      </c>
      <c r="C3" s="7"/>
      <c r="D3" s="7"/>
      <c r="E3" s="7"/>
      <c r="F3" s="7"/>
      <c r="G3" s="7"/>
      <c r="H3" s="7"/>
      <c r="I3" s="7"/>
      <c r="J3" s="7"/>
      <c r="K3" s="7"/>
      <c r="L3" s="7"/>
      <c r="M3" s="7"/>
      <c r="N3" s="7"/>
    </row>
    <row r="4" spans="1:14" x14ac:dyDescent="0.45">
      <c r="A4" s="4" t="s">
        <v>20</v>
      </c>
      <c r="B4" s="7" t="s">
        <v>104</v>
      </c>
      <c r="C4" s="7"/>
      <c r="D4" s="7"/>
      <c r="E4" s="7"/>
      <c r="F4" s="7"/>
      <c r="G4" s="7"/>
      <c r="H4" s="7"/>
      <c r="I4" s="7"/>
      <c r="J4" s="7"/>
      <c r="K4" s="7"/>
      <c r="L4" s="7"/>
      <c r="M4" s="7"/>
      <c r="N4" s="7"/>
    </row>
    <row r="5" spans="1:14" x14ac:dyDescent="0.45">
      <c r="A5" s="4" t="s">
        <v>21</v>
      </c>
      <c r="B5" s="7" t="s">
        <v>31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329</v>
      </c>
      <c r="B7" s="7"/>
      <c r="C7" s="7"/>
      <c r="D7" s="7"/>
      <c r="E7" s="7"/>
      <c r="F7" s="7"/>
      <c r="G7" s="7"/>
      <c r="H7" s="7"/>
      <c r="I7" s="7"/>
      <c r="J7" s="7"/>
      <c r="K7" s="7"/>
      <c r="L7" s="7"/>
      <c r="M7" s="7"/>
      <c r="N7" s="7"/>
    </row>
    <row r="8" spans="1:14" x14ac:dyDescent="0.45">
      <c r="A8" t="s">
        <v>330</v>
      </c>
      <c r="B8" t="s">
        <v>140</v>
      </c>
      <c r="C8" t="s">
        <v>331</v>
      </c>
      <c r="D8" t="s">
        <v>588</v>
      </c>
      <c r="E8" t="s">
        <v>589</v>
      </c>
      <c r="F8" t="s">
        <v>159</v>
      </c>
      <c r="G8" t="s">
        <v>138</v>
      </c>
      <c r="I8" t="s">
        <v>139</v>
      </c>
      <c r="J8" t="s">
        <v>139</v>
      </c>
      <c r="L8" t="s">
        <v>139</v>
      </c>
      <c r="M8" t="s">
        <v>139</v>
      </c>
    </row>
    <row r="9" spans="1:14" x14ac:dyDescent="0.45">
      <c r="A9" s="5" t="s">
        <v>333</v>
      </c>
      <c r="B9" s="5" t="s">
        <v>140</v>
      </c>
      <c r="C9" s="5" t="s">
        <v>334</v>
      </c>
      <c r="D9" s="5" t="s">
        <v>335</v>
      </c>
      <c r="E9" s="5" t="s">
        <v>336</v>
      </c>
      <c r="F9" s="5" t="s">
        <v>159</v>
      </c>
      <c r="G9" s="5" t="s">
        <v>160</v>
      </c>
      <c r="H9" s="5"/>
      <c r="I9" s="5" t="s">
        <v>139</v>
      </c>
      <c r="J9" s="5" t="s">
        <v>139</v>
      </c>
      <c r="K9" s="5"/>
      <c r="L9" s="5" t="s">
        <v>139</v>
      </c>
      <c r="M9" s="5" t="s">
        <v>139</v>
      </c>
      <c r="N9" s="5"/>
    </row>
    <row r="10" spans="1:14" x14ac:dyDescent="0.45">
      <c r="A10" t="s">
        <v>337</v>
      </c>
      <c r="B10" t="s">
        <v>140</v>
      </c>
      <c r="C10" t="s">
        <v>338</v>
      </c>
      <c r="D10" t="s">
        <v>335</v>
      </c>
      <c r="E10" t="s">
        <v>339</v>
      </c>
      <c r="F10" t="s">
        <v>159</v>
      </c>
      <c r="G10" t="s">
        <v>160</v>
      </c>
      <c r="I10" t="s">
        <v>139</v>
      </c>
      <c r="J10" t="s">
        <v>139</v>
      </c>
      <c r="L10" t="s">
        <v>139</v>
      </c>
      <c r="M10" t="s">
        <v>139</v>
      </c>
    </row>
    <row r="11" spans="1:14" x14ac:dyDescent="0.45">
      <c r="A11" s="5" t="s">
        <v>340</v>
      </c>
      <c r="B11" s="5" t="s">
        <v>140</v>
      </c>
      <c r="C11" s="5" t="s">
        <v>341</v>
      </c>
      <c r="D11" s="5" t="s">
        <v>335</v>
      </c>
      <c r="E11" s="5" t="s">
        <v>342</v>
      </c>
      <c r="F11" s="5" t="s">
        <v>159</v>
      </c>
      <c r="G11" s="5" t="s">
        <v>160</v>
      </c>
      <c r="H11" s="5"/>
      <c r="I11" s="5" t="s">
        <v>139</v>
      </c>
      <c r="J11" s="5" t="s">
        <v>139</v>
      </c>
      <c r="K11" s="5"/>
      <c r="L11" s="5" t="s">
        <v>139</v>
      </c>
      <c r="M11" s="5" t="s">
        <v>139</v>
      </c>
      <c r="N11" s="5"/>
    </row>
    <row r="12" spans="1:14" x14ac:dyDescent="0.45">
      <c r="A12" t="s">
        <v>348</v>
      </c>
      <c r="B12" t="s">
        <v>140</v>
      </c>
      <c r="C12" t="s">
        <v>349</v>
      </c>
      <c r="D12" t="s">
        <v>335</v>
      </c>
      <c r="E12" t="s">
        <v>350</v>
      </c>
      <c r="F12" t="s">
        <v>159</v>
      </c>
      <c r="G12" t="s">
        <v>160</v>
      </c>
      <c r="I12" t="s">
        <v>139</v>
      </c>
      <c r="J12" t="s">
        <v>139</v>
      </c>
      <c r="M12" t="s">
        <v>139</v>
      </c>
    </row>
    <row r="13" spans="1:14" x14ac:dyDescent="0.45">
      <c r="A13" s="5" t="s">
        <v>351</v>
      </c>
      <c r="B13" s="5" t="s">
        <v>140</v>
      </c>
      <c r="C13" s="5" t="s">
        <v>352</v>
      </c>
      <c r="D13" s="5" t="s">
        <v>588</v>
      </c>
      <c r="E13" s="5" t="s">
        <v>591</v>
      </c>
      <c r="F13" s="5" t="s">
        <v>592</v>
      </c>
      <c r="G13" s="5" t="s">
        <v>138</v>
      </c>
      <c r="H13" s="5"/>
      <c r="I13" s="5" t="s">
        <v>139</v>
      </c>
      <c r="J13" s="5" t="s">
        <v>139</v>
      </c>
      <c r="K13" s="5"/>
      <c r="L13" s="5" t="s">
        <v>139</v>
      </c>
      <c r="M13" s="5" t="s">
        <v>139</v>
      </c>
      <c r="N13" s="5"/>
    </row>
    <row r="14" spans="1:14" x14ac:dyDescent="0.45">
      <c r="A14" t="s">
        <v>354</v>
      </c>
      <c r="B14" t="s">
        <v>140</v>
      </c>
      <c r="C14" t="s">
        <v>355</v>
      </c>
      <c r="D14" t="s">
        <v>335</v>
      </c>
      <c r="E14" t="s">
        <v>356</v>
      </c>
      <c r="F14" t="s">
        <v>159</v>
      </c>
      <c r="G14" t="s">
        <v>160</v>
      </c>
      <c r="H14" t="s">
        <v>357</v>
      </c>
      <c r="I14" t="s">
        <v>139</v>
      </c>
      <c r="J14" t="s">
        <v>139</v>
      </c>
      <c r="L14" t="s">
        <v>139</v>
      </c>
      <c r="M14" t="s">
        <v>139</v>
      </c>
    </row>
    <row r="15" spans="1:14" x14ac:dyDescent="0.45">
      <c r="A15" s="5" t="s">
        <v>593</v>
      </c>
      <c r="B15" s="5" t="s">
        <v>140</v>
      </c>
      <c r="C15" s="5" t="s">
        <v>594</v>
      </c>
      <c r="D15" s="5" t="s">
        <v>588</v>
      </c>
      <c r="E15" s="5" t="s">
        <v>595</v>
      </c>
      <c r="F15" s="5" t="s">
        <v>592</v>
      </c>
      <c r="G15" s="5" t="s">
        <v>138</v>
      </c>
      <c r="H15" s="5"/>
      <c r="I15" s="5" t="s">
        <v>139</v>
      </c>
      <c r="J15" s="5" t="s">
        <v>139</v>
      </c>
      <c r="K15" s="5"/>
      <c r="L15" s="5"/>
      <c r="M15" s="5" t="s">
        <v>139</v>
      </c>
      <c r="N15" s="5"/>
    </row>
    <row r="16" spans="1:14" x14ac:dyDescent="0.45">
      <c r="A16" t="s">
        <v>596</v>
      </c>
      <c r="B16" t="s">
        <v>140</v>
      </c>
      <c r="C16" t="s">
        <v>597</v>
      </c>
      <c r="D16" t="s">
        <v>588</v>
      </c>
      <c r="E16" t="s">
        <v>595</v>
      </c>
      <c r="F16" t="s">
        <v>592</v>
      </c>
      <c r="G16" t="s">
        <v>138</v>
      </c>
      <c r="I16" t="s">
        <v>139</v>
      </c>
      <c r="J16" t="s">
        <v>139</v>
      </c>
      <c r="M16" t="s">
        <v>139</v>
      </c>
    </row>
    <row r="17" spans="1:14" x14ac:dyDescent="0.45">
      <c r="A17" s="5" t="s">
        <v>598</v>
      </c>
      <c r="B17" s="5" t="s">
        <v>140</v>
      </c>
      <c r="C17" s="5" t="s">
        <v>599</v>
      </c>
      <c r="D17" s="5" t="s">
        <v>588</v>
      </c>
      <c r="E17" s="5" t="s">
        <v>600</v>
      </c>
      <c r="F17" s="5" t="s">
        <v>592</v>
      </c>
      <c r="G17" s="5" t="s">
        <v>138</v>
      </c>
      <c r="H17" s="5"/>
      <c r="I17" s="5"/>
      <c r="J17" s="5"/>
      <c r="K17" s="5"/>
      <c r="L17" s="5" t="s">
        <v>139</v>
      </c>
      <c r="M17" s="5" t="s">
        <v>139</v>
      </c>
      <c r="N17" s="5"/>
    </row>
    <row r="18" spans="1:14" x14ac:dyDescent="0.45">
      <c r="A18" t="s">
        <v>601</v>
      </c>
      <c r="B18" t="s">
        <v>140</v>
      </c>
      <c r="C18" t="s">
        <v>602</v>
      </c>
      <c r="D18" t="s">
        <v>588</v>
      </c>
      <c r="E18" t="s">
        <v>603</v>
      </c>
      <c r="F18" t="s">
        <v>604</v>
      </c>
      <c r="G18" t="s">
        <v>138</v>
      </c>
      <c r="I18" t="s">
        <v>139</v>
      </c>
      <c r="J18" t="s">
        <v>139</v>
      </c>
      <c r="M18" t="s">
        <v>139</v>
      </c>
    </row>
    <row r="19" spans="1:14" x14ac:dyDescent="0.45">
      <c r="A19" s="5" t="s">
        <v>605</v>
      </c>
      <c r="B19" s="5" t="s">
        <v>140</v>
      </c>
      <c r="C19" s="5" t="s">
        <v>606</v>
      </c>
      <c r="D19" s="5" t="s">
        <v>588</v>
      </c>
      <c r="E19" s="5" t="s">
        <v>607</v>
      </c>
      <c r="F19" s="5" t="s">
        <v>592</v>
      </c>
      <c r="G19" s="5" t="s">
        <v>138</v>
      </c>
      <c r="H19" s="5"/>
      <c r="I19" s="5" t="s">
        <v>139</v>
      </c>
      <c r="J19" s="5" t="s">
        <v>139</v>
      </c>
      <c r="K19" s="5"/>
      <c r="L19" s="5"/>
      <c r="M19" s="5" t="s">
        <v>139</v>
      </c>
      <c r="N19" s="5"/>
    </row>
    <row r="20" spans="1:14" x14ac:dyDescent="0.45">
      <c r="A20" t="s">
        <v>608</v>
      </c>
      <c r="B20" t="s">
        <v>140</v>
      </c>
      <c r="C20" t="s">
        <v>609</v>
      </c>
      <c r="D20" t="s">
        <v>588</v>
      </c>
      <c r="E20" t="s">
        <v>610</v>
      </c>
      <c r="F20" t="s">
        <v>592</v>
      </c>
      <c r="G20" t="s">
        <v>138</v>
      </c>
      <c r="J20" t="s">
        <v>139</v>
      </c>
      <c r="L20" t="s">
        <v>139</v>
      </c>
      <c r="M20" t="s">
        <v>139</v>
      </c>
    </row>
    <row r="21" spans="1:14" x14ac:dyDescent="0.45">
      <c r="A21" s="5" t="s">
        <v>611</v>
      </c>
      <c r="B21" s="5" t="s">
        <v>140</v>
      </c>
      <c r="C21" s="5" t="s">
        <v>612</v>
      </c>
      <c r="D21" s="5" t="s">
        <v>588</v>
      </c>
      <c r="E21" s="5" t="s">
        <v>613</v>
      </c>
      <c r="F21" s="5" t="s">
        <v>614</v>
      </c>
      <c r="G21" s="5" t="s">
        <v>138</v>
      </c>
      <c r="H21" s="5"/>
      <c r="I21" s="5" t="s">
        <v>139</v>
      </c>
      <c r="J21" s="5" t="s">
        <v>139</v>
      </c>
      <c r="K21" s="5"/>
      <c r="L21" s="5"/>
      <c r="M21" s="5" t="s">
        <v>139</v>
      </c>
      <c r="N21" s="5"/>
    </row>
    <row r="22" spans="1:14" x14ac:dyDescent="0.45">
      <c r="A22" t="s">
        <v>615</v>
      </c>
      <c r="B22" t="s">
        <v>140</v>
      </c>
      <c r="C22" t="s">
        <v>616</v>
      </c>
      <c r="D22" t="s">
        <v>588</v>
      </c>
      <c r="E22" t="s">
        <v>617</v>
      </c>
      <c r="F22" t="s">
        <v>592</v>
      </c>
      <c r="G22" t="s">
        <v>138</v>
      </c>
      <c r="I22" t="s">
        <v>139</v>
      </c>
      <c r="J22" t="s">
        <v>139</v>
      </c>
      <c r="M22" t="s">
        <v>139</v>
      </c>
    </row>
    <row r="23" spans="1:14" x14ac:dyDescent="0.45">
      <c r="A23" s="5" t="s">
        <v>618</v>
      </c>
      <c r="B23" s="5" t="s">
        <v>140</v>
      </c>
      <c r="C23" s="5" t="s">
        <v>619</v>
      </c>
      <c r="D23" s="5" t="s">
        <v>588</v>
      </c>
      <c r="E23" s="5" t="s">
        <v>620</v>
      </c>
      <c r="F23" s="5" t="s">
        <v>592</v>
      </c>
      <c r="G23" s="5" t="s">
        <v>138</v>
      </c>
      <c r="H23" s="5"/>
      <c r="I23" s="5" t="s">
        <v>139</v>
      </c>
      <c r="J23" s="5" t="s">
        <v>139</v>
      </c>
      <c r="K23" s="5"/>
      <c r="L23" s="5"/>
      <c r="M23" s="5" t="s">
        <v>139</v>
      </c>
      <c r="N23" s="5"/>
    </row>
    <row r="24" spans="1:14" x14ac:dyDescent="0.45">
      <c r="A24" t="s">
        <v>621</v>
      </c>
      <c r="B24" t="s">
        <v>140</v>
      </c>
      <c r="C24" t="s">
        <v>622</v>
      </c>
      <c r="D24" t="s">
        <v>588</v>
      </c>
      <c r="E24" t="s">
        <v>589</v>
      </c>
      <c r="F24" t="s">
        <v>592</v>
      </c>
      <c r="G24" t="s">
        <v>138</v>
      </c>
      <c r="J24" t="s">
        <v>139</v>
      </c>
      <c r="M24" t="s">
        <v>139</v>
      </c>
    </row>
    <row r="25" spans="1:14" x14ac:dyDescent="0.45">
      <c r="A25" s="5" t="s">
        <v>623</v>
      </c>
      <c r="B25" s="5" t="s">
        <v>140</v>
      </c>
      <c r="C25" s="5" t="s">
        <v>624</v>
      </c>
      <c r="D25" s="5" t="s">
        <v>588</v>
      </c>
      <c r="E25" s="5" t="s">
        <v>589</v>
      </c>
      <c r="F25" s="5" t="s">
        <v>592</v>
      </c>
      <c r="G25" s="5" t="s">
        <v>138</v>
      </c>
      <c r="H25" s="5"/>
      <c r="I25" s="5"/>
      <c r="J25" s="5" t="s">
        <v>139</v>
      </c>
      <c r="K25" s="5"/>
      <c r="L25" s="5"/>
      <c r="M25" s="5" t="s">
        <v>139</v>
      </c>
      <c r="N25" s="5"/>
    </row>
    <row r="26" spans="1:14" x14ac:dyDescent="0.45">
      <c r="A26" t="s">
        <v>625</v>
      </c>
      <c r="B26" t="s">
        <v>140</v>
      </c>
      <c r="C26" t="s">
        <v>626</v>
      </c>
      <c r="D26" t="s">
        <v>588</v>
      </c>
      <c r="E26" t="s">
        <v>589</v>
      </c>
      <c r="F26" t="s">
        <v>592</v>
      </c>
      <c r="G26" t="s">
        <v>138</v>
      </c>
      <c r="J26" t="s">
        <v>139</v>
      </c>
      <c r="M26" t="s">
        <v>139</v>
      </c>
    </row>
    <row r="27" spans="1:14" x14ac:dyDescent="0.45">
      <c r="A27" s="5" t="s">
        <v>627</v>
      </c>
      <c r="B27" s="5" t="s">
        <v>140</v>
      </c>
      <c r="C27" s="5" t="s">
        <v>344</v>
      </c>
      <c r="D27" s="5" t="s">
        <v>588</v>
      </c>
      <c r="E27" s="5" t="s">
        <v>589</v>
      </c>
      <c r="F27" s="5" t="s">
        <v>592</v>
      </c>
      <c r="G27" s="5" t="s">
        <v>145</v>
      </c>
      <c r="H27" s="5"/>
      <c r="I27" s="5" t="s">
        <v>139</v>
      </c>
      <c r="J27" s="5" t="s">
        <v>139</v>
      </c>
      <c r="K27" s="5"/>
      <c r="L27" s="5"/>
      <c r="M27" s="5" t="s">
        <v>139</v>
      </c>
      <c r="N27" s="5"/>
    </row>
    <row r="28" spans="1:14" x14ac:dyDescent="0.45">
      <c r="A28" t="s">
        <v>628</v>
      </c>
      <c r="B28" t="s">
        <v>140</v>
      </c>
      <c r="C28" t="s">
        <v>347</v>
      </c>
      <c r="D28" t="s">
        <v>588</v>
      </c>
      <c r="E28" t="s">
        <v>589</v>
      </c>
      <c r="F28" t="s">
        <v>592</v>
      </c>
      <c r="G28" t="s">
        <v>145</v>
      </c>
      <c r="I28" t="s">
        <v>139</v>
      </c>
      <c r="J28" t="s">
        <v>139</v>
      </c>
      <c r="M28" t="s">
        <v>139</v>
      </c>
    </row>
    <row r="29" spans="1:14" x14ac:dyDescent="0.45">
      <c r="A29" s="5" t="s">
        <v>629</v>
      </c>
      <c r="B29" s="5" t="s">
        <v>140</v>
      </c>
      <c r="C29" s="5" t="s">
        <v>630</v>
      </c>
      <c r="D29" s="5" t="s">
        <v>588</v>
      </c>
      <c r="E29" s="5" t="s">
        <v>589</v>
      </c>
      <c r="F29" s="5" t="s">
        <v>592</v>
      </c>
      <c r="G29" s="5" t="s">
        <v>138</v>
      </c>
      <c r="H29" s="5"/>
      <c r="I29" s="5"/>
      <c r="J29" s="5" t="s">
        <v>139</v>
      </c>
      <c r="K29" s="5"/>
      <c r="L29" s="5"/>
      <c r="M29" s="5" t="s">
        <v>139</v>
      </c>
      <c r="N29" s="5"/>
    </row>
  </sheetData>
  <mergeCells count="6">
    <mergeCell ref="A1:N1"/>
    <mergeCell ref="B5:N5"/>
    <mergeCell ref="B4:N4"/>
    <mergeCell ref="A7:N7"/>
    <mergeCell ref="B3:N3"/>
    <mergeCell ref="B2:N2"/>
  </mergeCells>
  <dataValidations count="1">
    <dataValidation type="list" allowBlank="1" errorTitle="Invalid Review Status" error="Choose a review status from the list." sqref="N2:N29" xr:uid="{00000000-0002-0000-1D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N81"/>
  <sheetViews>
    <sheetView workbookViewId="0">
      <pane ySplit="6" topLeftCell="A7" activePane="bottomLeft" state="frozen"/>
      <selection pane="bottomLeft"/>
    </sheetView>
  </sheetViews>
  <sheetFormatPr defaultRowHeight="14.25" x14ac:dyDescent="0.45"/>
  <cols>
    <col min="1" max="1" width="50" customWidth="1"/>
    <col min="2" max="2" width="17"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671</v>
      </c>
      <c r="B1" s="7"/>
      <c r="C1" s="7"/>
      <c r="D1" s="7"/>
      <c r="E1" s="7"/>
      <c r="F1" s="7"/>
      <c r="G1" s="7"/>
      <c r="H1" s="7"/>
      <c r="I1" s="7"/>
      <c r="J1" s="7"/>
      <c r="K1" s="7"/>
      <c r="L1" s="7"/>
      <c r="M1" s="7"/>
      <c r="N1" s="7"/>
    </row>
    <row r="2" spans="1:14" x14ac:dyDescent="0.45">
      <c r="A2" s="4" t="s">
        <v>18</v>
      </c>
      <c r="B2" s="7" t="s">
        <v>95</v>
      </c>
      <c r="C2" s="7"/>
      <c r="D2" s="7"/>
      <c r="E2" s="7"/>
      <c r="F2" s="7"/>
      <c r="G2" s="7"/>
      <c r="H2" s="7"/>
      <c r="I2" s="7"/>
      <c r="J2" s="7"/>
      <c r="K2" s="7"/>
      <c r="L2" s="7"/>
      <c r="M2" s="7"/>
      <c r="N2" s="7"/>
    </row>
    <row r="3" spans="1:14" x14ac:dyDescent="0.45">
      <c r="A3" s="4" t="s">
        <v>19</v>
      </c>
      <c r="B3" s="7" t="s">
        <v>27</v>
      </c>
      <c r="C3" s="7"/>
      <c r="D3" s="7"/>
      <c r="E3" s="7"/>
      <c r="F3" s="7"/>
      <c r="G3" s="7"/>
      <c r="H3" s="7"/>
      <c r="I3" s="7"/>
      <c r="J3" s="7"/>
      <c r="K3" s="7"/>
      <c r="L3" s="7"/>
      <c r="M3" s="7"/>
      <c r="N3" s="7"/>
    </row>
    <row r="4" spans="1:14" x14ac:dyDescent="0.45">
      <c r="A4" s="4" t="s">
        <v>20</v>
      </c>
      <c r="B4" s="7" t="s">
        <v>107</v>
      </c>
      <c r="C4" s="7"/>
      <c r="D4" s="7"/>
      <c r="E4" s="7"/>
      <c r="F4" s="7"/>
      <c r="G4" s="7"/>
      <c r="H4" s="7"/>
      <c r="I4" s="7"/>
      <c r="J4" s="7"/>
      <c r="K4" s="7"/>
      <c r="L4" s="7"/>
      <c r="M4" s="7"/>
      <c r="N4" s="7"/>
    </row>
    <row r="5" spans="1:14" x14ac:dyDescent="0.45">
      <c r="A5" s="4" t="s">
        <v>21</v>
      </c>
      <c r="B5" s="7" t="s">
        <v>31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134</v>
      </c>
      <c r="D8" t="s">
        <v>135</v>
      </c>
      <c r="E8" t="s">
        <v>577</v>
      </c>
      <c r="F8" t="s">
        <v>137</v>
      </c>
      <c r="G8" t="s">
        <v>138</v>
      </c>
      <c r="I8" t="s">
        <v>139</v>
      </c>
      <c r="J8" t="s">
        <v>139</v>
      </c>
      <c r="K8" t="s">
        <v>139</v>
      </c>
      <c r="M8" t="s">
        <v>139</v>
      </c>
    </row>
    <row r="9" spans="1:14" x14ac:dyDescent="0.45">
      <c r="A9" s="5" t="s">
        <v>20</v>
      </c>
      <c r="B9" s="5" t="s">
        <v>140</v>
      </c>
      <c r="C9" s="5" t="s">
        <v>578</v>
      </c>
      <c r="D9" s="5" t="s">
        <v>579</v>
      </c>
      <c r="E9" s="5" t="s">
        <v>580</v>
      </c>
      <c r="F9" s="5" t="s">
        <v>581</v>
      </c>
      <c r="G9" s="5" t="s">
        <v>145</v>
      </c>
      <c r="H9" s="5"/>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L10" t="s">
        <v>139</v>
      </c>
      <c r="M10" t="s">
        <v>139</v>
      </c>
    </row>
    <row r="11" spans="1:14" x14ac:dyDescent="0.45">
      <c r="A11" s="5" t="s">
        <v>149</v>
      </c>
      <c r="B11" s="5" t="s">
        <v>133</v>
      </c>
      <c r="C11" s="5" t="s">
        <v>150</v>
      </c>
      <c r="D11" s="5" t="s">
        <v>582</v>
      </c>
      <c r="E11" s="5" t="s">
        <v>583</v>
      </c>
      <c r="F11" s="5" t="s">
        <v>153</v>
      </c>
      <c r="G11" s="5" t="s">
        <v>138</v>
      </c>
      <c r="H11" s="5"/>
      <c r="I11" s="5" t="s">
        <v>139</v>
      </c>
      <c r="J11" s="5" t="s">
        <v>139</v>
      </c>
      <c r="K11" s="5"/>
      <c r="L11" s="5"/>
      <c r="M11" s="5" t="s">
        <v>139</v>
      </c>
      <c r="N11" s="5"/>
    </row>
    <row r="12" spans="1:14" x14ac:dyDescent="0.45">
      <c r="A12" s="6" t="s">
        <v>154</v>
      </c>
      <c r="B12" s="7"/>
      <c r="C12" s="7"/>
      <c r="D12" s="7"/>
      <c r="E12" s="7"/>
      <c r="F12" s="7"/>
      <c r="G12" s="7"/>
      <c r="H12" s="7"/>
      <c r="I12" s="7"/>
      <c r="J12" s="7"/>
      <c r="K12" s="7"/>
      <c r="L12" s="7"/>
      <c r="M12" s="7"/>
      <c r="N12" s="7"/>
    </row>
    <row r="13" spans="1:14" x14ac:dyDescent="0.45">
      <c r="A13" t="s">
        <v>155</v>
      </c>
      <c r="B13" t="s">
        <v>140</v>
      </c>
      <c r="C13" t="s">
        <v>156</v>
      </c>
      <c r="D13" t="s">
        <v>157</v>
      </c>
      <c r="E13" t="s">
        <v>158</v>
      </c>
      <c r="F13" t="s">
        <v>159</v>
      </c>
      <c r="G13" t="s">
        <v>160</v>
      </c>
      <c r="J13" t="s">
        <v>139</v>
      </c>
      <c r="L13" t="s">
        <v>139</v>
      </c>
      <c r="M13" t="s">
        <v>139</v>
      </c>
    </row>
    <row r="14" spans="1:14" x14ac:dyDescent="0.45">
      <c r="A14" s="5" t="s">
        <v>161</v>
      </c>
      <c r="B14" s="5" t="s">
        <v>140</v>
      </c>
      <c r="C14" s="5" t="s">
        <v>156</v>
      </c>
      <c r="D14" s="5" t="s">
        <v>157</v>
      </c>
      <c r="E14" s="5" t="s">
        <v>162</v>
      </c>
      <c r="F14" s="5" t="s">
        <v>159</v>
      </c>
      <c r="G14" s="5" t="s">
        <v>160</v>
      </c>
      <c r="H14" s="5"/>
      <c r="I14" s="5"/>
      <c r="J14" s="5" t="s">
        <v>139</v>
      </c>
      <c r="K14" s="5"/>
      <c r="L14" s="5" t="s">
        <v>139</v>
      </c>
      <c r="M14" s="5" t="s">
        <v>139</v>
      </c>
      <c r="N14" s="5"/>
    </row>
    <row r="15" spans="1:14" x14ac:dyDescent="0.45">
      <c r="A15" t="s">
        <v>163</v>
      </c>
      <c r="B15" t="s">
        <v>140</v>
      </c>
      <c r="C15" t="s">
        <v>164</v>
      </c>
      <c r="D15" t="s">
        <v>157</v>
      </c>
      <c r="E15" t="s">
        <v>392</v>
      </c>
      <c r="F15" t="s">
        <v>159</v>
      </c>
      <c r="G15" t="s">
        <v>160</v>
      </c>
      <c r="M15" t="s">
        <v>139</v>
      </c>
    </row>
    <row r="16" spans="1:14" x14ac:dyDescent="0.45">
      <c r="A16" s="5" t="s">
        <v>166</v>
      </c>
      <c r="B16" s="5" t="s">
        <v>167</v>
      </c>
      <c r="C16" s="5" t="s">
        <v>168</v>
      </c>
      <c r="D16" s="5" t="s">
        <v>169</v>
      </c>
      <c r="E16" s="5" t="s">
        <v>209</v>
      </c>
      <c r="F16" s="5" t="s">
        <v>171</v>
      </c>
      <c r="G16" s="5" t="s">
        <v>138</v>
      </c>
      <c r="H16" s="5"/>
      <c r="I16" s="5"/>
      <c r="J16" s="5"/>
      <c r="K16" s="5"/>
      <c r="L16" s="5" t="s">
        <v>139</v>
      </c>
      <c r="M16" s="5" t="s">
        <v>139</v>
      </c>
      <c r="N16" s="5"/>
    </row>
    <row r="17" spans="1:14" x14ac:dyDescent="0.45">
      <c r="A17" t="s">
        <v>172</v>
      </c>
      <c r="B17" t="s">
        <v>133</v>
      </c>
      <c r="C17" t="s">
        <v>168</v>
      </c>
      <c r="D17" t="s">
        <v>169</v>
      </c>
      <c r="E17" t="s">
        <v>209</v>
      </c>
      <c r="F17" t="s">
        <v>173</v>
      </c>
      <c r="G17" t="s">
        <v>138</v>
      </c>
      <c r="L17" t="s">
        <v>139</v>
      </c>
      <c r="M17" t="s">
        <v>139</v>
      </c>
    </row>
    <row r="18" spans="1:14" x14ac:dyDescent="0.45">
      <c r="A18" s="5" t="s">
        <v>174</v>
      </c>
      <c r="B18" s="5" t="s">
        <v>167</v>
      </c>
      <c r="C18" s="5" t="s">
        <v>175</v>
      </c>
      <c r="D18" s="5" t="s">
        <v>169</v>
      </c>
      <c r="E18" s="5" t="s">
        <v>393</v>
      </c>
      <c r="F18" s="5" t="s">
        <v>177</v>
      </c>
      <c r="G18" s="5" t="s">
        <v>138</v>
      </c>
      <c r="H18" s="5"/>
      <c r="I18" s="5"/>
      <c r="J18" s="5"/>
      <c r="K18" s="5"/>
      <c r="L18" s="5" t="s">
        <v>139</v>
      </c>
      <c r="M18" s="5" t="s">
        <v>139</v>
      </c>
      <c r="N18" s="5"/>
    </row>
    <row r="19" spans="1:14" x14ac:dyDescent="0.45">
      <c r="A19" t="s">
        <v>178</v>
      </c>
      <c r="B19" t="s">
        <v>167</v>
      </c>
      <c r="C19" t="s">
        <v>179</v>
      </c>
      <c r="D19" t="s">
        <v>584</v>
      </c>
      <c r="E19" t="s">
        <v>395</v>
      </c>
      <c r="F19" t="s">
        <v>396</v>
      </c>
      <c r="G19" t="s">
        <v>397</v>
      </c>
      <c r="K19" t="s">
        <v>139</v>
      </c>
      <c r="L19" t="s">
        <v>139</v>
      </c>
      <c r="M19" t="s">
        <v>139</v>
      </c>
    </row>
    <row r="20" spans="1:14" x14ac:dyDescent="0.45">
      <c r="A20" s="5" t="s">
        <v>181</v>
      </c>
      <c r="B20" s="5" t="s">
        <v>167</v>
      </c>
      <c r="C20" s="5" t="s">
        <v>179</v>
      </c>
      <c r="D20" s="5" t="s">
        <v>585</v>
      </c>
      <c r="E20" s="5" t="s">
        <v>395</v>
      </c>
      <c r="F20" s="5" t="s">
        <v>398</v>
      </c>
      <c r="G20" s="5" t="s">
        <v>397</v>
      </c>
      <c r="H20" s="5"/>
      <c r="I20" s="5"/>
      <c r="J20" s="5"/>
      <c r="K20" s="5" t="s">
        <v>139</v>
      </c>
      <c r="L20" s="5" t="s">
        <v>139</v>
      </c>
      <c r="M20" s="5" t="s">
        <v>139</v>
      </c>
      <c r="N20" s="5"/>
    </row>
    <row r="21" spans="1:14" x14ac:dyDescent="0.45">
      <c r="A21" t="s">
        <v>182</v>
      </c>
      <c r="B21" t="s">
        <v>133</v>
      </c>
      <c r="C21" t="s">
        <v>183</v>
      </c>
      <c r="D21" t="s">
        <v>169</v>
      </c>
      <c r="E21" t="s">
        <v>586</v>
      </c>
      <c r="F21" t="s">
        <v>185</v>
      </c>
      <c r="G21" t="s">
        <v>182</v>
      </c>
      <c r="H21" t="s">
        <v>186</v>
      </c>
      <c r="J21" t="s">
        <v>139</v>
      </c>
      <c r="L21" t="s">
        <v>139</v>
      </c>
      <c r="M21" t="s">
        <v>139</v>
      </c>
    </row>
    <row r="22" spans="1:14" x14ac:dyDescent="0.45">
      <c r="A22" s="5" t="s">
        <v>187</v>
      </c>
      <c r="B22" s="5" t="s">
        <v>140</v>
      </c>
      <c r="C22" s="5" t="s">
        <v>188</v>
      </c>
      <c r="D22" s="5" t="s">
        <v>157</v>
      </c>
      <c r="E22" s="5" t="s">
        <v>189</v>
      </c>
      <c r="F22" s="5" t="s">
        <v>159</v>
      </c>
      <c r="G22" s="5" t="s">
        <v>160</v>
      </c>
      <c r="H22" s="5"/>
      <c r="I22" s="5"/>
      <c r="J22" s="5"/>
      <c r="K22" s="5"/>
      <c r="L22" s="5" t="s">
        <v>139</v>
      </c>
      <c r="M22" s="5" t="s">
        <v>139</v>
      </c>
      <c r="N22" s="5"/>
    </row>
    <row r="23" spans="1:14" x14ac:dyDescent="0.45">
      <c r="A23" t="s">
        <v>190</v>
      </c>
      <c r="B23" t="s">
        <v>140</v>
      </c>
      <c r="C23" t="s">
        <v>191</v>
      </c>
      <c r="D23" t="s">
        <v>157</v>
      </c>
      <c r="E23" t="s">
        <v>192</v>
      </c>
      <c r="F23" t="s">
        <v>159</v>
      </c>
      <c r="G23" t="s">
        <v>160</v>
      </c>
      <c r="L23" t="s">
        <v>139</v>
      </c>
      <c r="M23" t="s">
        <v>139</v>
      </c>
    </row>
    <row r="24" spans="1:14" x14ac:dyDescent="0.45">
      <c r="A24" s="5" t="s">
        <v>193</v>
      </c>
      <c r="B24" s="5" t="s">
        <v>140</v>
      </c>
      <c r="C24" s="5" t="s">
        <v>194</v>
      </c>
      <c r="D24" s="5" t="s">
        <v>157</v>
      </c>
      <c r="E24" s="5" t="s">
        <v>195</v>
      </c>
      <c r="F24" s="5" t="s">
        <v>159</v>
      </c>
      <c r="G24" s="5" t="s">
        <v>160</v>
      </c>
      <c r="H24" s="5"/>
      <c r="I24" s="5"/>
      <c r="J24" s="5"/>
      <c r="K24" s="5"/>
      <c r="L24" s="5" t="s">
        <v>139</v>
      </c>
      <c r="M24" s="5" t="s">
        <v>139</v>
      </c>
      <c r="N24" s="5"/>
    </row>
    <row r="25" spans="1:14" x14ac:dyDescent="0.45">
      <c r="A25" t="s">
        <v>196</v>
      </c>
      <c r="B25" t="s">
        <v>140</v>
      </c>
      <c r="C25" t="s">
        <v>197</v>
      </c>
      <c r="D25" t="s">
        <v>157</v>
      </c>
      <c r="E25" t="s">
        <v>198</v>
      </c>
      <c r="F25" t="s">
        <v>159</v>
      </c>
      <c r="G25" t="s">
        <v>160</v>
      </c>
      <c r="L25" t="s">
        <v>139</v>
      </c>
      <c r="M25" t="s">
        <v>139</v>
      </c>
    </row>
    <row r="26" spans="1:14" x14ac:dyDescent="0.45">
      <c r="A26" s="5" t="s">
        <v>199</v>
      </c>
      <c r="B26" s="5" t="s">
        <v>140</v>
      </c>
      <c r="C26" s="5" t="s">
        <v>200</v>
      </c>
      <c r="D26" s="5" t="s">
        <v>157</v>
      </c>
      <c r="E26" s="5" t="s">
        <v>201</v>
      </c>
      <c r="F26" s="5" t="s">
        <v>159</v>
      </c>
      <c r="G26" s="5" t="s">
        <v>160</v>
      </c>
      <c r="H26" s="5"/>
      <c r="I26" s="5"/>
      <c r="J26" s="5"/>
      <c r="K26" s="5"/>
      <c r="L26" s="5" t="s">
        <v>139</v>
      </c>
      <c r="M26" s="5" t="s">
        <v>139</v>
      </c>
      <c r="N26" s="5"/>
    </row>
    <row r="27" spans="1:14" x14ac:dyDescent="0.45">
      <c r="A27" t="s">
        <v>202</v>
      </c>
      <c r="B27" t="s">
        <v>140</v>
      </c>
      <c r="C27" t="s">
        <v>203</v>
      </c>
      <c r="D27" t="s">
        <v>157</v>
      </c>
      <c r="E27" t="s">
        <v>204</v>
      </c>
      <c r="F27" t="s">
        <v>159</v>
      </c>
      <c r="G27" t="s">
        <v>160</v>
      </c>
      <c r="L27" t="s">
        <v>139</v>
      </c>
      <c r="M27" t="s">
        <v>139</v>
      </c>
    </row>
    <row r="28" spans="1:14" x14ac:dyDescent="0.45">
      <c r="A28" s="5" t="s">
        <v>205</v>
      </c>
      <c r="B28" s="5" t="s">
        <v>140</v>
      </c>
      <c r="C28" s="5" t="s">
        <v>206</v>
      </c>
      <c r="D28" s="5" t="s">
        <v>157</v>
      </c>
      <c r="E28" s="5" t="s">
        <v>204</v>
      </c>
      <c r="F28" s="5" t="s">
        <v>159</v>
      </c>
      <c r="G28" s="5" t="s">
        <v>160</v>
      </c>
      <c r="H28" s="5"/>
      <c r="I28" s="5"/>
      <c r="J28" s="5" t="s">
        <v>139</v>
      </c>
      <c r="K28" s="5" t="s">
        <v>139</v>
      </c>
      <c r="L28" s="5"/>
      <c r="M28" s="5" t="s">
        <v>139</v>
      </c>
      <c r="N28" s="5"/>
    </row>
    <row r="29" spans="1:14" x14ac:dyDescent="0.45">
      <c r="A29" t="s">
        <v>207</v>
      </c>
      <c r="B29" t="s">
        <v>133</v>
      </c>
      <c r="C29" t="s">
        <v>208</v>
      </c>
      <c r="D29" t="s">
        <v>169</v>
      </c>
      <c r="E29" t="s">
        <v>209</v>
      </c>
      <c r="F29" t="s">
        <v>210</v>
      </c>
      <c r="G29" t="s">
        <v>138</v>
      </c>
      <c r="H29" t="s">
        <v>211</v>
      </c>
      <c r="J29" t="s">
        <v>139</v>
      </c>
      <c r="L29" t="s">
        <v>139</v>
      </c>
      <c r="M29" t="s">
        <v>139</v>
      </c>
    </row>
    <row r="30" spans="1:14" x14ac:dyDescent="0.45">
      <c r="A30" s="5" t="s">
        <v>212</v>
      </c>
      <c r="B30" s="5" t="s">
        <v>140</v>
      </c>
      <c r="C30" s="5" t="s">
        <v>213</v>
      </c>
      <c r="D30" s="5" t="s">
        <v>214</v>
      </c>
      <c r="E30" s="5" t="s">
        <v>215</v>
      </c>
      <c r="F30" s="5" t="s">
        <v>400</v>
      </c>
      <c r="G30" s="5" t="s">
        <v>138</v>
      </c>
      <c r="H30" s="5"/>
      <c r="I30" s="5"/>
      <c r="J30" s="5" t="s">
        <v>139</v>
      </c>
      <c r="K30" s="5"/>
      <c r="L30" s="5" t="s">
        <v>139</v>
      </c>
      <c r="M30" s="5" t="s">
        <v>139</v>
      </c>
      <c r="N30" s="5"/>
    </row>
    <row r="31" spans="1:14" x14ac:dyDescent="0.45">
      <c r="A31" s="6" t="s">
        <v>216</v>
      </c>
      <c r="B31" s="7"/>
      <c r="C31" s="7"/>
      <c r="D31" s="7"/>
      <c r="E31" s="7"/>
      <c r="F31" s="7"/>
      <c r="G31" s="7"/>
      <c r="H31" s="7"/>
      <c r="I31" s="7"/>
      <c r="J31" s="7"/>
      <c r="K31" s="7"/>
      <c r="L31" s="7"/>
      <c r="M31" s="7"/>
      <c r="N31" s="7"/>
    </row>
    <row r="32" spans="1:14" x14ac:dyDescent="0.45">
      <c r="A32" t="s">
        <v>217</v>
      </c>
      <c r="B32" t="s">
        <v>140</v>
      </c>
      <c r="C32" t="s">
        <v>218</v>
      </c>
      <c r="D32" t="s">
        <v>157</v>
      </c>
      <c r="E32" t="s">
        <v>219</v>
      </c>
      <c r="F32" t="s">
        <v>159</v>
      </c>
      <c r="G32" t="s">
        <v>160</v>
      </c>
      <c r="I32" t="s">
        <v>139</v>
      </c>
      <c r="J32" t="s">
        <v>139</v>
      </c>
      <c r="M32" t="s">
        <v>139</v>
      </c>
    </row>
    <row r="33" spans="1:14" x14ac:dyDescent="0.45">
      <c r="A33" s="5" t="s">
        <v>220</v>
      </c>
      <c r="B33" s="5" t="s">
        <v>140</v>
      </c>
      <c r="C33" s="5" t="s">
        <v>221</v>
      </c>
      <c r="D33" s="5" t="s">
        <v>157</v>
      </c>
      <c r="E33" s="5" t="s">
        <v>222</v>
      </c>
      <c r="F33" s="5" t="s">
        <v>159</v>
      </c>
      <c r="G33" s="5" t="s">
        <v>160</v>
      </c>
      <c r="H33" s="5"/>
      <c r="I33" s="5" t="s">
        <v>139</v>
      </c>
      <c r="J33" s="5" t="s">
        <v>139</v>
      </c>
      <c r="K33" s="5"/>
      <c r="L33" s="5" t="s">
        <v>139</v>
      </c>
      <c r="M33" s="5" t="s">
        <v>139</v>
      </c>
      <c r="N33" s="5"/>
    </row>
    <row r="34" spans="1:14" x14ac:dyDescent="0.45">
      <c r="A34" t="s">
        <v>223</v>
      </c>
      <c r="B34" t="s">
        <v>224</v>
      </c>
      <c r="C34" t="s">
        <v>225</v>
      </c>
      <c r="D34" t="s">
        <v>587</v>
      </c>
      <c r="E34" t="s">
        <v>227</v>
      </c>
      <c r="F34" t="s">
        <v>228</v>
      </c>
      <c r="G34" t="s">
        <v>138</v>
      </c>
      <c r="L34" t="s">
        <v>139</v>
      </c>
      <c r="M34" t="s">
        <v>139</v>
      </c>
    </row>
    <row r="35" spans="1:14" x14ac:dyDescent="0.45">
      <c r="A35" s="5" t="s">
        <v>229</v>
      </c>
      <c r="B35" s="5" t="s">
        <v>167</v>
      </c>
      <c r="C35" s="5" t="s">
        <v>225</v>
      </c>
      <c r="D35" s="5" t="s">
        <v>587</v>
      </c>
      <c r="E35" s="5" t="s">
        <v>227</v>
      </c>
      <c r="F35" s="5" t="s">
        <v>230</v>
      </c>
      <c r="G35" s="5" t="s">
        <v>138</v>
      </c>
      <c r="H35" s="5"/>
      <c r="I35" s="5"/>
      <c r="J35" s="5"/>
      <c r="K35" s="5"/>
      <c r="L35" s="5" t="s">
        <v>139</v>
      </c>
      <c r="M35" s="5" t="s">
        <v>139</v>
      </c>
      <c r="N35" s="5"/>
    </row>
    <row r="36" spans="1:14" x14ac:dyDescent="0.45">
      <c r="A36" t="s">
        <v>231</v>
      </c>
      <c r="B36" t="s">
        <v>167</v>
      </c>
      <c r="C36" t="s">
        <v>225</v>
      </c>
      <c r="D36" t="s">
        <v>587</v>
      </c>
      <c r="E36" t="s">
        <v>227</v>
      </c>
      <c r="F36" t="s">
        <v>232</v>
      </c>
      <c r="G36" t="s">
        <v>138</v>
      </c>
      <c r="L36" t="s">
        <v>139</v>
      </c>
      <c r="M36" t="s">
        <v>139</v>
      </c>
    </row>
    <row r="37" spans="1:14" x14ac:dyDescent="0.45">
      <c r="A37" s="5" t="s">
        <v>233</v>
      </c>
      <c r="B37" s="5" t="s">
        <v>224</v>
      </c>
      <c r="C37" s="5" t="s">
        <v>225</v>
      </c>
      <c r="D37" s="5" t="s">
        <v>587</v>
      </c>
      <c r="E37" s="5" t="s">
        <v>227</v>
      </c>
      <c r="F37" s="5" t="s">
        <v>234</v>
      </c>
      <c r="G37" s="5" t="s">
        <v>138</v>
      </c>
      <c r="H37" s="5"/>
      <c r="I37" s="5"/>
      <c r="J37" s="5"/>
      <c r="K37" s="5"/>
      <c r="L37" s="5" t="s">
        <v>139</v>
      </c>
      <c r="M37" s="5" t="s">
        <v>139</v>
      </c>
      <c r="N37" s="5"/>
    </row>
    <row r="38" spans="1:14" x14ac:dyDescent="0.45">
      <c r="A38" t="s">
        <v>235</v>
      </c>
      <c r="B38" t="s">
        <v>133</v>
      </c>
      <c r="C38" t="s">
        <v>236</v>
      </c>
      <c r="D38" t="s">
        <v>169</v>
      </c>
      <c r="E38" t="s">
        <v>402</v>
      </c>
      <c r="F38" t="s">
        <v>239</v>
      </c>
      <c r="G38" t="s">
        <v>145</v>
      </c>
      <c r="I38" t="s">
        <v>139</v>
      </c>
      <c r="J38" t="s">
        <v>139</v>
      </c>
      <c r="K38" t="s">
        <v>139</v>
      </c>
      <c r="L38" t="s">
        <v>139</v>
      </c>
      <c r="M38" t="s">
        <v>139</v>
      </c>
    </row>
    <row r="39" spans="1:14" x14ac:dyDescent="0.45">
      <c r="A39" s="5" t="s">
        <v>240</v>
      </c>
      <c r="B39" s="5" t="s">
        <v>140</v>
      </c>
      <c r="C39" s="5" t="s">
        <v>241</v>
      </c>
      <c r="D39" s="5" t="s">
        <v>157</v>
      </c>
      <c r="E39" s="5" t="s">
        <v>242</v>
      </c>
      <c r="F39" s="5" t="s">
        <v>159</v>
      </c>
      <c r="G39" s="5" t="s">
        <v>160</v>
      </c>
      <c r="H39" s="5"/>
      <c r="I39" s="5"/>
      <c r="J39" s="5" t="s">
        <v>139</v>
      </c>
      <c r="K39" s="5" t="s">
        <v>139</v>
      </c>
      <c r="L39" s="5" t="s">
        <v>139</v>
      </c>
      <c r="M39" s="5" t="s">
        <v>139</v>
      </c>
      <c r="N39" s="5"/>
    </row>
    <row r="40" spans="1:14" x14ac:dyDescent="0.45">
      <c r="A40" t="s">
        <v>243</v>
      </c>
      <c r="B40" t="s">
        <v>140</v>
      </c>
      <c r="C40" t="s">
        <v>244</v>
      </c>
      <c r="D40" t="s">
        <v>157</v>
      </c>
      <c r="E40" t="s">
        <v>242</v>
      </c>
      <c r="F40" t="s">
        <v>159</v>
      </c>
      <c r="G40" t="s">
        <v>160</v>
      </c>
      <c r="J40" t="s">
        <v>139</v>
      </c>
      <c r="L40" t="s">
        <v>139</v>
      </c>
      <c r="M40" t="s">
        <v>139</v>
      </c>
    </row>
    <row r="41" spans="1:14" x14ac:dyDescent="0.45">
      <c r="A41" s="5" t="s">
        <v>245</v>
      </c>
      <c r="B41" s="5" t="s">
        <v>140</v>
      </c>
      <c r="C41" s="5" t="s">
        <v>246</v>
      </c>
      <c r="D41" s="5" t="s">
        <v>157</v>
      </c>
      <c r="E41" s="5" t="s">
        <v>247</v>
      </c>
      <c r="F41" s="5" t="s">
        <v>159</v>
      </c>
      <c r="G41" s="5" t="s">
        <v>160</v>
      </c>
      <c r="H41" s="5"/>
      <c r="I41" s="5"/>
      <c r="J41" s="5"/>
      <c r="K41" s="5"/>
      <c r="L41" s="5" t="s">
        <v>139</v>
      </c>
      <c r="M41" s="5" t="s">
        <v>139</v>
      </c>
      <c r="N41" s="5"/>
    </row>
    <row r="42" spans="1:14" x14ac:dyDescent="0.45">
      <c r="A42" t="s">
        <v>248</v>
      </c>
      <c r="B42" t="s">
        <v>140</v>
      </c>
      <c r="C42" t="s">
        <v>249</v>
      </c>
      <c r="D42" t="s">
        <v>157</v>
      </c>
      <c r="E42" t="s">
        <v>247</v>
      </c>
      <c r="F42" t="s">
        <v>159</v>
      </c>
      <c r="G42" t="s">
        <v>160</v>
      </c>
      <c r="J42" t="s">
        <v>139</v>
      </c>
      <c r="K42" t="s">
        <v>139</v>
      </c>
      <c r="L42" t="s">
        <v>139</v>
      </c>
      <c r="M42" t="s">
        <v>139</v>
      </c>
    </row>
    <row r="43" spans="1:14" x14ac:dyDescent="0.45">
      <c r="A43" s="5" t="s">
        <v>250</v>
      </c>
      <c r="B43" s="5" t="s">
        <v>140</v>
      </c>
      <c r="C43" s="5" t="s">
        <v>251</v>
      </c>
      <c r="D43" s="5" t="s">
        <v>157</v>
      </c>
      <c r="E43" s="5" t="s">
        <v>252</v>
      </c>
      <c r="F43" s="5" t="s">
        <v>159</v>
      </c>
      <c r="G43" s="5" t="s">
        <v>160</v>
      </c>
      <c r="H43" s="5"/>
      <c r="I43" s="5"/>
      <c r="J43" s="5" t="s">
        <v>139</v>
      </c>
      <c r="K43" s="5"/>
      <c r="L43" s="5" t="s">
        <v>139</v>
      </c>
      <c r="M43" s="5" t="s">
        <v>139</v>
      </c>
      <c r="N43" s="5"/>
    </row>
    <row r="44" spans="1:14" x14ac:dyDescent="0.45">
      <c r="A44" t="s">
        <v>253</v>
      </c>
      <c r="B44" t="s">
        <v>140</v>
      </c>
      <c r="C44" t="s">
        <v>251</v>
      </c>
      <c r="D44" t="s">
        <v>157</v>
      </c>
      <c r="E44" t="s">
        <v>252</v>
      </c>
      <c r="F44" t="s">
        <v>159</v>
      </c>
      <c r="G44" t="s">
        <v>160</v>
      </c>
      <c r="J44" t="s">
        <v>139</v>
      </c>
      <c r="L44" t="s">
        <v>139</v>
      </c>
      <c r="M44" t="s">
        <v>139</v>
      </c>
    </row>
    <row r="45" spans="1:14" x14ac:dyDescent="0.45">
      <c r="A45" s="5" t="s">
        <v>254</v>
      </c>
      <c r="B45" s="5" t="s">
        <v>140</v>
      </c>
      <c r="C45" s="5" t="s">
        <v>255</v>
      </c>
      <c r="D45" s="5" t="s">
        <v>157</v>
      </c>
      <c r="E45" s="5" t="s">
        <v>256</v>
      </c>
      <c r="F45" s="5" t="s">
        <v>159</v>
      </c>
      <c r="G45" s="5" t="s">
        <v>160</v>
      </c>
      <c r="H45" s="5"/>
      <c r="I45" s="5" t="s">
        <v>139</v>
      </c>
      <c r="J45" s="5"/>
      <c r="K45" s="5"/>
      <c r="L45" s="5" t="s">
        <v>139</v>
      </c>
      <c r="M45" s="5" t="s">
        <v>139</v>
      </c>
      <c r="N45" s="5"/>
    </row>
    <row r="46" spans="1:14" x14ac:dyDescent="0.45">
      <c r="A46" t="s">
        <v>257</v>
      </c>
      <c r="B46" t="s">
        <v>140</v>
      </c>
      <c r="C46" t="s">
        <v>258</v>
      </c>
      <c r="D46" t="s">
        <v>157</v>
      </c>
      <c r="E46" t="s">
        <v>242</v>
      </c>
      <c r="F46" t="s">
        <v>159</v>
      </c>
      <c r="G46" t="s">
        <v>160</v>
      </c>
      <c r="I46" t="s">
        <v>139</v>
      </c>
      <c r="J46" t="s">
        <v>139</v>
      </c>
      <c r="L46" t="s">
        <v>139</v>
      </c>
      <c r="M46" t="s">
        <v>139</v>
      </c>
    </row>
    <row r="47" spans="1:14" x14ac:dyDescent="0.45">
      <c r="A47" s="5" t="s">
        <v>259</v>
      </c>
      <c r="B47" s="5" t="s">
        <v>140</v>
      </c>
      <c r="C47" s="5" t="s">
        <v>260</v>
      </c>
      <c r="D47" s="5" t="s">
        <v>157</v>
      </c>
      <c r="E47" s="5" t="s">
        <v>242</v>
      </c>
      <c r="F47" s="5" t="s">
        <v>159</v>
      </c>
      <c r="G47" s="5" t="s">
        <v>160</v>
      </c>
      <c r="H47" s="5"/>
      <c r="I47" s="5"/>
      <c r="J47" s="5"/>
      <c r="K47" s="5"/>
      <c r="L47" s="5" t="s">
        <v>139</v>
      </c>
      <c r="M47" s="5" t="s">
        <v>139</v>
      </c>
      <c r="N47" s="5"/>
    </row>
    <row r="48" spans="1:14" x14ac:dyDescent="0.45">
      <c r="A48" t="s">
        <v>261</v>
      </c>
      <c r="B48" t="s">
        <v>224</v>
      </c>
      <c r="C48" t="s">
        <v>262</v>
      </c>
      <c r="D48" t="s">
        <v>169</v>
      </c>
      <c r="E48" t="s">
        <v>263</v>
      </c>
      <c r="F48" t="s">
        <v>264</v>
      </c>
      <c r="G48" t="s">
        <v>138</v>
      </c>
      <c r="H48" t="s">
        <v>265</v>
      </c>
      <c r="L48" t="s">
        <v>139</v>
      </c>
      <c r="M48" t="s">
        <v>139</v>
      </c>
    </row>
    <row r="49" spans="1:14" x14ac:dyDescent="0.45">
      <c r="A49" s="5" t="s">
        <v>266</v>
      </c>
      <c r="B49" s="5" t="s">
        <v>167</v>
      </c>
      <c r="C49" s="5" t="s">
        <v>267</v>
      </c>
      <c r="D49" s="5" t="s">
        <v>587</v>
      </c>
      <c r="E49" s="5" t="s">
        <v>268</v>
      </c>
      <c r="F49" s="5" t="s">
        <v>269</v>
      </c>
      <c r="G49" s="5" t="s">
        <v>138</v>
      </c>
      <c r="H49" s="5" t="s">
        <v>270</v>
      </c>
      <c r="I49" s="5"/>
      <c r="J49" s="5"/>
      <c r="K49" s="5"/>
      <c r="L49" s="5" t="s">
        <v>139</v>
      </c>
      <c r="M49" s="5" t="s">
        <v>139</v>
      </c>
      <c r="N49" s="5"/>
    </row>
    <row r="50" spans="1:14" x14ac:dyDescent="0.45">
      <c r="A50" s="6" t="s">
        <v>271</v>
      </c>
      <c r="B50" s="7"/>
      <c r="C50" s="7"/>
      <c r="D50" s="7"/>
      <c r="E50" s="7"/>
      <c r="F50" s="7"/>
      <c r="G50" s="7"/>
      <c r="H50" s="7"/>
      <c r="I50" s="7"/>
      <c r="J50" s="7"/>
      <c r="K50" s="7"/>
      <c r="L50" s="7"/>
      <c r="M50" s="7"/>
      <c r="N50" s="7"/>
    </row>
    <row r="51" spans="1:14" x14ac:dyDescent="0.45">
      <c r="A51" t="s">
        <v>272</v>
      </c>
      <c r="B51" t="s">
        <v>224</v>
      </c>
      <c r="C51" t="s">
        <v>273</v>
      </c>
      <c r="D51" t="s">
        <v>274</v>
      </c>
      <c r="E51" t="s">
        <v>275</v>
      </c>
      <c r="F51" t="s">
        <v>276</v>
      </c>
      <c r="G51" t="s">
        <v>145</v>
      </c>
      <c r="L51" t="s">
        <v>139</v>
      </c>
      <c r="M51" t="s">
        <v>139</v>
      </c>
    </row>
    <row r="52" spans="1:14" x14ac:dyDescent="0.45">
      <c r="A52" s="5" t="s">
        <v>277</v>
      </c>
      <c r="B52" s="5" t="s">
        <v>224</v>
      </c>
      <c r="C52" s="5" t="s">
        <v>273</v>
      </c>
      <c r="D52" s="5" t="s">
        <v>274</v>
      </c>
      <c r="E52" s="5" t="s">
        <v>275</v>
      </c>
      <c r="F52" s="5" t="s">
        <v>278</v>
      </c>
      <c r="G52" s="5" t="s">
        <v>145</v>
      </c>
      <c r="H52" s="5"/>
      <c r="I52" s="5"/>
      <c r="J52" s="5"/>
      <c r="K52" s="5"/>
      <c r="L52" s="5" t="s">
        <v>139</v>
      </c>
      <c r="M52" s="5" t="s">
        <v>139</v>
      </c>
      <c r="N52" s="5"/>
    </row>
    <row r="53" spans="1:14" x14ac:dyDescent="0.45">
      <c r="A53" t="s">
        <v>279</v>
      </c>
      <c r="B53" t="s">
        <v>280</v>
      </c>
      <c r="C53" t="s">
        <v>273</v>
      </c>
      <c r="D53" t="s">
        <v>169</v>
      </c>
      <c r="E53" t="s">
        <v>281</v>
      </c>
      <c r="F53" t="s">
        <v>282</v>
      </c>
      <c r="G53" t="s">
        <v>145</v>
      </c>
      <c r="L53" t="s">
        <v>139</v>
      </c>
      <c r="M53" t="s">
        <v>139</v>
      </c>
    </row>
    <row r="54" spans="1:14" x14ac:dyDescent="0.45">
      <c r="A54" s="5" t="s">
        <v>283</v>
      </c>
      <c r="B54" s="5" t="s">
        <v>280</v>
      </c>
      <c r="C54" s="5" t="s">
        <v>273</v>
      </c>
      <c r="D54" s="5" t="s">
        <v>169</v>
      </c>
      <c r="E54" s="5" t="s">
        <v>284</v>
      </c>
      <c r="F54" s="5" t="s">
        <v>285</v>
      </c>
      <c r="G54" s="5" t="s">
        <v>145</v>
      </c>
      <c r="H54" s="5"/>
      <c r="I54" s="5"/>
      <c r="J54" s="5"/>
      <c r="K54" s="5"/>
      <c r="L54" s="5" t="s">
        <v>139</v>
      </c>
      <c r="M54" s="5" t="s">
        <v>139</v>
      </c>
      <c r="N54" s="5"/>
    </row>
    <row r="55" spans="1:14" x14ac:dyDescent="0.45">
      <c r="A55" t="s">
        <v>286</v>
      </c>
      <c r="B55" t="s">
        <v>280</v>
      </c>
      <c r="C55" t="s">
        <v>273</v>
      </c>
      <c r="D55" t="s">
        <v>169</v>
      </c>
      <c r="E55" t="s">
        <v>287</v>
      </c>
      <c r="F55" t="s">
        <v>288</v>
      </c>
      <c r="G55" t="s">
        <v>145</v>
      </c>
      <c r="L55" t="s">
        <v>139</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t="s">
        <v>139</v>
      </c>
      <c r="M57" s="5" t="s">
        <v>139</v>
      </c>
      <c r="N57" s="5"/>
    </row>
    <row r="58" spans="1:14" x14ac:dyDescent="0.45">
      <c r="A58" t="s">
        <v>294</v>
      </c>
      <c r="B58" t="s">
        <v>140</v>
      </c>
      <c r="C58" t="s">
        <v>291</v>
      </c>
      <c r="D58" t="s">
        <v>292</v>
      </c>
      <c r="E58" t="s">
        <v>295</v>
      </c>
      <c r="F58" t="s">
        <v>159</v>
      </c>
      <c r="G58" t="s">
        <v>160</v>
      </c>
      <c r="I58" t="s">
        <v>139</v>
      </c>
      <c r="J58" t="s">
        <v>139</v>
      </c>
      <c r="L58" t="s">
        <v>139</v>
      </c>
      <c r="M58" t="s">
        <v>139</v>
      </c>
    </row>
    <row r="59" spans="1:14" x14ac:dyDescent="0.45">
      <c r="A59" s="5" t="s">
        <v>296</v>
      </c>
      <c r="B59" s="5" t="s">
        <v>140</v>
      </c>
      <c r="C59" s="5" t="s">
        <v>297</v>
      </c>
      <c r="D59" s="5" t="s">
        <v>588</v>
      </c>
      <c r="E59" s="5" t="s">
        <v>589</v>
      </c>
      <c r="F59" s="5" t="s">
        <v>592</v>
      </c>
      <c r="G59" s="5" t="s">
        <v>138</v>
      </c>
      <c r="H59" s="5"/>
      <c r="I59" s="5" t="s">
        <v>139</v>
      </c>
      <c r="J59" s="5" t="s">
        <v>139</v>
      </c>
      <c r="K59" s="5" t="s">
        <v>139</v>
      </c>
      <c r="L59" s="5" t="s">
        <v>139</v>
      </c>
      <c r="M59" s="5" t="s">
        <v>139</v>
      </c>
      <c r="N59" s="5"/>
    </row>
    <row r="60" spans="1:14" x14ac:dyDescent="0.45">
      <c r="A60" t="s">
        <v>300</v>
      </c>
      <c r="B60" t="s">
        <v>140</v>
      </c>
      <c r="C60" t="s">
        <v>301</v>
      </c>
      <c r="D60" t="s">
        <v>135</v>
      </c>
      <c r="E60" t="s">
        <v>302</v>
      </c>
      <c r="F60" t="s">
        <v>159</v>
      </c>
      <c r="G60" t="s">
        <v>160</v>
      </c>
      <c r="J60" t="s">
        <v>139</v>
      </c>
      <c r="L60" t="s">
        <v>139</v>
      </c>
      <c r="M60" t="s">
        <v>139</v>
      </c>
    </row>
    <row r="61" spans="1:14" x14ac:dyDescent="0.45">
      <c r="A61" s="5" t="s">
        <v>303</v>
      </c>
      <c r="B61" s="5" t="s">
        <v>140</v>
      </c>
      <c r="C61" s="5" t="s">
        <v>304</v>
      </c>
      <c r="D61" s="5" t="s">
        <v>135</v>
      </c>
      <c r="E61" s="5" t="s">
        <v>305</v>
      </c>
      <c r="F61" s="5" t="s">
        <v>159</v>
      </c>
      <c r="G61" s="5" t="s">
        <v>160</v>
      </c>
      <c r="H61" s="5"/>
      <c r="I61" s="5"/>
      <c r="J61" s="5" t="s">
        <v>139</v>
      </c>
      <c r="K61" s="5"/>
      <c r="L61" s="5" t="s">
        <v>139</v>
      </c>
      <c r="M61" s="5" t="s">
        <v>139</v>
      </c>
      <c r="N61" s="5"/>
    </row>
    <row r="62" spans="1:14" x14ac:dyDescent="0.45">
      <c r="A62" t="s">
        <v>306</v>
      </c>
      <c r="B62" t="s">
        <v>140</v>
      </c>
      <c r="C62" t="s">
        <v>308</v>
      </c>
      <c r="D62" t="s">
        <v>588</v>
      </c>
      <c r="E62" t="s">
        <v>589</v>
      </c>
      <c r="F62" t="s">
        <v>592</v>
      </c>
      <c r="G62" t="s">
        <v>138</v>
      </c>
      <c r="I62" t="s">
        <v>139</v>
      </c>
      <c r="J62" t="s">
        <v>139</v>
      </c>
      <c r="L62" t="s">
        <v>139</v>
      </c>
      <c r="M62" t="s">
        <v>139</v>
      </c>
    </row>
    <row r="63" spans="1:14" x14ac:dyDescent="0.45">
      <c r="A63" s="5" t="s">
        <v>311</v>
      </c>
      <c r="B63" s="5" t="s">
        <v>140</v>
      </c>
      <c r="C63" s="5" t="s">
        <v>312</v>
      </c>
      <c r="D63" s="5" t="s">
        <v>135</v>
      </c>
      <c r="E63" s="5" t="s">
        <v>313</v>
      </c>
      <c r="F63" s="5" t="s">
        <v>159</v>
      </c>
      <c r="G63" s="5" t="s">
        <v>160</v>
      </c>
      <c r="H63" s="5"/>
      <c r="I63" s="5" t="s">
        <v>139</v>
      </c>
      <c r="J63" s="5" t="s">
        <v>139</v>
      </c>
      <c r="K63" s="5"/>
      <c r="L63" s="5"/>
      <c r="M63" s="5" t="s">
        <v>139</v>
      </c>
      <c r="N63" s="5"/>
    </row>
    <row r="64" spans="1:14" x14ac:dyDescent="0.45">
      <c r="A64" t="s">
        <v>314</v>
      </c>
      <c r="B64" t="s">
        <v>140</v>
      </c>
      <c r="C64" t="s">
        <v>315</v>
      </c>
      <c r="D64" t="s">
        <v>135</v>
      </c>
      <c r="E64" t="s">
        <v>316</v>
      </c>
      <c r="F64" t="s">
        <v>159</v>
      </c>
      <c r="G64" t="s">
        <v>160</v>
      </c>
      <c r="J64" t="s">
        <v>139</v>
      </c>
      <c r="M64" t="s">
        <v>139</v>
      </c>
    </row>
    <row r="65" spans="1:14" x14ac:dyDescent="0.45">
      <c r="A65" s="5" t="s">
        <v>317</v>
      </c>
      <c r="B65" s="5" t="s">
        <v>140</v>
      </c>
      <c r="C65" s="5" t="s">
        <v>318</v>
      </c>
      <c r="D65" s="5" t="s">
        <v>588</v>
      </c>
      <c r="E65" s="5" t="s">
        <v>590</v>
      </c>
      <c r="F65" s="5" t="s">
        <v>592</v>
      </c>
      <c r="G65" s="5" t="s">
        <v>138</v>
      </c>
      <c r="H65" s="5"/>
      <c r="I65" s="5" t="s">
        <v>139</v>
      </c>
      <c r="J65" s="5" t="s">
        <v>139</v>
      </c>
      <c r="K65" s="5"/>
      <c r="L65" s="5" t="s">
        <v>139</v>
      </c>
      <c r="M65" s="5" t="s">
        <v>139</v>
      </c>
      <c r="N65" s="5"/>
    </row>
    <row r="66" spans="1:14" x14ac:dyDescent="0.45">
      <c r="A66" t="s">
        <v>320</v>
      </c>
      <c r="B66" t="s">
        <v>140</v>
      </c>
      <c r="C66" t="s">
        <v>321</v>
      </c>
      <c r="D66" t="s">
        <v>135</v>
      </c>
      <c r="E66" t="s">
        <v>322</v>
      </c>
      <c r="F66" t="s">
        <v>159</v>
      </c>
      <c r="G66" t="s">
        <v>160</v>
      </c>
      <c r="L66" t="s">
        <v>139</v>
      </c>
      <c r="M66" t="s">
        <v>139</v>
      </c>
    </row>
    <row r="67" spans="1:14" x14ac:dyDescent="0.45">
      <c r="A67" s="5" t="s">
        <v>323</v>
      </c>
      <c r="B67" s="5" t="s">
        <v>140</v>
      </c>
      <c r="C67" s="5" t="s">
        <v>324</v>
      </c>
      <c r="D67" s="5" t="s">
        <v>135</v>
      </c>
      <c r="E67" s="5" t="s">
        <v>325</v>
      </c>
      <c r="F67" s="5" t="s">
        <v>159</v>
      </c>
      <c r="G67" s="5" t="s">
        <v>160</v>
      </c>
      <c r="H67" s="5"/>
      <c r="I67" s="5"/>
      <c r="J67" s="5"/>
      <c r="K67" s="5"/>
      <c r="L67" s="5" t="s">
        <v>139</v>
      </c>
      <c r="M67" s="5" t="s">
        <v>139</v>
      </c>
      <c r="N67" s="5"/>
    </row>
    <row r="68" spans="1:14" x14ac:dyDescent="0.45">
      <c r="A68" t="s">
        <v>326</v>
      </c>
      <c r="B68" t="s">
        <v>140</v>
      </c>
      <c r="C68" t="s">
        <v>327</v>
      </c>
      <c r="D68" t="s">
        <v>135</v>
      </c>
      <c r="E68" t="s">
        <v>328</v>
      </c>
      <c r="F68" t="s">
        <v>159</v>
      </c>
      <c r="G68" t="s">
        <v>160</v>
      </c>
      <c r="I68" t="s">
        <v>139</v>
      </c>
      <c r="J68" t="s">
        <v>139</v>
      </c>
      <c r="L68" t="s">
        <v>139</v>
      </c>
      <c r="M68" t="s">
        <v>139</v>
      </c>
    </row>
    <row r="69" spans="1:14" x14ac:dyDescent="0.45">
      <c r="A69" s="6" t="s">
        <v>427</v>
      </c>
      <c r="B69" s="7"/>
      <c r="C69" s="7"/>
      <c r="D69" s="7"/>
      <c r="E69" s="7"/>
      <c r="F69" s="7"/>
      <c r="G69" s="7"/>
      <c r="H69" s="7"/>
      <c r="I69" s="7"/>
      <c r="J69" s="7"/>
      <c r="K69" s="7"/>
      <c r="L69" s="7"/>
      <c r="M69" s="7"/>
      <c r="N69" s="7"/>
    </row>
    <row r="70" spans="1:14" x14ac:dyDescent="0.45">
      <c r="A70" s="5" t="s">
        <v>428</v>
      </c>
      <c r="B70" s="5" t="s">
        <v>133</v>
      </c>
      <c r="C70" s="5" t="s">
        <v>631</v>
      </c>
      <c r="D70" s="5" t="s">
        <v>381</v>
      </c>
      <c r="E70" s="5" t="s">
        <v>430</v>
      </c>
      <c r="F70" s="5" t="s">
        <v>431</v>
      </c>
      <c r="G70" s="5" t="s">
        <v>145</v>
      </c>
      <c r="H70" s="5"/>
      <c r="I70" s="5" t="s">
        <v>139</v>
      </c>
      <c r="J70" s="5" t="s">
        <v>139</v>
      </c>
      <c r="K70" s="5"/>
      <c r="L70" s="5" t="s">
        <v>139</v>
      </c>
      <c r="M70" s="5" t="s">
        <v>139</v>
      </c>
      <c r="N70" s="5"/>
    </row>
    <row r="71" spans="1:14" x14ac:dyDescent="0.45">
      <c r="A71" t="s">
        <v>433</v>
      </c>
      <c r="B71" t="s">
        <v>140</v>
      </c>
      <c r="C71" t="s">
        <v>434</v>
      </c>
      <c r="D71" t="s">
        <v>435</v>
      </c>
      <c r="E71" t="s">
        <v>436</v>
      </c>
      <c r="F71" t="s">
        <v>159</v>
      </c>
      <c r="G71" t="s">
        <v>160</v>
      </c>
      <c r="J71" t="s">
        <v>139</v>
      </c>
      <c r="L71" t="s">
        <v>139</v>
      </c>
      <c r="M71" t="s">
        <v>139</v>
      </c>
    </row>
    <row r="72" spans="1:14" x14ac:dyDescent="0.45">
      <c r="A72" s="6" t="s">
        <v>358</v>
      </c>
      <c r="B72" s="7"/>
      <c r="C72" s="7"/>
      <c r="D72" s="7"/>
      <c r="E72" s="7"/>
      <c r="F72" s="7"/>
      <c r="G72" s="7"/>
      <c r="H72" s="7"/>
      <c r="I72" s="7"/>
      <c r="J72" s="7"/>
      <c r="K72" s="7"/>
      <c r="L72" s="7"/>
      <c r="M72" s="7"/>
      <c r="N72" s="7"/>
    </row>
    <row r="73" spans="1:14" x14ac:dyDescent="0.45">
      <c r="A73" s="5" t="s">
        <v>359</v>
      </c>
      <c r="B73" s="5" t="s">
        <v>140</v>
      </c>
      <c r="C73" s="5" t="s">
        <v>360</v>
      </c>
      <c r="D73" s="5" t="s">
        <v>579</v>
      </c>
      <c r="E73" s="5" t="s">
        <v>632</v>
      </c>
      <c r="F73" s="5" t="s">
        <v>633</v>
      </c>
      <c r="G73" s="5" t="s">
        <v>363</v>
      </c>
      <c r="H73" s="5"/>
      <c r="I73" s="5"/>
      <c r="J73" s="5" t="s">
        <v>139</v>
      </c>
      <c r="K73" s="5" t="s">
        <v>139</v>
      </c>
      <c r="L73" s="5"/>
      <c r="M73" s="5" t="s">
        <v>139</v>
      </c>
      <c r="N73" s="5"/>
    </row>
    <row r="74" spans="1:14" x14ac:dyDescent="0.45">
      <c r="A74" t="s">
        <v>368</v>
      </c>
      <c r="B74" t="s">
        <v>140</v>
      </c>
      <c r="C74" t="s">
        <v>369</v>
      </c>
      <c r="D74" t="s">
        <v>579</v>
      </c>
      <c r="E74" t="s">
        <v>661</v>
      </c>
      <c r="F74" t="s">
        <v>371</v>
      </c>
      <c r="G74" t="s">
        <v>138</v>
      </c>
      <c r="J74" t="s">
        <v>139</v>
      </c>
      <c r="L74" t="s">
        <v>139</v>
      </c>
      <c r="M74" t="s">
        <v>139</v>
      </c>
    </row>
    <row r="75" spans="1:14" x14ac:dyDescent="0.45">
      <c r="A75" s="5" t="s">
        <v>635</v>
      </c>
      <c r="B75" s="5" t="s">
        <v>133</v>
      </c>
      <c r="C75" s="5" t="s">
        <v>636</v>
      </c>
      <c r="D75" s="5" t="s">
        <v>169</v>
      </c>
      <c r="E75" s="5" t="s">
        <v>662</v>
      </c>
      <c r="F75" s="5" t="s">
        <v>638</v>
      </c>
      <c r="G75" s="5" t="s">
        <v>639</v>
      </c>
      <c r="H75" s="5"/>
      <c r="I75" s="5"/>
      <c r="J75" s="5"/>
      <c r="K75" s="5"/>
      <c r="L75" s="5" t="s">
        <v>139</v>
      </c>
      <c r="M75" s="5" t="s">
        <v>139</v>
      </c>
      <c r="N75" s="5"/>
    </row>
    <row r="76" spans="1:14" x14ac:dyDescent="0.45">
      <c r="A76" t="s">
        <v>372</v>
      </c>
      <c r="B76" t="s">
        <v>133</v>
      </c>
      <c r="C76" t="s">
        <v>373</v>
      </c>
      <c r="D76" t="s">
        <v>169</v>
      </c>
      <c r="E76" t="s">
        <v>663</v>
      </c>
      <c r="F76" t="s">
        <v>375</v>
      </c>
      <c r="G76" t="s">
        <v>138</v>
      </c>
      <c r="L76" t="s">
        <v>139</v>
      </c>
      <c r="M76" t="s">
        <v>139</v>
      </c>
    </row>
    <row r="77" spans="1:14" x14ac:dyDescent="0.45">
      <c r="A77" s="5" t="s">
        <v>641</v>
      </c>
      <c r="B77" s="5" t="s">
        <v>140</v>
      </c>
      <c r="C77" s="5" t="s">
        <v>642</v>
      </c>
      <c r="D77" s="5" t="s">
        <v>579</v>
      </c>
      <c r="E77" s="5" t="s">
        <v>643</v>
      </c>
      <c r="F77" s="5" t="s">
        <v>644</v>
      </c>
      <c r="G77" s="5" t="s">
        <v>138</v>
      </c>
      <c r="H77" s="5"/>
      <c r="I77" s="5"/>
      <c r="J77" s="5" t="s">
        <v>139</v>
      </c>
      <c r="K77" s="5"/>
      <c r="L77" s="5" t="s">
        <v>139</v>
      </c>
      <c r="M77" s="5" t="s">
        <v>139</v>
      </c>
      <c r="N77" s="5"/>
    </row>
    <row r="78" spans="1:14" x14ac:dyDescent="0.45">
      <c r="A78" t="s">
        <v>348</v>
      </c>
      <c r="B78" t="s">
        <v>140</v>
      </c>
      <c r="C78" t="s">
        <v>645</v>
      </c>
      <c r="D78" t="s">
        <v>579</v>
      </c>
      <c r="E78" t="s">
        <v>646</v>
      </c>
      <c r="F78" t="s">
        <v>647</v>
      </c>
      <c r="G78" t="s">
        <v>138</v>
      </c>
      <c r="I78" t="s">
        <v>139</v>
      </c>
      <c r="J78" t="s">
        <v>139</v>
      </c>
      <c r="M78" t="s">
        <v>139</v>
      </c>
    </row>
    <row r="79" spans="1:14" x14ac:dyDescent="0.45">
      <c r="A79" s="5" t="s">
        <v>648</v>
      </c>
      <c r="B79" s="5" t="s">
        <v>140</v>
      </c>
      <c r="C79" s="5" t="s">
        <v>649</v>
      </c>
      <c r="D79" s="5" t="s">
        <v>579</v>
      </c>
      <c r="E79" s="5" t="s">
        <v>664</v>
      </c>
      <c r="F79" s="5" t="s">
        <v>651</v>
      </c>
      <c r="G79" s="5" t="s">
        <v>138</v>
      </c>
      <c r="H79" s="5"/>
      <c r="I79" s="5" t="s">
        <v>139</v>
      </c>
      <c r="J79" s="5" t="s">
        <v>139</v>
      </c>
      <c r="K79" s="5"/>
      <c r="L79" s="5"/>
      <c r="M79" s="5" t="s">
        <v>139</v>
      </c>
      <c r="N79" s="5"/>
    </row>
    <row r="80" spans="1:14" x14ac:dyDescent="0.45">
      <c r="A80" t="s">
        <v>652</v>
      </c>
      <c r="B80" t="s">
        <v>140</v>
      </c>
      <c r="C80" t="s">
        <v>653</v>
      </c>
      <c r="D80" t="s">
        <v>579</v>
      </c>
      <c r="E80" t="s">
        <v>654</v>
      </c>
      <c r="F80" t="s">
        <v>655</v>
      </c>
      <c r="G80" t="s">
        <v>138</v>
      </c>
      <c r="J80" t="s">
        <v>139</v>
      </c>
      <c r="M80" t="s">
        <v>139</v>
      </c>
    </row>
    <row r="81" spans="1:14" x14ac:dyDescent="0.45">
      <c r="A81" s="5" t="s">
        <v>656</v>
      </c>
      <c r="B81" s="5" t="s">
        <v>140</v>
      </c>
      <c r="C81" s="5" t="s">
        <v>657</v>
      </c>
      <c r="D81" s="5" t="s">
        <v>579</v>
      </c>
      <c r="E81" s="5" t="s">
        <v>658</v>
      </c>
      <c r="F81" s="5" t="s">
        <v>659</v>
      </c>
      <c r="G81" s="5" t="s">
        <v>138</v>
      </c>
      <c r="H81" s="5"/>
      <c r="I81" s="5" t="s">
        <v>139</v>
      </c>
      <c r="J81" s="5" t="s">
        <v>139</v>
      </c>
      <c r="K81" s="5"/>
      <c r="L81" s="5"/>
      <c r="M81" s="5" t="s">
        <v>139</v>
      </c>
      <c r="N81" s="5"/>
    </row>
  </sheetData>
  <mergeCells count="12">
    <mergeCell ref="A1:N1"/>
    <mergeCell ref="B4:N4"/>
    <mergeCell ref="A72:N72"/>
    <mergeCell ref="A7:N7"/>
    <mergeCell ref="B3:N3"/>
    <mergeCell ref="B2:N2"/>
    <mergeCell ref="A56:N56"/>
    <mergeCell ref="B5:N5"/>
    <mergeCell ref="A31:N31"/>
    <mergeCell ref="A69:N69"/>
    <mergeCell ref="A12:N12"/>
    <mergeCell ref="A50:N50"/>
  </mergeCells>
  <dataValidations count="1">
    <dataValidation type="list" allowBlank="1" errorTitle="Invalid Review Status" error="Choose a review status from the list." sqref="N2:N81" xr:uid="{00000000-0002-0000-1E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N104"/>
  <sheetViews>
    <sheetView workbookViewId="0">
      <pane ySplit="6" topLeftCell="A7" activePane="bottomLeft" state="frozen"/>
      <selection pane="bottomLeft"/>
    </sheetView>
  </sheetViews>
  <sheetFormatPr defaultRowHeight="14.25" x14ac:dyDescent="0.45"/>
  <cols>
    <col min="1" max="1" width="50" customWidth="1"/>
    <col min="2" max="2" width="20"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672</v>
      </c>
      <c r="B1" s="7"/>
      <c r="C1" s="7"/>
      <c r="D1" s="7"/>
      <c r="E1" s="7"/>
      <c r="F1" s="7"/>
      <c r="G1" s="7"/>
      <c r="H1" s="7"/>
      <c r="I1" s="7"/>
      <c r="J1" s="7"/>
      <c r="K1" s="7"/>
      <c r="L1" s="7"/>
      <c r="M1" s="7"/>
      <c r="N1" s="7"/>
    </row>
    <row r="2" spans="1:14" x14ac:dyDescent="0.45">
      <c r="A2" s="4" t="s">
        <v>18</v>
      </c>
      <c r="B2" s="7" t="s">
        <v>95</v>
      </c>
      <c r="C2" s="7"/>
      <c r="D2" s="7"/>
      <c r="E2" s="7"/>
      <c r="F2" s="7"/>
      <c r="G2" s="7"/>
      <c r="H2" s="7"/>
      <c r="I2" s="7"/>
      <c r="J2" s="7"/>
      <c r="K2" s="7"/>
      <c r="L2" s="7"/>
      <c r="M2" s="7"/>
      <c r="N2" s="7"/>
    </row>
    <row r="3" spans="1:14" x14ac:dyDescent="0.45">
      <c r="A3" s="4" t="s">
        <v>19</v>
      </c>
      <c r="B3" s="7" t="s">
        <v>27</v>
      </c>
      <c r="C3" s="7"/>
      <c r="D3" s="7"/>
      <c r="E3" s="7"/>
      <c r="F3" s="7"/>
      <c r="G3" s="7"/>
      <c r="H3" s="7"/>
      <c r="I3" s="7"/>
      <c r="J3" s="7"/>
      <c r="K3" s="7"/>
      <c r="L3" s="7"/>
      <c r="M3" s="7"/>
      <c r="N3" s="7"/>
    </row>
    <row r="4" spans="1:14" x14ac:dyDescent="0.45">
      <c r="A4" s="4" t="s">
        <v>20</v>
      </c>
      <c r="B4" s="7" t="s">
        <v>110</v>
      </c>
      <c r="C4" s="7"/>
      <c r="D4" s="7"/>
      <c r="E4" s="7"/>
      <c r="F4" s="7"/>
      <c r="G4" s="7"/>
      <c r="H4" s="7"/>
      <c r="I4" s="7"/>
      <c r="J4" s="7"/>
      <c r="K4" s="7"/>
      <c r="L4" s="7"/>
      <c r="M4" s="7"/>
      <c r="N4" s="7"/>
    </row>
    <row r="5" spans="1:14" x14ac:dyDescent="0.45">
      <c r="A5" s="4" t="s">
        <v>21</v>
      </c>
      <c r="B5" s="7" t="s">
        <v>31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134</v>
      </c>
      <c r="D8" t="s">
        <v>135</v>
      </c>
      <c r="E8" t="s">
        <v>577</v>
      </c>
      <c r="F8" t="s">
        <v>137</v>
      </c>
      <c r="G8" t="s">
        <v>138</v>
      </c>
      <c r="I8" t="s">
        <v>139</v>
      </c>
      <c r="J8" t="s">
        <v>139</v>
      </c>
      <c r="K8" t="s">
        <v>139</v>
      </c>
      <c r="M8" t="s">
        <v>139</v>
      </c>
    </row>
    <row r="9" spans="1:14" x14ac:dyDescent="0.45">
      <c r="A9" s="5" t="s">
        <v>20</v>
      </c>
      <c r="B9" s="5" t="s">
        <v>140</v>
      </c>
      <c r="C9" s="5" t="s">
        <v>578</v>
      </c>
      <c r="D9" s="5" t="s">
        <v>579</v>
      </c>
      <c r="E9" s="5" t="s">
        <v>580</v>
      </c>
      <c r="F9" s="5" t="s">
        <v>581</v>
      </c>
      <c r="G9" s="5" t="s">
        <v>145</v>
      </c>
      <c r="H9" s="5"/>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L10" t="s">
        <v>139</v>
      </c>
      <c r="M10" t="s">
        <v>139</v>
      </c>
    </row>
    <row r="11" spans="1:14" x14ac:dyDescent="0.45">
      <c r="A11" s="5" t="s">
        <v>149</v>
      </c>
      <c r="B11" s="5" t="s">
        <v>133</v>
      </c>
      <c r="C11" s="5" t="s">
        <v>150</v>
      </c>
      <c r="D11" s="5" t="s">
        <v>582</v>
      </c>
      <c r="E11" s="5" t="s">
        <v>583</v>
      </c>
      <c r="F11" s="5" t="s">
        <v>153</v>
      </c>
      <c r="G11" s="5" t="s">
        <v>138</v>
      </c>
      <c r="H11" s="5"/>
      <c r="I11" s="5" t="s">
        <v>139</v>
      </c>
      <c r="J11" s="5" t="s">
        <v>139</v>
      </c>
      <c r="K11" s="5"/>
      <c r="L11" s="5"/>
      <c r="M11" s="5" t="s">
        <v>139</v>
      </c>
      <c r="N11" s="5"/>
    </row>
    <row r="12" spans="1:14" x14ac:dyDescent="0.45">
      <c r="A12" s="6" t="s">
        <v>154</v>
      </c>
      <c r="B12" s="7"/>
      <c r="C12" s="7"/>
      <c r="D12" s="7"/>
      <c r="E12" s="7"/>
      <c r="F12" s="7"/>
      <c r="G12" s="7"/>
      <c r="H12" s="7"/>
      <c r="I12" s="7"/>
      <c r="J12" s="7"/>
      <c r="K12" s="7"/>
      <c r="L12" s="7"/>
      <c r="M12" s="7"/>
      <c r="N12" s="7"/>
    </row>
    <row r="13" spans="1:14" x14ac:dyDescent="0.45">
      <c r="A13" t="s">
        <v>155</v>
      </c>
      <c r="B13" t="s">
        <v>140</v>
      </c>
      <c r="C13" t="s">
        <v>156</v>
      </c>
      <c r="D13" t="s">
        <v>157</v>
      </c>
      <c r="E13" t="s">
        <v>158</v>
      </c>
      <c r="F13" t="s">
        <v>159</v>
      </c>
      <c r="G13" t="s">
        <v>160</v>
      </c>
      <c r="J13" t="s">
        <v>139</v>
      </c>
      <c r="L13" t="s">
        <v>139</v>
      </c>
      <c r="M13" t="s">
        <v>139</v>
      </c>
    </row>
    <row r="14" spans="1:14" x14ac:dyDescent="0.45">
      <c r="A14" s="5" t="s">
        <v>161</v>
      </c>
      <c r="B14" s="5" t="s">
        <v>140</v>
      </c>
      <c r="C14" s="5" t="s">
        <v>156</v>
      </c>
      <c r="D14" s="5" t="s">
        <v>157</v>
      </c>
      <c r="E14" s="5" t="s">
        <v>162</v>
      </c>
      <c r="F14" s="5" t="s">
        <v>159</v>
      </c>
      <c r="G14" s="5" t="s">
        <v>160</v>
      </c>
      <c r="H14" s="5"/>
      <c r="I14" s="5"/>
      <c r="J14" s="5" t="s">
        <v>139</v>
      </c>
      <c r="K14" s="5"/>
      <c r="L14" s="5" t="s">
        <v>139</v>
      </c>
      <c r="M14" s="5" t="s">
        <v>139</v>
      </c>
      <c r="N14" s="5"/>
    </row>
    <row r="15" spans="1:14" x14ac:dyDescent="0.45">
      <c r="A15" t="s">
        <v>163</v>
      </c>
      <c r="B15" t="s">
        <v>140</v>
      </c>
      <c r="C15" t="s">
        <v>164</v>
      </c>
      <c r="D15" t="s">
        <v>157</v>
      </c>
      <c r="E15" t="s">
        <v>392</v>
      </c>
      <c r="F15" t="s">
        <v>159</v>
      </c>
      <c r="G15" t="s">
        <v>160</v>
      </c>
      <c r="M15" t="s">
        <v>139</v>
      </c>
    </row>
    <row r="16" spans="1:14" x14ac:dyDescent="0.45">
      <c r="A16" s="5" t="s">
        <v>166</v>
      </c>
      <c r="B16" s="5" t="s">
        <v>167</v>
      </c>
      <c r="C16" s="5" t="s">
        <v>168</v>
      </c>
      <c r="D16" s="5" t="s">
        <v>169</v>
      </c>
      <c r="E16" s="5" t="s">
        <v>209</v>
      </c>
      <c r="F16" s="5" t="s">
        <v>171</v>
      </c>
      <c r="G16" s="5" t="s">
        <v>138</v>
      </c>
      <c r="H16" s="5"/>
      <c r="I16" s="5"/>
      <c r="J16" s="5"/>
      <c r="K16" s="5"/>
      <c r="L16" s="5" t="s">
        <v>139</v>
      </c>
      <c r="M16" s="5" t="s">
        <v>139</v>
      </c>
      <c r="N16" s="5"/>
    </row>
    <row r="17" spans="1:14" x14ac:dyDescent="0.45">
      <c r="A17" t="s">
        <v>172</v>
      </c>
      <c r="B17" t="s">
        <v>133</v>
      </c>
      <c r="C17" t="s">
        <v>168</v>
      </c>
      <c r="D17" t="s">
        <v>169</v>
      </c>
      <c r="E17" t="s">
        <v>209</v>
      </c>
      <c r="F17" t="s">
        <v>173</v>
      </c>
      <c r="G17" t="s">
        <v>138</v>
      </c>
      <c r="L17" t="s">
        <v>139</v>
      </c>
      <c r="M17" t="s">
        <v>139</v>
      </c>
    </row>
    <row r="18" spans="1:14" x14ac:dyDescent="0.45">
      <c r="A18" s="5" t="s">
        <v>174</v>
      </c>
      <c r="B18" s="5" t="s">
        <v>167</v>
      </c>
      <c r="C18" s="5" t="s">
        <v>175</v>
      </c>
      <c r="D18" s="5" t="s">
        <v>169</v>
      </c>
      <c r="E18" s="5" t="s">
        <v>393</v>
      </c>
      <c r="F18" s="5" t="s">
        <v>177</v>
      </c>
      <c r="G18" s="5" t="s">
        <v>138</v>
      </c>
      <c r="H18" s="5"/>
      <c r="I18" s="5"/>
      <c r="J18" s="5"/>
      <c r="K18" s="5"/>
      <c r="L18" s="5" t="s">
        <v>139</v>
      </c>
      <c r="M18" s="5" t="s">
        <v>139</v>
      </c>
      <c r="N18" s="5"/>
    </row>
    <row r="19" spans="1:14" x14ac:dyDescent="0.45">
      <c r="A19" t="s">
        <v>178</v>
      </c>
      <c r="B19" t="s">
        <v>167</v>
      </c>
      <c r="C19" t="s">
        <v>179</v>
      </c>
      <c r="D19" t="s">
        <v>584</v>
      </c>
      <c r="E19" t="s">
        <v>395</v>
      </c>
      <c r="F19" t="s">
        <v>396</v>
      </c>
      <c r="G19" t="s">
        <v>397</v>
      </c>
      <c r="K19" t="s">
        <v>139</v>
      </c>
      <c r="L19" t="s">
        <v>139</v>
      </c>
      <c r="M19" t="s">
        <v>139</v>
      </c>
    </row>
    <row r="20" spans="1:14" x14ac:dyDescent="0.45">
      <c r="A20" s="5" t="s">
        <v>181</v>
      </c>
      <c r="B20" s="5" t="s">
        <v>167</v>
      </c>
      <c r="C20" s="5" t="s">
        <v>179</v>
      </c>
      <c r="D20" s="5" t="s">
        <v>585</v>
      </c>
      <c r="E20" s="5" t="s">
        <v>395</v>
      </c>
      <c r="F20" s="5" t="s">
        <v>398</v>
      </c>
      <c r="G20" s="5" t="s">
        <v>397</v>
      </c>
      <c r="H20" s="5"/>
      <c r="I20" s="5"/>
      <c r="J20" s="5"/>
      <c r="K20" s="5" t="s">
        <v>139</v>
      </c>
      <c r="L20" s="5" t="s">
        <v>139</v>
      </c>
      <c r="M20" s="5" t="s">
        <v>139</v>
      </c>
      <c r="N20" s="5"/>
    </row>
    <row r="21" spans="1:14" x14ac:dyDescent="0.45">
      <c r="A21" t="s">
        <v>182</v>
      </c>
      <c r="B21" t="s">
        <v>133</v>
      </c>
      <c r="C21" t="s">
        <v>183</v>
      </c>
      <c r="D21" t="s">
        <v>169</v>
      </c>
      <c r="E21" t="s">
        <v>586</v>
      </c>
      <c r="F21" t="s">
        <v>185</v>
      </c>
      <c r="G21" t="s">
        <v>182</v>
      </c>
      <c r="H21" t="s">
        <v>186</v>
      </c>
      <c r="J21" t="s">
        <v>139</v>
      </c>
      <c r="L21" t="s">
        <v>139</v>
      </c>
      <c r="M21" t="s">
        <v>139</v>
      </c>
    </row>
    <row r="22" spans="1:14" x14ac:dyDescent="0.45">
      <c r="A22" s="5" t="s">
        <v>187</v>
      </c>
      <c r="B22" s="5" t="s">
        <v>140</v>
      </c>
      <c r="C22" s="5" t="s">
        <v>188</v>
      </c>
      <c r="D22" s="5" t="s">
        <v>157</v>
      </c>
      <c r="E22" s="5" t="s">
        <v>189</v>
      </c>
      <c r="F22" s="5" t="s">
        <v>159</v>
      </c>
      <c r="G22" s="5" t="s">
        <v>160</v>
      </c>
      <c r="H22" s="5"/>
      <c r="I22" s="5"/>
      <c r="J22" s="5"/>
      <c r="K22" s="5"/>
      <c r="L22" s="5" t="s">
        <v>139</v>
      </c>
      <c r="M22" s="5" t="s">
        <v>139</v>
      </c>
      <c r="N22" s="5"/>
    </row>
    <row r="23" spans="1:14" x14ac:dyDescent="0.45">
      <c r="A23" t="s">
        <v>190</v>
      </c>
      <c r="B23" t="s">
        <v>140</v>
      </c>
      <c r="C23" t="s">
        <v>191</v>
      </c>
      <c r="D23" t="s">
        <v>157</v>
      </c>
      <c r="E23" t="s">
        <v>192</v>
      </c>
      <c r="F23" t="s">
        <v>159</v>
      </c>
      <c r="G23" t="s">
        <v>160</v>
      </c>
      <c r="L23" t="s">
        <v>139</v>
      </c>
      <c r="M23" t="s">
        <v>139</v>
      </c>
    </row>
    <row r="24" spans="1:14" x14ac:dyDescent="0.45">
      <c r="A24" s="5" t="s">
        <v>193</v>
      </c>
      <c r="B24" s="5" t="s">
        <v>140</v>
      </c>
      <c r="C24" s="5" t="s">
        <v>194</v>
      </c>
      <c r="D24" s="5" t="s">
        <v>157</v>
      </c>
      <c r="E24" s="5" t="s">
        <v>195</v>
      </c>
      <c r="F24" s="5" t="s">
        <v>159</v>
      </c>
      <c r="G24" s="5" t="s">
        <v>160</v>
      </c>
      <c r="H24" s="5"/>
      <c r="I24" s="5"/>
      <c r="J24" s="5"/>
      <c r="K24" s="5"/>
      <c r="L24" s="5" t="s">
        <v>139</v>
      </c>
      <c r="M24" s="5" t="s">
        <v>139</v>
      </c>
      <c r="N24" s="5"/>
    </row>
    <row r="25" spans="1:14" x14ac:dyDescent="0.45">
      <c r="A25" t="s">
        <v>196</v>
      </c>
      <c r="B25" t="s">
        <v>140</v>
      </c>
      <c r="C25" t="s">
        <v>197</v>
      </c>
      <c r="D25" t="s">
        <v>157</v>
      </c>
      <c r="E25" t="s">
        <v>198</v>
      </c>
      <c r="F25" t="s">
        <v>159</v>
      </c>
      <c r="G25" t="s">
        <v>160</v>
      </c>
      <c r="L25" t="s">
        <v>139</v>
      </c>
      <c r="M25" t="s">
        <v>139</v>
      </c>
    </row>
    <row r="26" spans="1:14" x14ac:dyDescent="0.45">
      <c r="A26" s="5" t="s">
        <v>199</v>
      </c>
      <c r="B26" s="5" t="s">
        <v>140</v>
      </c>
      <c r="C26" s="5" t="s">
        <v>200</v>
      </c>
      <c r="D26" s="5" t="s">
        <v>157</v>
      </c>
      <c r="E26" s="5" t="s">
        <v>201</v>
      </c>
      <c r="F26" s="5" t="s">
        <v>159</v>
      </c>
      <c r="G26" s="5" t="s">
        <v>160</v>
      </c>
      <c r="H26" s="5"/>
      <c r="I26" s="5"/>
      <c r="J26" s="5"/>
      <c r="K26" s="5"/>
      <c r="L26" s="5" t="s">
        <v>139</v>
      </c>
      <c r="M26" s="5" t="s">
        <v>139</v>
      </c>
      <c r="N26" s="5"/>
    </row>
    <row r="27" spans="1:14" x14ac:dyDescent="0.45">
      <c r="A27" t="s">
        <v>202</v>
      </c>
      <c r="B27" t="s">
        <v>140</v>
      </c>
      <c r="C27" t="s">
        <v>203</v>
      </c>
      <c r="D27" t="s">
        <v>157</v>
      </c>
      <c r="E27" t="s">
        <v>204</v>
      </c>
      <c r="F27" t="s">
        <v>159</v>
      </c>
      <c r="G27" t="s">
        <v>160</v>
      </c>
      <c r="L27" t="s">
        <v>139</v>
      </c>
      <c r="M27" t="s">
        <v>139</v>
      </c>
    </row>
    <row r="28" spans="1:14" x14ac:dyDescent="0.45">
      <c r="A28" s="5" t="s">
        <v>205</v>
      </c>
      <c r="B28" s="5" t="s">
        <v>140</v>
      </c>
      <c r="C28" s="5" t="s">
        <v>206</v>
      </c>
      <c r="D28" s="5" t="s">
        <v>157</v>
      </c>
      <c r="E28" s="5" t="s">
        <v>204</v>
      </c>
      <c r="F28" s="5" t="s">
        <v>159</v>
      </c>
      <c r="G28" s="5" t="s">
        <v>160</v>
      </c>
      <c r="H28" s="5"/>
      <c r="I28" s="5"/>
      <c r="J28" s="5" t="s">
        <v>139</v>
      </c>
      <c r="K28" s="5" t="s">
        <v>139</v>
      </c>
      <c r="L28" s="5"/>
      <c r="M28" s="5" t="s">
        <v>139</v>
      </c>
      <c r="N28" s="5"/>
    </row>
    <row r="29" spans="1:14" x14ac:dyDescent="0.45">
      <c r="A29" t="s">
        <v>207</v>
      </c>
      <c r="B29" t="s">
        <v>133</v>
      </c>
      <c r="C29" t="s">
        <v>208</v>
      </c>
      <c r="D29" t="s">
        <v>169</v>
      </c>
      <c r="E29" t="s">
        <v>209</v>
      </c>
      <c r="F29" t="s">
        <v>210</v>
      </c>
      <c r="G29" t="s">
        <v>138</v>
      </c>
      <c r="H29" t="s">
        <v>211</v>
      </c>
      <c r="J29" t="s">
        <v>139</v>
      </c>
      <c r="L29" t="s">
        <v>139</v>
      </c>
      <c r="M29" t="s">
        <v>139</v>
      </c>
    </row>
    <row r="30" spans="1:14" x14ac:dyDescent="0.45">
      <c r="A30" s="5" t="s">
        <v>212</v>
      </c>
      <c r="B30" s="5" t="s">
        <v>140</v>
      </c>
      <c r="C30" s="5" t="s">
        <v>213</v>
      </c>
      <c r="D30" s="5" t="s">
        <v>214</v>
      </c>
      <c r="E30" s="5" t="s">
        <v>215</v>
      </c>
      <c r="F30" s="5" t="s">
        <v>400</v>
      </c>
      <c r="G30" s="5" t="s">
        <v>138</v>
      </c>
      <c r="H30" s="5"/>
      <c r="I30" s="5"/>
      <c r="J30" s="5" t="s">
        <v>139</v>
      </c>
      <c r="K30" s="5"/>
      <c r="L30" s="5" t="s">
        <v>139</v>
      </c>
      <c r="M30" s="5" t="s">
        <v>139</v>
      </c>
      <c r="N30" s="5"/>
    </row>
    <row r="31" spans="1:14" x14ac:dyDescent="0.45">
      <c r="A31" s="6" t="s">
        <v>216</v>
      </c>
      <c r="B31" s="7"/>
      <c r="C31" s="7"/>
      <c r="D31" s="7"/>
      <c r="E31" s="7"/>
      <c r="F31" s="7"/>
      <c r="G31" s="7"/>
      <c r="H31" s="7"/>
      <c r="I31" s="7"/>
      <c r="J31" s="7"/>
      <c r="K31" s="7"/>
      <c r="L31" s="7"/>
      <c r="M31" s="7"/>
      <c r="N31" s="7"/>
    </row>
    <row r="32" spans="1:14" x14ac:dyDescent="0.45">
      <c r="A32" t="s">
        <v>217</v>
      </c>
      <c r="B32" t="s">
        <v>140</v>
      </c>
      <c r="C32" t="s">
        <v>218</v>
      </c>
      <c r="D32" t="s">
        <v>157</v>
      </c>
      <c r="E32" t="s">
        <v>219</v>
      </c>
      <c r="F32" t="s">
        <v>159</v>
      </c>
      <c r="G32" t="s">
        <v>160</v>
      </c>
      <c r="I32" t="s">
        <v>139</v>
      </c>
      <c r="J32" t="s">
        <v>139</v>
      </c>
      <c r="M32" t="s">
        <v>139</v>
      </c>
    </row>
    <row r="33" spans="1:14" x14ac:dyDescent="0.45">
      <c r="A33" s="5" t="s">
        <v>220</v>
      </c>
      <c r="B33" s="5" t="s">
        <v>140</v>
      </c>
      <c r="C33" s="5" t="s">
        <v>221</v>
      </c>
      <c r="D33" s="5" t="s">
        <v>157</v>
      </c>
      <c r="E33" s="5" t="s">
        <v>222</v>
      </c>
      <c r="F33" s="5" t="s">
        <v>159</v>
      </c>
      <c r="G33" s="5" t="s">
        <v>160</v>
      </c>
      <c r="H33" s="5"/>
      <c r="I33" s="5" t="s">
        <v>139</v>
      </c>
      <c r="J33" s="5" t="s">
        <v>139</v>
      </c>
      <c r="K33" s="5"/>
      <c r="L33" s="5" t="s">
        <v>139</v>
      </c>
      <c r="M33" s="5" t="s">
        <v>139</v>
      </c>
      <c r="N33" s="5"/>
    </row>
    <row r="34" spans="1:14" x14ac:dyDescent="0.45">
      <c r="A34" t="s">
        <v>223</v>
      </c>
      <c r="B34" t="s">
        <v>224</v>
      </c>
      <c r="C34" t="s">
        <v>225</v>
      </c>
      <c r="D34" t="s">
        <v>587</v>
      </c>
      <c r="E34" t="s">
        <v>227</v>
      </c>
      <c r="F34" t="s">
        <v>228</v>
      </c>
      <c r="G34" t="s">
        <v>138</v>
      </c>
      <c r="L34" t="s">
        <v>139</v>
      </c>
      <c r="M34" t="s">
        <v>139</v>
      </c>
    </row>
    <row r="35" spans="1:14" x14ac:dyDescent="0.45">
      <c r="A35" s="5" t="s">
        <v>229</v>
      </c>
      <c r="B35" s="5" t="s">
        <v>167</v>
      </c>
      <c r="C35" s="5" t="s">
        <v>225</v>
      </c>
      <c r="D35" s="5" t="s">
        <v>587</v>
      </c>
      <c r="E35" s="5" t="s">
        <v>227</v>
      </c>
      <c r="F35" s="5" t="s">
        <v>230</v>
      </c>
      <c r="G35" s="5" t="s">
        <v>138</v>
      </c>
      <c r="H35" s="5"/>
      <c r="I35" s="5"/>
      <c r="J35" s="5"/>
      <c r="K35" s="5"/>
      <c r="L35" s="5" t="s">
        <v>139</v>
      </c>
      <c r="M35" s="5" t="s">
        <v>139</v>
      </c>
      <c r="N35" s="5"/>
    </row>
    <row r="36" spans="1:14" x14ac:dyDescent="0.45">
      <c r="A36" t="s">
        <v>231</v>
      </c>
      <c r="B36" t="s">
        <v>167</v>
      </c>
      <c r="C36" t="s">
        <v>225</v>
      </c>
      <c r="D36" t="s">
        <v>587</v>
      </c>
      <c r="E36" t="s">
        <v>227</v>
      </c>
      <c r="F36" t="s">
        <v>232</v>
      </c>
      <c r="G36" t="s">
        <v>138</v>
      </c>
      <c r="L36" t="s">
        <v>139</v>
      </c>
      <c r="M36" t="s">
        <v>139</v>
      </c>
    </row>
    <row r="37" spans="1:14" x14ac:dyDescent="0.45">
      <c r="A37" s="5" t="s">
        <v>233</v>
      </c>
      <c r="B37" s="5" t="s">
        <v>224</v>
      </c>
      <c r="C37" s="5" t="s">
        <v>225</v>
      </c>
      <c r="D37" s="5" t="s">
        <v>587</v>
      </c>
      <c r="E37" s="5" t="s">
        <v>227</v>
      </c>
      <c r="F37" s="5" t="s">
        <v>234</v>
      </c>
      <c r="G37" s="5" t="s">
        <v>138</v>
      </c>
      <c r="H37" s="5"/>
      <c r="I37" s="5"/>
      <c r="J37" s="5"/>
      <c r="K37" s="5"/>
      <c r="L37" s="5" t="s">
        <v>139</v>
      </c>
      <c r="M37" s="5" t="s">
        <v>139</v>
      </c>
      <c r="N37" s="5"/>
    </row>
    <row r="38" spans="1:14" x14ac:dyDescent="0.45">
      <c r="A38" t="s">
        <v>235</v>
      </c>
      <c r="B38" t="s">
        <v>133</v>
      </c>
      <c r="C38" t="s">
        <v>236</v>
      </c>
      <c r="D38" t="s">
        <v>169</v>
      </c>
      <c r="E38" t="s">
        <v>402</v>
      </c>
      <c r="F38" t="s">
        <v>239</v>
      </c>
      <c r="G38" t="s">
        <v>145</v>
      </c>
      <c r="I38" t="s">
        <v>139</v>
      </c>
      <c r="J38" t="s">
        <v>139</v>
      </c>
      <c r="K38" t="s">
        <v>139</v>
      </c>
      <c r="L38" t="s">
        <v>139</v>
      </c>
      <c r="M38" t="s">
        <v>139</v>
      </c>
    </row>
    <row r="39" spans="1:14" x14ac:dyDescent="0.45">
      <c r="A39" s="5" t="s">
        <v>240</v>
      </c>
      <c r="B39" s="5" t="s">
        <v>140</v>
      </c>
      <c r="C39" s="5" t="s">
        <v>241</v>
      </c>
      <c r="D39" s="5" t="s">
        <v>157</v>
      </c>
      <c r="E39" s="5" t="s">
        <v>242</v>
      </c>
      <c r="F39" s="5" t="s">
        <v>159</v>
      </c>
      <c r="G39" s="5" t="s">
        <v>160</v>
      </c>
      <c r="H39" s="5"/>
      <c r="I39" s="5"/>
      <c r="J39" s="5" t="s">
        <v>139</v>
      </c>
      <c r="K39" s="5" t="s">
        <v>139</v>
      </c>
      <c r="L39" s="5" t="s">
        <v>139</v>
      </c>
      <c r="M39" s="5" t="s">
        <v>139</v>
      </c>
      <c r="N39" s="5"/>
    </row>
    <row r="40" spans="1:14" x14ac:dyDescent="0.45">
      <c r="A40" t="s">
        <v>243</v>
      </c>
      <c r="B40" t="s">
        <v>140</v>
      </c>
      <c r="C40" t="s">
        <v>244</v>
      </c>
      <c r="D40" t="s">
        <v>157</v>
      </c>
      <c r="E40" t="s">
        <v>242</v>
      </c>
      <c r="F40" t="s">
        <v>159</v>
      </c>
      <c r="G40" t="s">
        <v>160</v>
      </c>
      <c r="J40" t="s">
        <v>139</v>
      </c>
      <c r="L40" t="s">
        <v>139</v>
      </c>
      <c r="M40" t="s">
        <v>139</v>
      </c>
    </row>
    <row r="41" spans="1:14" x14ac:dyDescent="0.45">
      <c r="A41" s="5" t="s">
        <v>245</v>
      </c>
      <c r="B41" s="5" t="s">
        <v>140</v>
      </c>
      <c r="C41" s="5" t="s">
        <v>246</v>
      </c>
      <c r="D41" s="5" t="s">
        <v>157</v>
      </c>
      <c r="E41" s="5" t="s">
        <v>247</v>
      </c>
      <c r="F41" s="5" t="s">
        <v>159</v>
      </c>
      <c r="G41" s="5" t="s">
        <v>160</v>
      </c>
      <c r="H41" s="5"/>
      <c r="I41" s="5"/>
      <c r="J41" s="5"/>
      <c r="K41" s="5"/>
      <c r="L41" s="5" t="s">
        <v>139</v>
      </c>
      <c r="M41" s="5" t="s">
        <v>139</v>
      </c>
      <c r="N41" s="5"/>
    </row>
    <row r="42" spans="1:14" x14ac:dyDescent="0.45">
      <c r="A42" t="s">
        <v>248</v>
      </c>
      <c r="B42" t="s">
        <v>140</v>
      </c>
      <c r="C42" t="s">
        <v>249</v>
      </c>
      <c r="D42" t="s">
        <v>157</v>
      </c>
      <c r="E42" t="s">
        <v>247</v>
      </c>
      <c r="F42" t="s">
        <v>159</v>
      </c>
      <c r="G42" t="s">
        <v>160</v>
      </c>
      <c r="J42" t="s">
        <v>139</v>
      </c>
      <c r="K42" t="s">
        <v>139</v>
      </c>
      <c r="L42" t="s">
        <v>139</v>
      </c>
      <c r="M42" t="s">
        <v>139</v>
      </c>
    </row>
    <row r="43" spans="1:14" x14ac:dyDescent="0.45">
      <c r="A43" s="5" t="s">
        <v>250</v>
      </c>
      <c r="B43" s="5" t="s">
        <v>140</v>
      </c>
      <c r="C43" s="5" t="s">
        <v>251</v>
      </c>
      <c r="D43" s="5" t="s">
        <v>157</v>
      </c>
      <c r="E43" s="5" t="s">
        <v>252</v>
      </c>
      <c r="F43" s="5" t="s">
        <v>159</v>
      </c>
      <c r="G43" s="5" t="s">
        <v>160</v>
      </c>
      <c r="H43" s="5"/>
      <c r="I43" s="5"/>
      <c r="J43" s="5" t="s">
        <v>139</v>
      </c>
      <c r="K43" s="5"/>
      <c r="L43" s="5" t="s">
        <v>139</v>
      </c>
      <c r="M43" s="5" t="s">
        <v>139</v>
      </c>
      <c r="N43" s="5"/>
    </row>
    <row r="44" spans="1:14" x14ac:dyDescent="0.45">
      <c r="A44" t="s">
        <v>253</v>
      </c>
      <c r="B44" t="s">
        <v>140</v>
      </c>
      <c r="C44" t="s">
        <v>251</v>
      </c>
      <c r="D44" t="s">
        <v>157</v>
      </c>
      <c r="E44" t="s">
        <v>252</v>
      </c>
      <c r="F44" t="s">
        <v>159</v>
      </c>
      <c r="G44" t="s">
        <v>160</v>
      </c>
      <c r="J44" t="s">
        <v>139</v>
      </c>
      <c r="L44" t="s">
        <v>139</v>
      </c>
      <c r="M44" t="s">
        <v>139</v>
      </c>
    </row>
    <row r="45" spans="1:14" x14ac:dyDescent="0.45">
      <c r="A45" s="5" t="s">
        <v>254</v>
      </c>
      <c r="B45" s="5" t="s">
        <v>140</v>
      </c>
      <c r="C45" s="5" t="s">
        <v>255</v>
      </c>
      <c r="D45" s="5" t="s">
        <v>157</v>
      </c>
      <c r="E45" s="5" t="s">
        <v>256</v>
      </c>
      <c r="F45" s="5" t="s">
        <v>159</v>
      </c>
      <c r="G45" s="5" t="s">
        <v>160</v>
      </c>
      <c r="H45" s="5"/>
      <c r="I45" s="5" t="s">
        <v>139</v>
      </c>
      <c r="J45" s="5"/>
      <c r="K45" s="5"/>
      <c r="L45" s="5" t="s">
        <v>139</v>
      </c>
      <c r="M45" s="5" t="s">
        <v>139</v>
      </c>
      <c r="N45" s="5"/>
    </row>
    <row r="46" spans="1:14" x14ac:dyDescent="0.45">
      <c r="A46" t="s">
        <v>257</v>
      </c>
      <c r="B46" t="s">
        <v>140</v>
      </c>
      <c r="C46" t="s">
        <v>258</v>
      </c>
      <c r="D46" t="s">
        <v>157</v>
      </c>
      <c r="E46" t="s">
        <v>242</v>
      </c>
      <c r="F46" t="s">
        <v>159</v>
      </c>
      <c r="G46" t="s">
        <v>160</v>
      </c>
      <c r="I46" t="s">
        <v>139</v>
      </c>
      <c r="J46" t="s">
        <v>139</v>
      </c>
      <c r="L46" t="s">
        <v>139</v>
      </c>
      <c r="M46" t="s">
        <v>139</v>
      </c>
    </row>
    <row r="47" spans="1:14" x14ac:dyDescent="0.45">
      <c r="A47" s="5" t="s">
        <v>259</v>
      </c>
      <c r="B47" s="5" t="s">
        <v>140</v>
      </c>
      <c r="C47" s="5" t="s">
        <v>260</v>
      </c>
      <c r="D47" s="5" t="s">
        <v>157</v>
      </c>
      <c r="E47" s="5" t="s">
        <v>242</v>
      </c>
      <c r="F47" s="5" t="s">
        <v>159</v>
      </c>
      <c r="G47" s="5" t="s">
        <v>160</v>
      </c>
      <c r="H47" s="5"/>
      <c r="I47" s="5"/>
      <c r="J47" s="5"/>
      <c r="K47" s="5"/>
      <c r="L47" s="5" t="s">
        <v>139</v>
      </c>
      <c r="M47" s="5" t="s">
        <v>139</v>
      </c>
      <c r="N47" s="5"/>
    </row>
    <row r="48" spans="1:14" x14ac:dyDescent="0.45">
      <c r="A48" t="s">
        <v>261</v>
      </c>
      <c r="B48" t="s">
        <v>224</v>
      </c>
      <c r="C48" t="s">
        <v>262</v>
      </c>
      <c r="D48" t="s">
        <v>169</v>
      </c>
      <c r="E48" t="s">
        <v>263</v>
      </c>
      <c r="F48" t="s">
        <v>264</v>
      </c>
      <c r="G48" t="s">
        <v>138</v>
      </c>
      <c r="H48" t="s">
        <v>265</v>
      </c>
      <c r="L48" t="s">
        <v>139</v>
      </c>
      <c r="M48" t="s">
        <v>139</v>
      </c>
    </row>
    <row r="49" spans="1:14" x14ac:dyDescent="0.45">
      <c r="A49" s="5" t="s">
        <v>266</v>
      </c>
      <c r="B49" s="5" t="s">
        <v>167</v>
      </c>
      <c r="C49" s="5" t="s">
        <v>267</v>
      </c>
      <c r="D49" s="5" t="s">
        <v>587</v>
      </c>
      <c r="E49" s="5" t="s">
        <v>268</v>
      </c>
      <c r="F49" s="5" t="s">
        <v>269</v>
      </c>
      <c r="G49" s="5" t="s">
        <v>138</v>
      </c>
      <c r="H49" s="5" t="s">
        <v>270</v>
      </c>
      <c r="I49" s="5"/>
      <c r="J49" s="5"/>
      <c r="K49" s="5"/>
      <c r="L49" s="5" t="s">
        <v>139</v>
      </c>
      <c r="M49" s="5" t="s">
        <v>139</v>
      </c>
      <c r="N49" s="5"/>
    </row>
    <row r="50" spans="1:14" x14ac:dyDescent="0.45">
      <c r="A50" s="6" t="s">
        <v>271</v>
      </c>
      <c r="B50" s="7"/>
      <c r="C50" s="7"/>
      <c r="D50" s="7"/>
      <c r="E50" s="7"/>
      <c r="F50" s="7"/>
      <c r="G50" s="7"/>
      <c r="H50" s="7"/>
      <c r="I50" s="7"/>
      <c r="J50" s="7"/>
      <c r="K50" s="7"/>
      <c r="L50" s="7"/>
      <c r="M50" s="7"/>
      <c r="N50" s="7"/>
    </row>
    <row r="51" spans="1:14" x14ac:dyDescent="0.45">
      <c r="A51" t="s">
        <v>272</v>
      </c>
      <c r="B51" t="s">
        <v>224</v>
      </c>
      <c r="C51" t="s">
        <v>273</v>
      </c>
      <c r="D51" t="s">
        <v>274</v>
      </c>
      <c r="E51" t="s">
        <v>275</v>
      </c>
      <c r="F51" t="s">
        <v>276</v>
      </c>
      <c r="G51" t="s">
        <v>145</v>
      </c>
      <c r="L51" t="s">
        <v>139</v>
      </c>
      <c r="M51" t="s">
        <v>139</v>
      </c>
    </row>
    <row r="52" spans="1:14" x14ac:dyDescent="0.45">
      <c r="A52" s="5" t="s">
        <v>277</v>
      </c>
      <c r="B52" s="5" t="s">
        <v>224</v>
      </c>
      <c r="C52" s="5" t="s">
        <v>273</v>
      </c>
      <c r="D52" s="5" t="s">
        <v>274</v>
      </c>
      <c r="E52" s="5" t="s">
        <v>275</v>
      </c>
      <c r="F52" s="5" t="s">
        <v>278</v>
      </c>
      <c r="G52" s="5" t="s">
        <v>145</v>
      </c>
      <c r="H52" s="5"/>
      <c r="I52" s="5"/>
      <c r="J52" s="5"/>
      <c r="K52" s="5"/>
      <c r="L52" s="5" t="s">
        <v>139</v>
      </c>
      <c r="M52" s="5" t="s">
        <v>139</v>
      </c>
      <c r="N52" s="5"/>
    </row>
    <row r="53" spans="1:14" x14ac:dyDescent="0.45">
      <c r="A53" t="s">
        <v>279</v>
      </c>
      <c r="B53" t="s">
        <v>280</v>
      </c>
      <c r="C53" t="s">
        <v>273</v>
      </c>
      <c r="D53" t="s">
        <v>169</v>
      </c>
      <c r="E53" t="s">
        <v>281</v>
      </c>
      <c r="F53" t="s">
        <v>282</v>
      </c>
      <c r="G53" t="s">
        <v>145</v>
      </c>
      <c r="L53" t="s">
        <v>139</v>
      </c>
      <c r="M53" t="s">
        <v>139</v>
      </c>
    </row>
    <row r="54" spans="1:14" x14ac:dyDescent="0.45">
      <c r="A54" s="5" t="s">
        <v>283</v>
      </c>
      <c r="B54" s="5" t="s">
        <v>280</v>
      </c>
      <c r="C54" s="5" t="s">
        <v>273</v>
      </c>
      <c r="D54" s="5" t="s">
        <v>169</v>
      </c>
      <c r="E54" s="5" t="s">
        <v>284</v>
      </c>
      <c r="F54" s="5" t="s">
        <v>285</v>
      </c>
      <c r="G54" s="5" t="s">
        <v>145</v>
      </c>
      <c r="H54" s="5"/>
      <c r="I54" s="5"/>
      <c r="J54" s="5"/>
      <c r="K54" s="5"/>
      <c r="L54" s="5" t="s">
        <v>139</v>
      </c>
      <c r="M54" s="5" t="s">
        <v>139</v>
      </c>
      <c r="N54" s="5"/>
    </row>
    <row r="55" spans="1:14" x14ac:dyDescent="0.45">
      <c r="A55" t="s">
        <v>286</v>
      </c>
      <c r="B55" t="s">
        <v>280</v>
      </c>
      <c r="C55" t="s">
        <v>273</v>
      </c>
      <c r="D55" t="s">
        <v>169</v>
      </c>
      <c r="E55" t="s">
        <v>287</v>
      </c>
      <c r="F55" t="s">
        <v>288</v>
      </c>
      <c r="G55" t="s">
        <v>145</v>
      </c>
      <c r="L55" t="s">
        <v>139</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t="s">
        <v>139</v>
      </c>
      <c r="M57" s="5" t="s">
        <v>139</v>
      </c>
      <c r="N57" s="5"/>
    </row>
    <row r="58" spans="1:14" x14ac:dyDescent="0.45">
      <c r="A58" t="s">
        <v>294</v>
      </c>
      <c r="B58" t="s">
        <v>140</v>
      </c>
      <c r="C58" t="s">
        <v>291</v>
      </c>
      <c r="D58" t="s">
        <v>292</v>
      </c>
      <c r="E58" t="s">
        <v>295</v>
      </c>
      <c r="F58" t="s">
        <v>159</v>
      </c>
      <c r="G58" t="s">
        <v>160</v>
      </c>
      <c r="I58" t="s">
        <v>139</v>
      </c>
      <c r="J58" t="s">
        <v>139</v>
      </c>
      <c r="L58" t="s">
        <v>139</v>
      </c>
      <c r="M58" t="s">
        <v>139</v>
      </c>
    </row>
    <row r="59" spans="1:14" x14ac:dyDescent="0.45">
      <c r="A59" s="5" t="s">
        <v>296</v>
      </c>
      <c r="B59" s="5" t="s">
        <v>140</v>
      </c>
      <c r="C59" s="5" t="s">
        <v>297</v>
      </c>
      <c r="D59" s="5" t="s">
        <v>588</v>
      </c>
      <c r="E59" s="5" t="s">
        <v>589</v>
      </c>
      <c r="F59" s="5" t="s">
        <v>299</v>
      </c>
      <c r="G59" s="5" t="s">
        <v>138</v>
      </c>
      <c r="H59" s="5"/>
      <c r="I59" s="5" t="s">
        <v>139</v>
      </c>
      <c r="J59" s="5" t="s">
        <v>139</v>
      </c>
      <c r="K59" s="5" t="s">
        <v>139</v>
      </c>
      <c r="L59" s="5" t="s">
        <v>139</v>
      </c>
      <c r="M59" s="5" t="s">
        <v>139</v>
      </c>
      <c r="N59" s="5"/>
    </row>
    <row r="60" spans="1:14" x14ac:dyDescent="0.45">
      <c r="A60" t="s">
        <v>300</v>
      </c>
      <c r="B60" t="s">
        <v>140</v>
      </c>
      <c r="C60" t="s">
        <v>301</v>
      </c>
      <c r="D60" t="s">
        <v>135</v>
      </c>
      <c r="E60" t="s">
        <v>302</v>
      </c>
      <c r="F60" t="s">
        <v>159</v>
      </c>
      <c r="G60" t="s">
        <v>160</v>
      </c>
      <c r="J60" t="s">
        <v>139</v>
      </c>
      <c r="L60" t="s">
        <v>139</v>
      </c>
      <c r="M60" t="s">
        <v>139</v>
      </c>
    </row>
    <row r="61" spans="1:14" x14ac:dyDescent="0.45">
      <c r="A61" s="5" t="s">
        <v>303</v>
      </c>
      <c r="B61" s="5" t="s">
        <v>140</v>
      </c>
      <c r="C61" s="5" t="s">
        <v>304</v>
      </c>
      <c r="D61" s="5" t="s">
        <v>135</v>
      </c>
      <c r="E61" s="5" t="s">
        <v>305</v>
      </c>
      <c r="F61" s="5" t="s">
        <v>159</v>
      </c>
      <c r="G61" s="5" t="s">
        <v>160</v>
      </c>
      <c r="H61" s="5"/>
      <c r="I61" s="5"/>
      <c r="J61" s="5" t="s">
        <v>139</v>
      </c>
      <c r="K61" s="5"/>
      <c r="L61" s="5" t="s">
        <v>139</v>
      </c>
      <c r="M61" s="5" t="s">
        <v>139</v>
      </c>
      <c r="N61" s="5"/>
    </row>
    <row r="62" spans="1:14" x14ac:dyDescent="0.45">
      <c r="A62" t="s">
        <v>306</v>
      </c>
      <c r="B62" t="s">
        <v>133</v>
      </c>
      <c r="C62" t="s">
        <v>308</v>
      </c>
      <c r="D62" t="s">
        <v>588</v>
      </c>
      <c r="E62" t="s">
        <v>589</v>
      </c>
      <c r="F62" t="s">
        <v>309</v>
      </c>
      <c r="G62" t="s">
        <v>138</v>
      </c>
      <c r="I62" t="s">
        <v>139</v>
      </c>
      <c r="J62" t="s">
        <v>139</v>
      </c>
      <c r="L62" t="s">
        <v>139</v>
      </c>
      <c r="M62" t="s">
        <v>139</v>
      </c>
    </row>
    <row r="63" spans="1:14" x14ac:dyDescent="0.45">
      <c r="A63" s="5" t="s">
        <v>311</v>
      </c>
      <c r="B63" s="5" t="s">
        <v>140</v>
      </c>
      <c r="C63" s="5" t="s">
        <v>312</v>
      </c>
      <c r="D63" s="5" t="s">
        <v>135</v>
      </c>
      <c r="E63" s="5" t="s">
        <v>313</v>
      </c>
      <c r="F63" s="5" t="s">
        <v>159</v>
      </c>
      <c r="G63" s="5" t="s">
        <v>160</v>
      </c>
      <c r="H63" s="5"/>
      <c r="I63" s="5" t="s">
        <v>139</v>
      </c>
      <c r="J63" s="5" t="s">
        <v>139</v>
      </c>
      <c r="K63" s="5"/>
      <c r="L63" s="5"/>
      <c r="M63" s="5" t="s">
        <v>139</v>
      </c>
      <c r="N63" s="5"/>
    </row>
    <row r="64" spans="1:14" x14ac:dyDescent="0.45">
      <c r="A64" t="s">
        <v>314</v>
      </c>
      <c r="B64" t="s">
        <v>140</v>
      </c>
      <c r="C64" t="s">
        <v>315</v>
      </c>
      <c r="D64" t="s">
        <v>135</v>
      </c>
      <c r="E64" t="s">
        <v>316</v>
      </c>
      <c r="F64" t="s">
        <v>159</v>
      </c>
      <c r="G64" t="s">
        <v>160</v>
      </c>
      <c r="J64" t="s">
        <v>139</v>
      </c>
      <c r="M64" t="s">
        <v>139</v>
      </c>
    </row>
    <row r="65" spans="1:14" x14ac:dyDescent="0.45">
      <c r="A65" s="5" t="s">
        <v>317</v>
      </c>
      <c r="B65" s="5" t="s">
        <v>224</v>
      </c>
      <c r="C65" s="5" t="s">
        <v>318</v>
      </c>
      <c r="D65" s="5" t="s">
        <v>588</v>
      </c>
      <c r="E65" s="5" t="s">
        <v>590</v>
      </c>
      <c r="F65" s="5" t="s">
        <v>319</v>
      </c>
      <c r="G65" s="5" t="s">
        <v>138</v>
      </c>
      <c r="H65" s="5"/>
      <c r="I65" s="5" t="s">
        <v>139</v>
      </c>
      <c r="J65" s="5" t="s">
        <v>139</v>
      </c>
      <c r="K65" s="5"/>
      <c r="L65" s="5" t="s">
        <v>139</v>
      </c>
      <c r="M65" s="5" t="s">
        <v>139</v>
      </c>
      <c r="N65" s="5"/>
    </row>
    <row r="66" spans="1:14" x14ac:dyDescent="0.45">
      <c r="A66" t="s">
        <v>320</v>
      </c>
      <c r="B66" t="s">
        <v>140</v>
      </c>
      <c r="C66" t="s">
        <v>321</v>
      </c>
      <c r="D66" t="s">
        <v>135</v>
      </c>
      <c r="E66" t="s">
        <v>322</v>
      </c>
      <c r="F66" t="s">
        <v>159</v>
      </c>
      <c r="G66" t="s">
        <v>160</v>
      </c>
      <c r="L66" t="s">
        <v>139</v>
      </c>
      <c r="M66" t="s">
        <v>139</v>
      </c>
    </row>
    <row r="67" spans="1:14" x14ac:dyDescent="0.45">
      <c r="A67" s="5" t="s">
        <v>323</v>
      </c>
      <c r="B67" s="5" t="s">
        <v>140</v>
      </c>
      <c r="C67" s="5" t="s">
        <v>324</v>
      </c>
      <c r="D67" s="5" t="s">
        <v>135</v>
      </c>
      <c r="E67" s="5" t="s">
        <v>325</v>
      </c>
      <c r="F67" s="5" t="s">
        <v>159</v>
      </c>
      <c r="G67" s="5" t="s">
        <v>160</v>
      </c>
      <c r="H67" s="5"/>
      <c r="I67" s="5"/>
      <c r="J67" s="5"/>
      <c r="K67" s="5"/>
      <c r="L67" s="5" t="s">
        <v>139</v>
      </c>
      <c r="M67" s="5" t="s">
        <v>139</v>
      </c>
      <c r="N67" s="5"/>
    </row>
    <row r="68" spans="1:14" x14ac:dyDescent="0.45">
      <c r="A68" t="s">
        <v>326</v>
      </c>
      <c r="B68" t="s">
        <v>140</v>
      </c>
      <c r="C68" t="s">
        <v>327</v>
      </c>
      <c r="D68" t="s">
        <v>135</v>
      </c>
      <c r="E68" t="s">
        <v>328</v>
      </c>
      <c r="F68" t="s">
        <v>159</v>
      </c>
      <c r="G68" t="s">
        <v>160</v>
      </c>
      <c r="I68" t="s">
        <v>139</v>
      </c>
      <c r="J68" t="s">
        <v>139</v>
      </c>
      <c r="L68" t="s">
        <v>139</v>
      </c>
      <c r="M68" t="s">
        <v>139</v>
      </c>
    </row>
    <row r="69" spans="1:14" x14ac:dyDescent="0.45">
      <c r="A69" s="6" t="s">
        <v>329</v>
      </c>
      <c r="B69" s="7"/>
      <c r="C69" s="7"/>
      <c r="D69" s="7"/>
      <c r="E69" s="7"/>
      <c r="F69" s="7"/>
      <c r="G69" s="7"/>
      <c r="H69" s="7"/>
      <c r="I69" s="7"/>
      <c r="J69" s="7"/>
      <c r="K69" s="7"/>
      <c r="L69" s="7"/>
      <c r="M69" s="7"/>
      <c r="N69" s="7"/>
    </row>
    <row r="70" spans="1:14" x14ac:dyDescent="0.45">
      <c r="A70" s="5" t="s">
        <v>330</v>
      </c>
      <c r="B70" s="5" t="s">
        <v>140</v>
      </c>
      <c r="C70" s="5" t="s">
        <v>331</v>
      </c>
      <c r="D70" s="5" t="s">
        <v>588</v>
      </c>
      <c r="E70" s="5" t="s">
        <v>589</v>
      </c>
      <c r="F70" s="5" t="s">
        <v>159</v>
      </c>
      <c r="G70" s="5" t="s">
        <v>138</v>
      </c>
      <c r="H70" s="5"/>
      <c r="I70" s="5" t="s">
        <v>139</v>
      </c>
      <c r="J70" s="5" t="s">
        <v>139</v>
      </c>
      <c r="K70" s="5"/>
      <c r="L70" s="5" t="s">
        <v>139</v>
      </c>
      <c r="M70" s="5" t="s">
        <v>139</v>
      </c>
      <c r="N70" s="5"/>
    </row>
    <row r="71" spans="1:14" x14ac:dyDescent="0.45">
      <c r="A71" t="s">
        <v>333</v>
      </c>
      <c r="B71" t="s">
        <v>140</v>
      </c>
      <c r="C71" t="s">
        <v>334</v>
      </c>
      <c r="D71" t="s">
        <v>335</v>
      </c>
      <c r="E71" t="s">
        <v>336</v>
      </c>
      <c r="F71" t="s">
        <v>159</v>
      </c>
      <c r="G71" t="s">
        <v>160</v>
      </c>
      <c r="I71" t="s">
        <v>139</v>
      </c>
      <c r="J71" t="s">
        <v>139</v>
      </c>
      <c r="L71" t="s">
        <v>139</v>
      </c>
      <c r="M71" t="s">
        <v>139</v>
      </c>
    </row>
    <row r="72" spans="1:14" x14ac:dyDescent="0.45">
      <c r="A72" s="5" t="s">
        <v>337</v>
      </c>
      <c r="B72" s="5" t="s">
        <v>140</v>
      </c>
      <c r="C72" s="5" t="s">
        <v>338</v>
      </c>
      <c r="D72" s="5" t="s">
        <v>335</v>
      </c>
      <c r="E72" s="5" t="s">
        <v>339</v>
      </c>
      <c r="F72" s="5" t="s">
        <v>159</v>
      </c>
      <c r="G72" s="5" t="s">
        <v>160</v>
      </c>
      <c r="H72" s="5"/>
      <c r="I72" s="5" t="s">
        <v>139</v>
      </c>
      <c r="J72" s="5" t="s">
        <v>139</v>
      </c>
      <c r="K72" s="5"/>
      <c r="L72" s="5" t="s">
        <v>139</v>
      </c>
      <c r="M72" s="5" t="s">
        <v>139</v>
      </c>
      <c r="N72" s="5"/>
    </row>
    <row r="73" spans="1:14" x14ac:dyDescent="0.45">
      <c r="A73" t="s">
        <v>340</v>
      </c>
      <c r="B73" t="s">
        <v>140</v>
      </c>
      <c r="C73" t="s">
        <v>341</v>
      </c>
      <c r="D73" t="s">
        <v>335</v>
      </c>
      <c r="E73" t="s">
        <v>342</v>
      </c>
      <c r="F73" t="s">
        <v>159</v>
      </c>
      <c r="G73" t="s">
        <v>160</v>
      </c>
      <c r="I73" t="s">
        <v>139</v>
      </c>
      <c r="J73" t="s">
        <v>139</v>
      </c>
      <c r="L73" t="s">
        <v>139</v>
      </c>
      <c r="M73" t="s">
        <v>139</v>
      </c>
    </row>
    <row r="74" spans="1:14" x14ac:dyDescent="0.45">
      <c r="A74" s="5" t="s">
        <v>348</v>
      </c>
      <c r="B74" s="5" t="s">
        <v>140</v>
      </c>
      <c r="C74" s="5" t="s">
        <v>349</v>
      </c>
      <c r="D74" s="5" t="s">
        <v>335</v>
      </c>
      <c r="E74" s="5" t="s">
        <v>350</v>
      </c>
      <c r="F74" s="5" t="s">
        <v>159</v>
      </c>
      <c r="G74" s="5" t="s">
        <v>160</v>
      </c>
      <c r="H74" s="5"/>
      <c r="I74" s="5" t="s">
        <v>139</v>
      </c>
      <c r="J74" s="5" t="s">
        <v>139</v>
      </c>
      <c r="K74" s="5"/>
      <c r="L74" s="5"/>
      <c r="M74" s="5" t="s">
        <v>139</v>
      </c>
      <c r="N74" s="5"/>
    </row>
    <row r="75" spans="1:14" x14ac:dyDescent="0.45">
      <c r="A75" t="s">
        <v>351</v>
      </c>
      <c r="B75" t="s">
        <v>140</v>
      </c>
      <c r="C75" t="s">
        <v>352</v>
      </c>
      <c r="D75" t="s">
        <v>588</v>
      </c>
      <c r="E75" t="s">
        <v>591</v>
      </c>
      <c r="F75" t="s">
        <v>592</v>
      </c>
      <c r="G75" t="s">
        <v>138</v>
      </c>
      <c r="I75" t="s">
        <v>139</v>
      </c>
      <c r="J75" t="s">
        <v>139</v>
      </c>
      <c r="L75" t="s">
        <v>139</v>
      </c>
      <c r="M75" t="s">
        <v>139</v>
      </c>
    </row>
    <row r="76" spans="1:14" x14ac:dyDescent="0.45">
      <c r="A76" s="5" t="s">
        <v>354</v>
      </c>
      <c r="B76" s="5" t="s">
        <v>140</v>
      </c>
      <c r="C76" s="5" t="s">
        <v>355</v>
      </c>
      <c r="D76" s="5" t="s">
        <v>335</v>
      </c>
      <c r="E76" s="5" t="s">
        <v>356</v>
      </c>
      <c r="F76" s="5" t="s">
        <v>159</v>
      </c>
      <c r="G76" s="5" t="s">
        <v>160</v>
      </c>
      <c r="H76" s="5" t="s">
        <v>357</v>
      </c>
      <c r="I76" s="5" t="s">
        <v>139</v>
      </c>
      <c r="J76" s="5" t="s">
        <v>139</v>
      </c>
      <c r="K76" s="5"/>
      <c r="L76" s="5" t="s">
        <v>139</v>
      </c>
      <c r="M76" s="5" t="s">
        <v>139</v>
      </c>
      <c r="N76" s="5"/>
    </row>
    <row r="77" spans="1:14" x14ac:dyDescent="0.45">
      <c r="A77" t="s">
        <v>593</v>
      </c>
      <c r="B77" t="s">
        <v>140</v>
      </c>
      <c r="C77" t="s">
        <v>594</v>
      </c>
      <c r="D77" t="s">
        <v>588</v>
      </c>
      <c r="E77" t="s">
        <v>595</v>
      </c>
      <c r="F77" t="s">
        <v>592</v>
      </c>
      <c r="G77" t="s">
        <v>138</v>
      </c>
      <c r="I77" t="s">
        <v>139</v>
      </c>
      <c r="J77" t="s">
        <v>139</v>
      </c>
      <c r="M77" t="s">
        <v>139</v>
      </c>
    </row>
    <row r="78" spans="1:14" x14ac:dyDescent="0.45">
      <c r="A78" s="5" t="s">
        <v>596</v>
      </c>
      <c r="B78" s="5" t="s">
        <v>140</v>
      </c>
      <c r="C78" s="5" t="s">
        <v>597</v>
      </c>
      <c r="D78" s="5" t="s">
        <v>588</v>
      </c>
      <c r="E78" s="5" t="s">
        <v>595</v>
      </c>
      <c r="F78" s="5" t="s">
        <v>592</v>
      </c>
      <c r="G78" s="5" t="s">
        <v>138</v>
      </c>
      <c r="H78" s="5"/>
      <c r="I78" s="5" t="s">
        <v>139</v>
      </c>
      <c r="J78" s="5" t="s">
        <v>139</v>
      </c>
      <c r="K78" s="5"/>
      <c r="L78" s="5"/>
      <c r="M78" s="5" t="s">
        <v>139</v>
      </c>
      <c r="N78" s="5"/>
    </row>
    <row r="79" spans="1:14" x14ac:dyDescent="0.45">
      <c r="A79" t="s">
        <v>598</v>
      </c>
      <c r="B79" t="s">
        <v>140</v>
      </c>
      <c r="C79" t="s">
        <v>599</v>
      </c>
      <c r="D79" t="s">
        <v>588</v>
      </c>
      <c r="E79" t="s">
        <v>600</v>
      </c>
      <c r="F79" t="s">
        <v>592</v>
      </c>
      <c r="G79" t="s">
        <v>138</v>
      </c>
      <c r="L79" t="s">
        <v>139</v>
      </c>
      <c r="M79" t="s">
        <v>139</v>
      </c>
    </row>
    <row r="80" spans="1:14" x14ac:dyDescent="0.45">
      <c r="A80" s="5" t="s">
        <v>601</v>
      </c>
      <c r="B80" s="5" t="s">
        <v>140</v>
      </c>
      <c r="C80" s="5" t="s">
        <v>602</v>
      </c>
      <c r="D80" s="5" t="s">
        <v>588</v>
      </c>
      <c r="E80" s="5" t="s">
        <v>603</v>
      </c>
      <c r="F80" s="5" t="s">
        <v>604</v>
      </c>
      <c r="G80" s="5" t="s">
        <v>138</v>
      </c>
      <c r="H80" s="5"/>
      <c r="I80" s="5" t="s">
        <v>139</v>
      </c>
      <c r="J80" s="5" t="s">
        <v>139</v>
      </c>
      <c r="K80" s="5"/>
      <c r="L80" s="5"/>
      <c r="M80" s="5" t="s">
        <v>139</v>
      </c>
      <c r="N80" s="5"/>
    </row>
    <row r="81" spans="1:14" x14ac:dyDescent="0.45">
      <c r="A81" t="s">
        <v>605</v>
      </c>
      <c r="B81" t="s">
        <v>140</v>
      </c>
      <c r="C81" t="s">
        <v>606</v>
      </c>
      <c r="D81" t="s">
        <v>588</v>
      </c>
      <c r="E81" t="s">
        <v>607</v>
      </c>
      <c r="F81" t="s">
        <v>592</v>
      </c>
      <c r="G81" t="s">
        <v>138</v>
      </c>
      <c r="I81" t="s">
        <v>139</v>
      </c>
      <c r="J81" t="s">
        <v>139</v>
      </c>
      <c r="M81" t="s">
        <v>139</v>
      </c>
    </row>
    <row r="82" spans="1:14" x14ac:dyDescent="0.45">
      <c r="A82" s="5" t="s">
        <v>608</v>
      </c>
      <c r="B82" s="5" t="s">
        <v>140</v>
      </c>
      <c r="C82" s="5" t="s">
        <v>609</v>
      </c>
      <c r="D82" s="5" t="s">
        <v>588</v>
      </c>
      <c r="E82" s="5" t="s">
        <v>610</v>
      </c>
      <c r="F82" s="5" t="s">
        <v>592</v>
      </c>
      <c r="G82" s="5" t="s">
        <v>138</v>
      </c>
      <c r="H82" s="5"/>
      <c r="I82" s="5"/>
      <c r="J82" s="5" t="s">
        <v>139</v>
      </c>
      <c r="K82" s="5"/>
      <c r="L82" s="5" t="s">
        <v>139</v>
      </c>
      <c r="M82" s="5" t="s">
        <v>139</v>
      </c>
      <c r="N82" s="5"/>
    </row>
    <row r="83" spans="1:14" x14ac:dyDescent="0.45">
      <c r="A83" t="s">
        <v>611</v>
      </c>
      <c r="B83" t="s">
        <v>140</v>
      </c>
      <c r="C83" t="s">
        <v>612</v>
      </c>
      <c r="D83" t="s">
        <v>588</v>
      </c>
      <c r="E83" t="s">
        <v>613</v>
      </c>
      <c r="F83" t="s">
        <v>614</v>
      </c>
      <c r="G83" t="s">
        <v>138</v>
      </c>
      <c r="I83" t="s">
        <v>139</v>
      </c>
      <c r="J83" t="s">
        <v>139</v>
      </c>
      <c r="M83" t="s">
        <v>139</v>
      </c>
    </row>
    <row r="84" spans="1:14" x14ac:dyDescent="0.45">
      <c r="A84" s="5" t="s">
        <v>615</v>
      </c>
      <c r="B84" s="5" t="s">
        <v>140</v>
      </c>
      <c r="C84" s="5" t="s">
        <v>616</v>
      </c>
      <c r="D84" s="5" t="s">
        <v>588</v>
      </c>
      <c r="E84" s="5" t="s">
        <v>617</v>
      </c>
      <c r="F84" s="5" t="s">
        <v>592</v>
      </c>
      <c r="G84" s="5" t="s">
        <v>138</v>
      </c>
      <c r="H84" s="5"/>
      <c r="I84" s="5" t="s">
        <v>139</v>
      </c>
      <c r="J84" s="5" t="s">
        <v>139</v>
      </c>
      <c r="K84" s="5"/>
      <c r="L84" s="5"/>
      <c r="M84" s="5" t="s">
        <v>139</v>
      </c>
      <c r="N84" s="5"/>
    </row>
    <row r="85" spans="1:14" x14ac:dyDescent="0.45">
      <c r="A85" t="s">
        <v>618</v>
      </c>
      <c r="B85" t="s">
        <v>140</v>
      </c>
      <c r="C85" t="s">
        <v>619</v>
      </c>
      <c r="D85" t="s">
        <v>588</v>
      </c>
      <c r="E85" t="s">
        <v>620</v>
      </c>
      <c r="F85" t="s">
        <v>592</v>
      </c>
      <c r="G85" t="s">
        <v>138</v>
      </c>
      <c r="I85" t="s">
        <v>139</v>
      </c>
      <c r="J85" t="s">
        <v>139</v>
      </c>
      <c r="M85" t="s">
        <v>139</v>
      </c>
    </row>
    <row r="86" spans="1:14" x14ac:dyDescent="0.45">
      <c r="A86" s="5" t="s">
        <v>621</v>
      </c>
      <c r="B86" s="5" t="s">
        <v>140</v>
      </c>
      <c r="C86" s="5" t="s">
        <v>622</v>
      </c>
      <c r="D86" s="5" t="s">
        <v>588</v>
      </c>
      <c r="E86" s="5" t="s">
        <v>589</v>
      </c>
      <c r="F86" s="5" t="s">
        <v>592</v>
      </c>
      <c r="G86" s="5" t="s">
        <v>138</v>
      </c>
      <c r="H86" s="5"/>
      <c r="I86" s="5"/>
      <c r="J86" s="5" t="s">
        <v>139</v>
      </c>
      <c r="K86" s="5"/>
      <c r="L86" s="5"/>
      <c r="M86" s="5" t="s">
        <v>139</v>
      </c>
      <c r="N86" s="5"/>
    </row>
    <row r="87" spans="1:14" x14ac:dyDescent="0.45">
      <c r="A87" t="s">
        <v>623</v>
      </c>
      <c r="B87" t="s">
        <v>140</v>
      </c>
      <c r="C87" t="s">
        <v>624</v>
      </c>
      <c r="D87" t="s">
        <v>588</v>
      </c>
      <c r="E87" t="s">
        <v>589</v>
      </c>
      <c r="F87" t="s">
        <v>592</v>
      </c>
      <c r="G87" t="s">
        <v>138</v>
      </c>
      <c r="J87" t="s">
        <v>139</v>
      </c>
      <c r="M87" t="s">
        <v>139</v>
      </c>
    </row>
    <row r="88" spans="1:14" x14ac:dyDescent="0.45">
      <c r="A88" s="5" t="s">
        <v>625</v>
      </c>
      <c r="B88" s="5" t="s">
        <v>140</v>
      </c>
      <c r="C88" s="5" t="s">
        <v>626</v>
      </c>
      <c r="D88" s="5" t="s">
        <v>588</v>
      </c>
      <c r="E88" s="5" t="s">
        <v>589</v>
      </c>
      <c r="F88" s="5" t="s">
        <v>592</v>
      </c>
      <c r="G88" s="5" t="s">
        <v>138</v>
      </c>
      <c r="H88" s="5"/>
      <c r="I88" s="5"/>
      <c r="J88" s="5" t="s">
        <v>139</v>
      </c>
      <c r="K88" s="5"/>
      <c r="L88" s="5"/>
      <c r="M88" s="5" t="s">
        <v>139</v>
      </c>
      <c r="N88" s="5"/>
    </row>
    <row r="89" spans="1:14" x14ac:dyDescent="0.45">
      <c r="A89" t="s">
        <v>627</v>
      </c>
      <c r="B89" t="s">
        <v>140</v>
      </c>
      <c r="C89" t="s">
        <v>344</v>
      </c>
      <c r="D89" t="s">
        <v>588</v>
      </c>
      <c r="E89" t="s">
        <v>589</v>
      </c>
      <c r="F89" t="s">
        <v>592</v>
      </c>
      <c r="G89" t="s">
        <v>145</v>
      </c>
      <c r="I89" t="s">
        <v>139</v>
      </c>
      <c r="J89" t="s">
        <v>139</v>
      </c>
      <c r="M89" t="s">
        <v>139</v>
      </c>
    </row>
    <row r="90" spans="1:14" x14ac:dyDescent="0.45">
      <c r="A90" s="5" t="s">
        <v>628</v>
      </c>
      <c r="B90" s="5" t="s">
        <v>140</v>
      </c>
      <c r="C90" s="5" t="s">
        <v>347</v>
      </c>
      <c r="D90" s="5" t="s">
        <v>588</v>
      </c>
      <c r="E90" s="5" t="s">
        <v>589</v>
      </c>
      <c r="F90" s="5" t="s">
        <v>592</v>
      </c>
      <c r="G90" s="5" t="s">
        <v>145</v>
      </c>
      <c r="H90" s="5"/>
      <c r="I90" s="5" t="s">
        <v>139</v>
      </c>
      <c r="J90" s="5" t="s">
        <v>139</v>
      </c>
      <c r="K90" s="5"/>
      <c r="L90" s="5"/>
      <c r="M90" s="5" t="s">
        <v>139</v>
      </c>
      <c r="N90" s="5"/>
    </row>
    <row r="91" spans="1:14" x14ac:dyDescent="0.45">
      <c r="A91" t="s">
        <v>629</v>
      </c>
      <c r="B91" t="s">
        <v>140</v>
      </c>
      <c r="C91" t="s">
        <v>630</v>
      </c>
      <c r="D91" t="s">
        <v>588</v>
      </c>
      <c r="E91" t="s">
        <v>589</v>
      </c>
      <c r="F91" t="s">
        <v>592</v>
      </c>
      <c r="G91" t="s">
        <v>138</v>
      </c>
      <c r="J91" t="s">
        <v>139</v>
      </c>
      <c r="M91" t="s">
        <v>139</v>
      </c>
    </row>
    <row r="92" spans="1:14" x14ac:dyDescent="0.45">
      <c r="A92" s="6" t="s">
        <v>427</v>
      </c>
      <c r="B92" s="7"/>
      <c r="C92" s="7"/>
      <c r="D92" s="7"/>
      <c r="E92" s="7"/>
      <c r="F92" s="7"/>
      <c r="G92" s="7"/>
      <c r="H92" s="7"/>
      <c r="I92" s="7"/>
      <c r="J92" s="7"/>
      <c r="K92" s="7"/>
      <c r="L92" s="7"/>
      <c r="M92" s="7"/>
      <c r="N92" s="7"/>
    </row>
    <row r="93" spans="1:14" x14ac:dyDescent="0.45">
      <c r="A93" s="5" t="s">
        <v>428</v>
      </c>
      <c r="B93" s="5" t="s">
        <v>133</v>
      </c>
      <c r="C93" s="5" t="s">
        <v>631</v>
      </c>
      <c r="D93" s="5" t="s">
        <v>381</v>
      </c>
      <c r="E93" s="5" t="s">
        <v>430</v>
      </c>
      <c r="F93" s="5" t="s">
        <v>431</v>
      </c>
      <c r="G93" s="5" t="s">
        <v>145</v>
      </c>
      <c r="H93" s="5"/>
      <c r="I93" s="5" t="s">
        <v>139</v>
      </c>
      <c r="J93" s="5" t="s">
        <v>139</v>
      </c>
      <c r="K93" s="5"/>
      <c r="L93" s="5" t="s">
        <v>139</v>
      </c>
      <c r="M93" s="5" t="s">
        <v>139</v>
      </c>
      <c r="N93" s="5"/>
    </row>
    <row r="94" spans="1:14" x14ac:dyDescent="0.45">
      <c r="A94" t="s">
        <v>433</v>
      </c>
      <c r="B94" t="s">
        <v>140</v>
      </c>
      <c r="C94" t="s">
        <v>434</v>
      </c>
      <c r="D94" t="s">
        <v>435</v>
      </c>
      <c r="E94" t="s">
        <v>436</v>
      </c>
      <c r="F94" t="s">
        <v>159</v>
      </c>
      <c r="G94" t="s">
        <v>160</v>
      </c>
      <c r="J94" t="s">
        <v>139</v>
      </c>
      <c r="L94" t="s">
        <v>139</v>
      </c>
      <c r="M94" t="s">
        <v>139</v>
      </c>
    </row>
    <row r="95" spans="1:14" x14ac:dyDescent="0.45">
      <c r="A95" s="6" t="s">
        <v>358</v>
      </c>
      <c r="B95" s="7"/>
      <c r="C95" s="7"/>
      <c r="D95" s="7"/>
      <c r="E95" s="7"/>
      <c r="F95" s="7"/>
      <c r="G95" s="7"/>
      <c r="H95" s="7"/>
      <c r="I95" s="7"/>
      <c r="J95" s="7"/>
      <c r="K95" s="7"/>
      <c r="L95" s="7"/>
      <c r="M95" s="7"/>
      <c r="N95" s="7"/>
    </row>
    <row r="96" spans="1:14" x14ac:dyDescent="0.45">
      <c r="A96" s="5" t="s">
        <v>359</v>
      </c>
      <c r="B96" s="5" t="s">
        <v>140</v>
      </c>
      <c r="C96" s="5" t="s">
        <v>360</v>
      </c>
      <c r="D96" s="5" t="s">
        <v>579</v>
      </c>
      <c r="E96" s="5" t="s">
        <v>632</v>
      </c>
      <c r="F96" s="5" t="s">
        <v>633</v>
      </c>
      <c r="G96" s="5" t="s">
        <v>363</v>
      </c>
      <c r="H96" s="5"/>
      <c r="I96" s="5"/>
      <c r="J96" s="5" t="s">
        <v>139</v>
      </c>
      <c r="K96" s="5" t="s">
        <v>139</v>
      </c>
      <c r="L96" s="5"/>
      <c r="M96" s="5" t="s">
        <v>139</v>
      </c>
      <c r="N96" s="5"/>
    </row>
    <row r="97" spans="1:14" x14ac:dyDescent="0.45">
      <c r="A97" t="s">
        <v>368</v>
      </c>
      <c r="B97" t="s">
        <v>140</v>
      </c>
      <c r="C97" t="s">
        <v>369</v>
      </c>
      <c r="D97" t="s">
        <v>579</v>
      </c>
      <c r="E97" t="s">
        <v>661</v>
      </c>
      <c r="F97" t="s">
        <v>371</v>
      </c>
      <c r="G97" t="s">
        <v>138</v>
      </c>
      <c r="J97" t="s">
        <v>139</v>
      </c>
      <c r="L97" t="s">
        <v>139</v>
      </c>
      <c r="M97" t="s">
        <v>139</v>
      </c>
    </row>
    <row r="98" spans="1:14" x14ac:dyDescent="0.45">
      <c r="A98" s="5" t="s">
        <v>635</v>
      </c>
      <c r="B98" s="5" t="s">
        <v>133</v>
      </c>
      <c r="C98" s="5" t="s">
        <v>636</v>
      </c>
      <c r="D98" s="5" t="s">
        <v>169</v>
      </c>
      <c r="E98" s="5" t="s">
        <v>662</v>
      </c>
      <c r="F98" s="5" t="s">
        <v>638</v>
      </c>
      <c r="G98" s="5" t="s">
        <v>639</v>
      </c>
      <c r="H98" s="5"/>
      <c r="I98" s="5"/>
      <c r="J98" s="5"/>
      <c r="K98" s="5"/>
      <c r="L98" s="5" t="s">
        <v>139</v>
      </c>
      <c r="M98" s="5" t="s">
        <v>139</v>
      </c>
      <c r="N98" s="5"/>
    </row>
    <row r="99" spans="1:14" x14ac:dyDescent="0.45">
      <c r="A99" t="s">
        <v>372</v>
      </c>
      <c r="B99" t="s">
        <v>133</v>
      </c>
      <c r="C99" t="s">
        <v>373</v>
      </c>
      <c r="D99" t="s">
        <v>169</v>
      </c>
      <c r="E99" t="s">
        <v>663</v>
      </c>
      <c r="F99" t="s">
        <v>375</v>
      </c>
      <c r="G99" t="s">
        <v>138</v>
      </c>
      <c r="L99" t="s">
        <v>139</v>
      </c>
      <c r="M99" t="s">
        <v>139</v>
      </c>
    </row>
    <row r="100" spans="1:14" x14ac:dyDescent="0.45">
      <c r="A100" s="5" t="s">
        <v>641</v>
      </c>
      <c r="B100" s="5" t="s">
        <v>140</v>
      </c>
      <c r="C100" s="5" t="s">
        <v>642</v>
      </c>
      <c r="D100" s="5" t="s">
        <v>579</v>
      </c>
      <c r="E100" s="5" t="s">
        <v>643</v>
      </c>
      <c r="F100" s="5" t="s">
        <v>644</v>
      </c>
      <c r="G100" s="5" t="s">
        <v>138</v>
      </c>
      <c r="H100" s="5"/>
      <c r="I100" s="5"/>
      <c r="J100" s="5" t="s">
        <v>139</v>
      </c>
      <c r="K100" s="5"/>
      <c r="L100" s="5" t="s">
        <v>139</v>
      </c>
      <c r="M100" s="5" t="s">
        <v>139</v>
      </c>
      <c r="N100" s="5"/>
    </row>
    <row r="101" spans="1:14" x14ac:dyDescent="0.45">
      <c r="A101" t="s">
        <v>348</v>
      </c>
      <c r="B101" t="s">
        <v>140</v>
      </c>
      <c r="C101" t="s">
        <v>645</v>
      </c>
      <c r="D101" t="s">
        <v>579</v>
      </c>
      <c r="E101" t="s">
        <v>646</v>
      </c>
      <c r="F101" t="s">
        <v>647</v>
      </c>
      <c r="G101" t="s">
        <v>138</v>
      </c>
      <c r="I101" t="s">
        <v>139</v>
      </c>
      <c r="J101" t="s">
        <v>139</v>
      </c>
      <c r="M101" t="s">
        <v>139</v>
      </c>
    </row>
    <row r="102" spans="1:14" x14ac:dyDescent="0.45">
      <c r="A102" s="5" t="s">
        <v>648</v>
      </c>
      <c r="B102" s="5" t="s">
        <v>140</v>
      </c>
      <c r="C102" s="5" t="s">
        <v>649</v>
      </c>
      <c r="D102" s="5" t="s">
        <v>579</v>
      </c>
      <c r="E102" s="5" t="s">
        <v>664</v>
      </c>
      <c r="F102" s="5" t="s">
        <v>651</v>
      </c>
      <c r="G102" s="5" t="s">
        <v>138</v>
      </c>
      <c r="H102" s="5"/>
      <c r="I102" s="5" t="s">
        <v>139</v>
      </c>
      <c r="J102" s="5" t="s">
        <v>139</v>
      </c>
      <c r="K102" s="5"/>
      <c r="L102" s="5"/>
      <c r="M102" s="5" t="s">
        <v>139</v>
      </c>
      <c r="N102" s="5"/>
    </row>
    <row r="103" spans="1:14" x14ac:dyDescent="0.45">
      <c r="A103" t="s">
        <v>652</v>
      </c>
      <c r="B103" t="s">
        <v>140</v>
      </c>
      <c r="C103" t="s">
        <v>653</v>
      </c>
      <c r="D103" t="s">
        <v>579</v>
      </c>
      <c r="E103" t="s">
        <v>654</v>
      </c>
      <c r="F103" t="s">
        <v>655</v>
      </c>
      <c r="G103" t="s">
        <v>138</v>
      </c>
      <c r="J103" t="s">
        <v>139</v>
      </c>
      <c r="M103" t="s">
        <v>139</v>
      </c>
    </row>
    <row r="104" spans="1:14" x14ac:dyDescent="0.45">
      <c r="A104" s="5" t="s">
        <v>656</v>
      </c>
      <c r="B104" s="5" t="s">
        <v>140</v>
      </c>
      <c r="C104" s="5" t="s">
        <v>657</v>
      </c>
      <c r="D104" s="5" t="s">
        <v>579</v>
      </c>
      <c r="E104" s="5" t="s">
        <v>658</v>
      </c>
      <c r="F104" s="5" t="s">
        <v>659</v>
      </c>
      <c r="G104" s="5" t="s">
        <v>138</v>
      </c>
      <c r="H104" s="5"/>
      <c r="I104" s="5" t="s">
        <v>139</v>
      </c>
      <c r="J104" s="5" t="s">
        <v>139</v>
      </c>
      <c r="K104" s="5"/>
      <c r="L104" s="5"/>
      <c r="M104" s="5" t="s">
        <v>139</v>
      </c>
      <c r="N104" s="5"/>
    </row>
  </sheetData>
  <mergeCells count="13">
    <mergeCell ref="B2:N2"/>
    <mergeCell ref="A1:N1"/>
    <mergeCell ref="A92:N92"/>
    <mergeCell ref="B4:N4"/>
    <mergeCell ref="A7:N7"/>
    <mergeCell ref="A95:N95"/>
    <mergeCell ref="B3:N3"/>
    <mergeCell ref="A56:N56"/>
    <mergeCell ref="B5:N5"/>
    <mergeCell ref="A31:N31"/>
    <mergeCell ref="A69:N69"/>
    <mergeCell ref="A12:N12"/>
    <mergeCell ref="A50:N50"/>
  </mergeCells>
  <dataValidations count="1">
    <dataValidation type="list" allowBlank="1" errorTitle="Invalid Review Status" error="Choose a review status from the list." sqref="N2:N104" xr:uid="{00000000-0002-0000-1F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81"/>
  <sheetViews>
    <sheetView workbookViewId="0">
      <pane ySplit="6" topLeftCell="A7" activePane="bottomLeft" state="frozen"/>
      <selection pane="bottomLeft"/>
    </sheetView>
  </sheetViews>
  <sheetFormatPr defaultRowHeight="14.25" x14ac:dyDescent="0.45"/>
  <cols>
    <col min="1" max="1" width="50" customWidth="1"/>
    <col min="2" max="2" width="16" customWidth="1"/>
    <col min="3" max="6" width="50" customWidth="1"/>
    <col min="7" max="7" width="26"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673</v>
      </c>
      <c r="B1" s="7"/>
      <c r="C1" s="7"/>
      <c r="D1" s="7"/>
      <c r="E1" s="7"/>
      <c r="F1" s="7"/>
      <c r="G1" s="7"/>
      <c r="H1" s="7"/>
      <c r="I1" s="7"/>
      <c r="J1" s="7"/>
      <c r="K1" s="7"/>
      <c r="L1" s="7"/>
      <c r="M1" s="7"/>
      <c r="N1" s="7"/>
    </row>
    <row r="2" spans="1:14" x14ac:dyDescent="0.45">
      <c r="A2" s="4" t="s">
        <v>18</v>
      </c>
      <c r="B2" s="7" t="s">
        <v>95</v>
      </c>
      <c r="C2" s="7"/>
      <c r="D2" s="7"/>
      <c r="E2" s="7"/>
      <c r="F2" s="7"/>
      <c r="G2" s="7"/>
      <c r="H2" s="7"/>
      <c r="I2" s="7"/>
      <c r="J2" s="7"/>
      <c r="K2" s="7"/>
      <c r="L2" s="7"/>
      <c r="M2" s="7"/>
      <c r="N2" s="7"/>
    </row>
    <row r="3" spans="1:14" x14ac:dyDescent="0.45">
      <c r="A3" s="4" t="s">
        <v>19</v>
      </c>
      <c r="B3" s="7" t="s">
        <v>27</v>
      </c>
      <c r="C3" s="7"/>
      <c r="D3" s="7"/>
      <c r="E3" s="7"/>
      <c r="F3" s="7"/>
      <c r="G3" s="7"/>
      <c r="H3" s="7"/>
      <c r="I3" s="7"/>
      <c r="J3" s="7"/>
      <c r="K3" s="7"/>
      <c r="L3" s="7"/>
      <c r="M3" s="7"/>
      <c r="N3" s="7"/>
    </row>
    <row r="4" spans="1:14" x14ac:dyDescent="0.45">
      <c r="A4" s="4" t="s">
        <v>20</v>
      </c>
      <c r="B4" s="7" t="s">
        <v>113</v>
      </c>
      <c r="C4" s="7"/>
      <c r="D4" s="7"/>
      <c r="E4" s="7"/>
      <c r="F4" s="7"/>
      <c r="G4" s="7"/>
      <c r="H4" s="7"/>
      <c r="I4" s="7"/>
      <c r="J4" s="7"/>
      <c r="K4" s="7"/>
      <c r="L4" s="7"/>
      <c r="M4" s="7"/>
      <c r="N4" s="7"/>
    </row>
    <row r="5" spans="1:14" x14ac:dyDescent="0.45">
      <c r="A5" s="4" t="s">
        <v>21</v>
      </c>
      <c r="B5" s="7" t="s">
        <v>31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132</v>
      </c>
      <c r="B7" s="7"/>
      <c r="C7" s="7"/>
      <c r="D7" s="7"/>
      <c r="E7" s="7"/>
      <c r="F7" s="7"/>
      <c r="G7" s="7"/>
      <c r="H7" s="7"/>
      <c r="I7" s="7"/>
      <c r="J7" s="7"/>
      <c r="K7" s="7"/>
      <c r="L7" s="7"/>
      <c r="M7" s="7"/>
      <c r="N7" s="7"/>
    </row>
    <row r="8" spans="1:14" x14ac:dyDescent="0.45">
      <c r="A8" t="s">
        <v>21</v>
      </c>
      <c r="B8" t="s">
        <v>140</v>
      </c>
      <c r="C8" t="s">
        <v>134</v>
      </c>
      <c r="D8" t="s">
        <v>135</v>
      </c>
      <c r="E8" t="s">
        <v>577</v>
      </c>
      <c r="F8" t="s">
        <v>137</v>
      </c>
      <c r="G8" t="s">
        <v>138</v>
      </c>
      <c r="I8" t="s">
        <v>139</v>
      </c>
      <c r="J8" t="s">
        <v>139</v>
      </c>
      <c r="K8" t="s">
        <v>139</v>
      </c>
      <c r="M8" t="s">
        <v>139</v>
      </c>
    </row>
    <row r="9" spans="1:14" x14ac:dyDescent="0.45">
      <c r="A9" s="5" t="s">
        <v>20</v>
      </c>
      <c r="B9" s="5" t="s">
        <v>140</v>
      </c>
      <c r="C9" s="5" t="s">
        <v>578</v>
      </c>
      <c r="D9" s="5" t="s">
        <v>579</v>
      </c>
      <c r="E9" s="5" t="s">
        <v>580</v>
      </c>
      <c r="F9" s="5" t="s">
        <v>581</v>
      </c>
      <c r="G9" s="5" t="s">
        <v>145</v>
      </c>
      <c r="H9" s="5"/>
      <c r="I9" s="5" t="s">
        <v>139</v>
      </c>
      <c r="J9" s="5" t="s">
        <v>139</v>
      </c>
      <c r="K9" s="5" t="s">
        <v>139</v>
      </c>
      <c r="L9" s="5"/>
      <c r="M9" s="5" t="s">
        <v>139</v>
      </c>
      <c r="N9" s="5"/>
    </row>
    <row r="10" spans="1:14" x14ac:dyDescent="0.45">
      <c r="A10" t="s">
        <v>19</v>
      </c>
      <c r="B10" t="s">
        <v>140</v>
      </c>
      <c r="C10" t="s">
        <v>146</v>
      </c>
      <c r="D10" t="s">
        <v>135</v>
      </c>
      <c r="E10" t="s">
        <v>147</v>
      </c>
      <c r="F10" t="s">
        <v>148</v>
      </c>
      <c r="G10" t="s">
        <v>138</v>
      </c>
      <c r="J10" t="s">
        <v>139</v>
      </c>
      <c r="L10" t="s">
        <v>139</v>
      </c>
      <c r="M10" t="s">
        <v>139</v>
      </c>
    </row>
    <row r="11" spans="1:14" x14ac:dyDescent="0.45">
      <c r="A11" s="5" t="s">
        <v>149</v>
      </c>
      <c r="B11" s="5" t="s">
        <v>133</v>
      </c>
      <c r="C11" s="5" t="s">
        <v>150</v>
      </c>
      <c r="D11" s="5" t="s">
        <v>582</v>
      </c>
      <c r="E11" s="5" t="s">
        <v>583</v>
      </c>
      <c r="F11" s="5" t="s">
        <v>153</v>
      </c>
      <c r="G11" s="5" t="s">
        <v>138</v>
      </c>
      <c r="H11" s="5"/>
      <c r="I11" s="5" t="s">
        <v>139</v>
      </c>
      <c r="J11" s="5" t="s">
        <v>139</v>
      </c>
      <c r="K11" s="5"/>
      <c r="L11" s="5"/>
      <c r="M11" s="5" t="s">
        <v>139</v>
      </c>
      <c r="N11" s="5"/>
    </row>
    <row r="12" spans="1:14" x14ac:dyDescent="0.45">
      <c r="A12" s="6" t="s">
        <v>154</v>
      </c>
      <c r="B12" s="7"/>
      <c r="C12" s="7"/>
      <c r="D12" s="7"/>
      <c r="E12" s="7"/>
      <c r="F12" s="7"/>
      <c r="G12" s="7"/>
      <c r="H12" s="7"/>
      <c r="I12" s="7"/>
      <c r="J12" s="7"/>
      <c r="K12" s="7"/>
      <c r="L12" s="7"/>
      <c r="M12" s="7"/>
      <c r="N12" s="7"/>
    </row>
    <row r="13" spans="1:14" x14ac:dyDescent="0.45">
      <c r="A13" t="s">
        <v>155</v>
      </c>
      <c r="B13" t="s">
        <v>140</v>
      </c>
      <c r="C13" t="s">
        <v>156</v>
      </c>
      <c r="D13" t="s">
        <v>157</v>
      </c>
      <c r="E13" t="s">
        <v>158</v>
      </c>
      <c r="F13" t="s">
        <v>159</v>
      </c>
      <c r="G13" t="s">
        <v>160</v>
      </c>
      <c r="J13" t="s">
        <v>139</v>
      </c>
      <c r="L13" t="s">
        <v>139</v>
      </c>
      <c r="M13" t="s">
        <v>139</v>
      </c>
    </row>
    <row r="14" spans="1:14" x14ac:dyDescent="0.45">
      <c r="A14" s="5" t="s">
        <v>161</v>
      </c>
      <c r="B14" s="5" t="s">
        <v>140</v>
      </c>
      <c r="C14" s="5" t="s">
        <v>156</v>
      </c>
      <c r="D14" s="5" t="s">
        <v>157</v>
      </c>
      <c r="E14" s="5" t="s">
        <v>162</v>
      </c>
      <c r="F14" s="5" t="s">
        <v>159</v>
      </c>
      <c r="G14" s="5" t="s">
        <v>160</v>
      </c>
      <c r="H14" s="5"/>
      <c r="I14" s="5"/>
      <c r="J14" s="5" t="s">
        <v>139</v>
      </c>
      <c r="K14" s="5"/>
      <c r="L14" s="5" t="s">
        <v>139</v>
      </c>
      <c r="M14" s="5" t="s">
        <v>139</v>
      </c>
      <c r="N14" s="5"/>
    </row>
    <row r="15" spans="1:14" x14ac:dyDescent="0.45">
      <c r="A15" t="s">
        <v>163</v>
      </c>
      <c r="B15" t="s">
        <v>140</v>
      </c>
      <c r="C15" t="s">
        <v>164</v>
      </c>
      <c r="D15" t="s">
        <v>157</v>
      </c>
      <c r="E15" t="s">
        <v>392</v>
      </c>
      <c r="F15" t="s">
        <v>159</v>
      </c>
      <c r="G15" t="s">
        <v>160</v>
      </c>
      <c r="M15" t="s">
        <v>139</v>
      </c>
    </row>
    <row r="16" spans="1:14" x14ac:dyDescent="0.45">
      <c r="A16" s="5" t="s">
        <v>166</v>
      </c>
      <c r="B16" s="5" t="s">
        <v>167</v>
      </c>
      <c r="C16" s="5" t="s">
        <v>168</v>
      </c>
      <c r="D16" s="5" t="s">
        <v>169</v>
      </c>
      <c r="E16" s="5" t="s">
        <v>209</v>
      </c>
      <c r="F16" s="5" t="s">
        <v>171</v>
      </c>
      <c r="G16" s="5" t="s">
        <v>138</v>
      </c>
      <c r="H16" s="5"/>
      <c r="I16" s="5"/>
      <c r="J16" s="5"/>
      <c r="K16" s="5"/>
      <c r="L16" s="5" t="s">
        <v>139</v>
      </c>
      <c r="M16" s="5" t="s">
        <v>139</v>
      </c>
      <c r="N16" s="5"/>
    </row>
    <row r="17" spans="1:14" x14ac:dyDescent="0.45">
      <c r="A17" t="s">
        <v>172</v>
      </c>
      <c r="B17" t="s">
        <v>133</v>
      </c>
      <c r="C17" t="s">
        <v>168</v>
      </c>
      <c r="D17" t="s">
        <v>169</v>
      </c>
      <c r="E17" t="s">
        <v>209</v>
      </c>
      <c r="F17" t="s">
        <v>173</v>
      </c>
      <c r="G17" t="s">
        <v>138</v>
      </c>
      <c r="L17" t="s">
        <v>139</v>
      </c>
      <c r="M17" t="s">
        <v>139</v>
      </c>
    </row>
    <row r="18" spans="1:14" x14ac:dyDescent="0.45">
      <c r="A18" s="5" t="s">
        <v>174</v>
      </c>
      <c r="B18" s="5" t="s">
        <v>167</v>
      </c>
      <c r="C18" s="5" t="s">
        <v>175</v>
      </c>
      <c r="D18" s="5" t="s">
        <v>169</v>
      </c>
      <c r="E18" s="5" t="s">
        <v>393</v>
      </c>
      <c r="F18" s="5" t="s">
        <v>177</v>
      </c>
      <c r="G18" s="5" t="s">
        <v>138</v>
      </c>
      <c r="H18" s="5"/>
      <c r="I18" s="5"/>
      <c r="J18" s="5"/>
      <c r="K18" s="5"/>
      <c r="L18" s="5" t="s">
        <v>139</v>
      </c>
      <c r="M18" s="5" t="s">
        <v>139</v>
      </c>
      <c r="N18" s="5"/>
    </row>
    <row r="19" spans="1:14" x14ac:dyDescent="0.45">
      <c r="A19" t="s">
        <v>178</v>
      </c>
      <c r="B19" t="s">
        <v>167</v>
      </c>
      <c r="C19" t="s">
        <v>179</v>
      </c>
      <c r="D19" t="s">
        <v>584</v>
      </c>
      <c r="E19" t="s">
        <v>395</v>
      </c>
      <c r="F19" t="s">
        <v>396</v>
      </c>
      <c r="G19" t="s">
        <v>397</v>
      </c>
      <c r="K19" t="s">
        <v>139</v>
      </c>
      <c r="L19" t="s">
        <v>139</v>
      </c>
      <c r="M19" t="s">
        <v>139</v>
      </c>
    </row>
    <row r="20" spans="1:14" x14ac:dyDescent="0.45">
      <c r="A20" s="5" t="s">
        <v>181</v>
      </c>
      <c r="B20" s="5" t="s">
        <v>167</v>
      </c>
      <c r="C20" s="5" t="s">
        <v>179</v>
      </c>
      <c r="D20" s="5" t="s">
        <v>585</v>
      </c>
      <c r="E20" s="5" t="s">
        <v>395</v>
      </c>
      <c r="F20" s="5" t="s">
        <v>398</v>
      </c>
      <c r="G20" s="5" t="s">
        <v>397</v>
      </c>
      <c r="H20" s="5"/>
      <c r="I20" s="5"/>
      <c r="J20" s="5"/>
      <c r="K20" s="5" t="s">
        <v>139</v>
      </c>
      <c r="L20" s="5" t="s">
        <v>139</v>
      </c>
      <c r="M20" s="5" t="s">
        <v>139</v>
      </c>
      <c r="N20" s="5"/>
    </row>
    <row r="21" spans="1:14" x14ac:dyDescent="0.45">
      <c r="A21" t="s">
        <v>182</v>
      </c>
      <c r="B21" t="s">
        <v>133</v>
      </c>
      <c r="C21" t="s">
        <v>183</v>
      </c>
      <c r="D21" t="s">
        <v>169</v>
      </c>
      <c r="E21" t="s">
        <v>586</v>
      </c>
      <c r="F21" t="s">
        <v>185</v>
      </c>
      <c r="G21" t="s">
        <v>182</v>
      </c>
      <c r="H21" t="s">
        <v>186</v>
      </c>
      <c r="J21" t="s">
        <v>139</v>
      </c>
      <c r="L21" t="s">
        <v>139</v>
      </c>
      <c r="M21" t="s">
        <v>139</v>
      </c>
    </row>
    <row r="22" spans="1:14" x14ac:dyDescent="0.45">
      <c r="A22" s="5" t="s">
        <v>187</v>
      </c>
      <c r="B22" s="5" t="s">
        <v>140</v>
      </c>
      <c r="C22" s="5" t="s">
        <v>188</v>
      </c>
      <c r="D22" s="5" t="s">
        <v>157</v>
      </c>
      <c r="E22" s="5" t="s">
        <v>189</v>
      </c>
      <c r="F22" s="5" t="s">
        <v>159</v>
      </c>
      <c r="G22" s="5" t="s">
        <v>160</v>
      </c>
      <c r="H22" s="5"/>
      <c r="I22" s="5"/>
      <c r="J22" s="5"/>
      <c r="K22" s="5"/>
      <c r="L22" s="5" t="s">
        <v>139</v>
      </c>
      <c r="M22" s="5" t="s">
        <v>139</v>
      </c>
      <c r="N22" s="5"/>
    </row>
    <row r="23" spans="1:14" x14ac:dyDescent="0.45">
      <c r="A23" t="s">
        <v>190</v>
      </c>
      <c r="B23" t="s">
        <v>140</v>
      </c>
      <c r="C23" t="s">
        <v>191</v>
      </c>
      <c r="D23" t="s">
        <v>157</v>
      </c>
      <c r="E23" t="s">
        <v>192</v>
      </c>
      <c r="F23" t="s">
        <v>159</v>
      </c>
      <c r="G23" t="s">
        <v>160</v>
      </c>
      <c r="L23" t="s">
        <v>139</v>
      </c>
      <c r="M23" t="s">
        <v>139</v>
      </c>
    </row>
    <row r="24" spans="1:14" x14ac:dyDescent="0.45">
      <c r="A24" s="5" t="s">
        <v>193</v>
      </c>
      <c r="B24" s="5" t="s">
        <v>140</v>
      </c>
      <c r="C24" s="5" t="s">
        <v>194</v>
      </c>
      <c r="D24" s="5" t="s">
        <v>157</v>
      </c>
      <c r="E24" s="5" t="s">
        <v>195</v>
      </c>
      <c r="F24" s="5" t="s">
        <v>159</v>
      </c>
      <c r="G24" s="5" t="s">
        <v>160</v>
      </c>
      <c r="H24" s="5"/>
      <c r="I24" s="5"/>
      <c r="J24" s="5"/>
      <c r="K24" s="5"/>
      <c r="L24" s="5" t="s">
        <v>139</v>
      </c>
      <c r="M24" s="5" t="s">
        <v>139</v>
      </c>
      <c r="N24" s="5"/>
    </row>
    <row r="25" spans="1:14" x14ac:dyDescent="0.45">
      <c r="A25" t="s">
        <v>196</v>
      </c>
      <c r="B25" t="s">
        <v>140</v>
      </c>
      <c r="C25" t="s">
        <v>197</v>
      </c>
      <c r="D25" t="s">
        <v>157</v>
      </c>
      <c r="E25" t="s">
        <v>198</v>
      </c>
      <c r="F25" t="s">
        <v>159</v>
      </c>
      <c r="G25" t="s">
        <v>160</v>
      </c>
      <c r="L25" t="s">
        <v>139</v>
      </c>
      <c r="M25" t="s">
        <v>139</v>
      </c>
    </row>
    <row r="26" spans="1:14" x14ac:dyDescent="0.45">
      <c r="A26" s="5" t="s">
        <v>199</v>
      </c>
      <c r="B26" s="5" t="s">
        <v>140</v>
      </c>
      <c r="C26" s="5" t="s">
        <v>200</v>
      </c>
      <c r="D26" s="5" t="s">
        <v>157</v>
      </c>
      <c r="E26" s="5" t="s">
        <v>201</v>
      </c>
      <c r="F26" s="5" t="s">
        <v>159</v>
      </c>
      <c r="G26" s="5" t="s">
        <v>160</v>
      </c>
      <c r="H26" s="5"/>
      <c r="I26" s="5"/>
      <c r="J26" s="5"/>
      <c r="K26" s="5"/>
      <c r="L26" s="5" t="s">
        <v>139</v>
      </c>
      <c r="M26" s="5" t="s">
        <v>139</v>
      </c>
      <c r="N26" s="5"/>
    </row>
    <row r="27" spans="1:14" x14ac:dyDescent="0.45">
      <c r="A27" t="s">
        <v>202</v>
      </c>
      <c r="B27" t="s">
        <v>140</v>
      </c>
      <c r="C27" t="s">
        <v>203</v>
      </c>
      <c r="D27" t="s">
        <v>157</v>
      </c>
      <c r="E27" t="s">
        <v>204</v>
      </c>
      <c r="F27" t="s">
        <v>159</v>
      </c>
      <c r="G27" t="s">
        <v>160</v>
      </c>
      <c r="L27" t="s">
        <v>139</v>
      </c>
      <c r="M27" t="s">
        <v>139</v>
      </c>
    </row>
    <row r="28" spans="1:14" x14ac:dyDescent="0.45">
      <c r="A28" s="5" t="s">
        <v>205</v>
      </c>
      <c r="B28" s="5" t="s">
        <v>140</v>
      </c>
      <c r="C28" s="5" t="s">
        <v>206</v>
      </c>
      <c r="D28" s="5" t="s">
        <v>157</v>
      </c>
      <c r="E28" s="5" t="s">
        <v>204</v>
      </c>
      <c r="F28" s="5" t="s">
        <v>159</v>
      </c>
      <c r="G28" s="5" t="s">
        <v>160</v>
      </c>
      <c r="H28" s="5"/>
      <c r="I28" s="5"/>
      <c r="J28" s="5" t="s">
        <v>139</v>
      </c>
      <c r="K28" s="5" t="s">
        <v>139</v>
      </c>
      <c r="L28" s="5"/>
      <c r="M28" s="5" t="s">
        <v>139</v>
      </c>
      <c r="N28" s="5"/>
    </row>
    <row r="29" spans="1:14" x14ac:dyDescent="0.45">
      <c r="A29" t="s">
        <v>207</v>
      </c>
      <c r="B29" t="s">
        <v>133</v>
      </c>
      <c r="C29" t="s">
        <v>208</v>
      </c>
      <c r="D29" t="s">
        <v>169</v>
      </c>
      <c r="E29" t="s">
        <v>209</v>
      </c>
      <c r="F29" t="s">
        <v>210</v>
      </c>
      <c r="G29" t="s">
        <v>138</v>
      </c>
      <c r="H29" t="s">
        <v>211</v>
      </c>
      <c r="J29" t="s">
        <v>139</v>
      </c>
      <c r="L29" t="s">
        <v>139</v>
      </c>
      <c r="M29" t="s">
        <v>139</v>
      </c>
    </row>
    <row r="30" spans="1:14" x14ac:dyDescent="0.45">
      <c r="A30" s="5" t="s">
        <v>212</v>
      </c>
      <c r="B30" s="5" t="s">
        <v>140</v>
      </c>
      <c r="C30" s="5" t="s">
        <v>213</v>
      </c>
      <c r="D30" s="5" t="s">
        <v>214</v>
      </c>
      <c r="E30" s="5" t="s">
        <v>215</v>
      </c>
      <c r="F30" s="5" t="s">
        <v>400</v>
      </c>
      <c r="G30" s="5" t="s">
        <v>138</v>
      </c>
      <c r="H30" s="5"/>
      <c r="I30" s="5"/>
      <c r="J30" s="5" t="s">
        <v>139</v>
      </c>
      <c r="K30" s="5"/>
      <c r="L30" s="5" t="s">
        <v>139</v>
      </c>
      <c r="M30" s="5" t="s">
        <v>139</v>
      </c>
      <c r="N30" s="5"/>
    </row>
    <row r="31" spans="1:14" x14ac:dyDescent="0.45">
      <c r="A31" s="6" t="s">
        <v>216</v>
      </c>
      <c r="B31" s="7"/>
      <c r="C31" s="7"/>
      <c r="D31" s="7"/>
      <c r="E31" s="7"/>
      <c r="F31" s="7"/>
      <c r="G31" s="7"/>
      <c r="H31" s="7"/>
      <c r="I31" s="7"/>
      <c r="J31" s="7"/>
      <c r="K31" s="7"/>
      <c r="L31" s="7"/>
      <c r="M31" s="7"/>
      <c r="N31" s="7"/>
    </row>
    <row r="32" spans="1:14" x14ac:dyDescent="0.45">
      <c r="A32" t="s">
        <v>217</v>
      </c>
      <c r="B32" t="s">
        <v>140</v>
      </c>
      <c r="C32" t="s">
        <v>218</v>
      </c>
      <c r="D32" t="s">
        <v>157</v>
      </c>
      <c r="E32" t="s">
        <v>219</v>
      </c>
      <c r="F32" t="s">
        <v>159</v>
      </c>
      <c r="G32" t="s">
        <v>160</v>
      </c>
      <c r="I32" t="s">
        <v>139</v>
      </c>
      <c r="J32" t="s">
        <v>139</v>
      </c>
      <c r="M32" t="s">
        <v>139</v>
      </c>
    </row>
    <row r="33" spans="1:14" x14ac:dyDescent="0.45">
      <c r="A33" s="5" t="s">
        <v>220</v>
      </c>
      <c r="B33" s="5" t="s">
        <v>140</v>
      </c>
      <c r="C33" s="5" t="s">
        <v>221</v>
      </c>
      <c r="D33" s="5" t="s">
        <v>157</v>
      </c>
      <c r="E33" s="5" t="s">
        <v>222</v>
      </c>
      <c r="F33" s="5" t="s">
        <v>159</v>
      </c>
      <c r="G33" s="5" t="s">
        <v>160</v>
      </c>
      <c r="H33" s="5"/>
      <c r="I33" s="5" t="s">
        <v>139</v>
      </c>
      <c r="J33" s="5" t="s">
        <v>139</v>
      </c>
      <c r="K33" s="5"/>
      <c r="L33" s="5" t="s">
        <v>139</v>
      </c>
      <c r="M33" s="5" t="s">
        <v>139</v>
      </c>
      <c r="N33" s="5"/>
    </row>
    <row r="34" spans="1:14" x14ac:dyDescent="0.45">
      <c r="A34" t="s">
        <v>223</v>
      </c>
      <c r="B34" t="s">
        <v>224</v>
      </c>
      <c r="C34" t="s">
        <v>225</v>
      </c>
      <c r="D34" t="s">
        <v>587</v>
      </c>
      <c r="E34" t="s">
        <v>227</v>
      </c>
      <c r="F34" t="s">
        <v>228</v>
      </c>
      <c r="G34" t="s">
        <v>138</v>
      </c>
      <c r="L34" t="s">
        <v>139</v>
      </c>
      <c r="M34" t="s">
        <v>139</v>
      </c>
    </row>
    <row r="35" spans="1:14" x14ac:dyDescent="0.45">
      <c r="A35" s="5" t="s">
        <v>229</v>
      </c>
      <c r="B35" s="5" t="s">
        <v>167</v>
      </c>
      <c r="C35" s="5" t="s">
        <v>225</v>
      </c>
      <c r="D35" s="5" t="s">
        <v>587</v>
      </c>
      <c r="E35" s="5" t="s">
        <v>227</v>
      </c>
      <c r="F35" s="5" t="s">
        <v>230</v>
      </c>
      <c r="G35" s="5" t="s">
        <v>138</v>
      </c>
      <c r="H35" s="5"/>
      <c r="I35" s="5"/>
      <c r="J35" s="5"/>
      <c r="K35" s="5"/>
      <c r="L35" s="5" t="s">
        <v>139</v>
      </c>
      <c r="M35" s="5" t="s">
        <v>139</v>
      </c>
      <c r="N35" s="5"/>
    </row>
    <row r="36" spans="1:14" x14ac:dyDescent="0.45">
      <c r="A36" t="s">
        <v>231</v>
      </c>
      <c r="B36" t="s">
        <v>167</v>
      </c>
      <c r="C36" t="s">
        <v>225</v>
      </c>
      <c r="D36" t="s">
        <v>587</v>
      </c>
      <c r="E36" t="s">
        <v>227</v>
      </c>
      <c r="F36" t="s">
        <v>232</v>
      </c>
      <c r="G36" t="s">
        <v>138</v>
      </c>
      <c r="L36" t="s">
        <v>139</v>
      </c>
      <c r="M36" t="s">
        <v>139</v>
      </c>
    </row>
    <row r="37" spans="1:14" x14ac:dyDescent="0.45">
      <c r="A37" s="5" t="s">
        <v>233</v>
      </c>
      <c r="B37" s="5" t="s">
        <v>224</v>
      </c>
      <c r="C37" s="5" t="s">
        <v>225</v>
      </c>
      <c r="D37" s="5" t="s">
        <v>587</v>
      </c>
      <c r="E37" s="5" t="s">
        <v>227</v>
      </c>
      <c r="F37" s="5" t="s">
        <v>234</v>
      </c>
      <c r="G37" s="5" t="s">
        <v>138</v>
      </c>
      <c r="H37" s="5"/>
      <c r="I37" s="5"/>
      <c r="J37" s="5"/>
      <c r="K37" s="5"/>
      <c r="L37" s="5" t="s">
        <v>139</v>
      </c>
      <c r="M37" s="5" t="s">
        <v>139</v>
      </c>
      <c r="N37" s="5"/>
    </row>
    <row r="38" spans="1:14" x14ac:dyDescent="0.45">
      <c r="A38" t="s">
        <v>235</v>
      </c>
      <c r="B38" t="s">
        <v>133</v>
      </c>
      <c r="C38" t="s">
        <v>236</v>
      </c>
      <c r="D38" t="s">
        <v>169</v>
      </c>
      <c r="E38" t="s">
        <v>402</v>
      </c>
      <c r="F38" t="s">
        <v>239</v>
      </c>
      <c r="G38" t="s">
        <v>145</v>
      </c>
      <c r="I38" t="s">
        <v>139</v>
      </c>
      <c r="J38" t="s">
        <v>139</v>
      </c>
      <c r="K38" t="s">
        <v>139</v>
      </c>
      <c r="L38" t="s">
        <v>139</v>
      </c>
      <c r="M38" t="s">
        <v>139</v>
      </c>
    </row>
    <row r="39" spans="1:14" x14ac:dyDescent="0.45">
      <c r="A39" s="5" t="s">
        <v>240</v>
      </c>
      <c r="B39" s="5" t="s">
        <v>140</v>
      </c>
      <c r="C39" s="5" t="s">
        <v>241</v>
      </c>
      <c r="D39" s="5" t="s">
        <v>157</v>
      </c>
      <c r="E39" s="5" t="s">
        <v>242</v>
      </c>
      <c r="F39" s="5" t="s">
        <v>159</v>
      </c>
      <c r="G39" s="5" t="s">
        <v>160</v>
      </c>
      <c r="H39" s="5"/>
      <c r="I39" s="5"/>
      <c r="J39" s="5" t="s">
        <v>139</v>
      </c>
      <c r="K39" s="5" t="s">
        <v>139</v>
      </c>
      <c r="L39" s="5" t="s">
        <v>139</v>
      </c>
      <c r="M39" s="5" t="s">
        <v>139</v>
      </c>
      <c r="N39" s="5"/>
    </row>
    <row r="40" spans="1:14" x14ac:dyDescent="0.45">
      <c r="A40" t="s">
        <v>243</v>
      </c>
      <c r="B40" t="s">
        <v>140</v>
      </c>
      <c r="C40" t="s">
        <v>244</v>
      </c>
      <c r="D40" t="s">
        <v>157</v>
      </c>
      <c r="E40" t="s">
        <v>242</v>
      </c>
      <c r="F40" t="s">
        <v>159</v>
      </c>
      <c r="G40" t="s">
        <v>160</v>
      </c>
      <c r="J40" t="s">
        <v>139</v>
      </c>
      <c r="L40" t="s">
        <v>139</v>
      </c>
      <c r="M40" t="s">
        <v>139</v>
      </c>
    </row>
    <row r="41" spans="1:14" x14ac:dyDescent="0.45">
      <c r="A41" s="5" t="s">
        <v>245</v>
      </c>
      <c r="B41" s="5" t="s">
        <v>140</v>
      </c>
      <c r="C41" s="5" t="s">
        <v>246</v>
      </c>
      <c r="D41" s="5" t="s">
        <v>157</v>
      </c>
      <c r="E41" s="5" t="s">
        <v>247</v>
      </c>
      <c r="F41" s="5" t="s">
        <v>159</v>
      </c>
      <c r="G41" s="5" t="s">
        <v>160</v>
      </c>
      <c r="H41" s="5"/>
      <c r="I41" s="5"/>
      <c r="J41" s="5"/>
      <c r="K41" s="5"/>
      <c r="L41" s="5" t="s">
        <v>139</v>
      </c>
      <c r="M41" s="5" t="s">
        <v>139</v>
      </c>
      <c r="N41" s="5"/>
    </row>
    <row r="42" spans="1:14" x14ac:dyDescent="0.45">
      <c r="A42" t="s">
        <v>248</v>
      </c>
      <c r="B42" t="s">
        <v>140</v>
      </c>
      <c r="C42" t="s">
        <v>249</v>
      </c>
      <c r="D42" t="s">
        <v>157</v>
      </c>
      <c r="E42" t="s">
        <v>247</v>
      </c>
      <c r="F42" t="s">
        <v>159</v>
      </c>
      <c r="G42" t="s">
        <v>160</v>
      </c>
      <c r="J42" t="s">
        <v>139</v>
      </c>
      <c r="K42" t="s">
        <v>139</v>
      </c>
      <c r="L42" t="s">
        <v>139</v>
      </c>
      <c r="M42" t="s">
        <v>139</v>
      </c>
    </row>
    <row r="43" spans="1:14" x14ac:dyDescent="0.45">
      <c r="A43" s="5" t="s">
        <v>250</v>
      </c>
      <c r="B43" s="5" t="s">
        <v>140</v>
      </c>
      <c r="C43" s="5" t="s">
        <v>251</v>
      </c>
      <c r="D43" s="5" t="s">
        <v>157</v>
      </c>
      <c r="E43" s="5" t="s">
        <v>252</v>
      </c>
      <c r="F43" s="5" t="s">
        <v>159</v>
      </c>
      <c r="G43" s="5" t="s">
        <v>160</v>
      </c>
      <c r="H43" s="5"/>
      <c r="I43" s="5"/>
      <c r="J43" s="5" t="s">
        <v>139</v>
      </c>
      <c r="K43" s="5"/>
      <c r="L43" s="5" t="s">
        <v>139</v>
      </c>
      <c r="M43" s="5" t="s">
        <v>139</v>
      </c>
      <c r="N43" s="5"/>
    </row>
    <row r="44" spans="1:14" x14ac:dyDescent="0.45">
      <c r="A44" t="s">
        <v>253</v>
      </c>
      <c r="B44" t="s">
        <v>140</v>
      </c>
      <c r="C44" t="s">
        <v>251</v>
      </c>
      <c r="D44" t="s">
        <v>157</v>
      </c>
      <c r="E44" t="s">
        <v>252</v>
      </c>
      <c r="F44" t="s">
        <v>159</v>
      </c>
      <c r="G44" t="s">
        <v>160</v>
      </c>
      <c r="J44" t="s">
        <v>139</v>
      </c>
      <c r="L44" t="s">
        <v>139</v>
      </c>
      <c r="M44" t="s">
        <v>139</v>
      </c>
    </row>
    <row r="45" spans="1:14" x14ac:dyDescent="0.45">
      <c r="A45" s="5" t="s">
        <v>254</v>
      </c>
      <c r="B45" s="5" t="s">
        <v>140</v>
      </c>
      <c r="C45" s="5" t="s">
        <v>255</v>
      </c>
      <c r="D45" s="5" t="s">
        <v>157</v>
      </c>
      <c r="E45" s="5" t="s">
        <v>256</v>
      </c>
      <c r="F45" s="5" t="s">
        <v>159</v>
      </c>
      <c r="G45" s="5" t="s">
        <v>160</v>
      </c>
      <c r="H45" s="5"/>
      <c r="I45" s="5" t="s">
        <v>139</v>
      </c>
      <c r="J45" s="5"/>
      <c r="K45" s="5"/>
      <c r="L45" s="5" t="s">
        <v>139</v>
      </c>
      <c r="M45" s="5" t="s">
        <v>139</v>
      </c>
      <c r="N45" s="5"/>
    </row>
    <row r="46" spans="1:14" x14ac:dyDescent="0.45">
      <c r="A46" t="s">
        <v>257</v>
      </c>
      <c r="B46" t="s">
        <v>140</v>
      </c>
      <c r="C46" t="s">
        <v>258</v>
      </c>
      <c r="D46" t="s">
        <v>157</v>
      </c>
      <c r="E46" t="s">
        <v>242</v>
      </c>
      <c r="F46" t="s">
        <v>159</v>
      </c>
      <c r="G46" t="s">
        <v>160</v>
      </c>
      <c r="I46" t="s">
        <v>139</v>
      </c>
      <c r="J46" t="s">
        <v>139</v>
      </c>
      <c r="L46" t="s">
        <v>139</v>
      </c>
      <c r="M46" t="s">
        <v>139</v>
      </c>
    </row>
    <row r="47" spans="1:14" x14ac:dyDescent="0.45">
      <c r="A47" s="5" t="s">
        <v>259</v>
      </c>
      <c r="B47" s="5" t="s">
        <v>140</v>
      </c>
      <c r="C47" s="5" t="s">
        <v>260</v>
      </c>
      <c r="D47" s="5" t="s">
        <v>157</v>
      </c>
      <c r="E47" s="5" t="s">
        <v>242</v>
      </c>
      <c r="F47" s="5" t="s">
        <v>159</v>
      </c>
      <c r="G47" s="5" t="s">
        <v>160</v>
      </c>
      <c r="H47" s="5"/>
      <c r="I47" s="5"/>
      <c r="J47" s="5"/>
      <c r="K47" s="5"/>
      <c r="L47" s="5" t="s">
        <v>139</v>
      </c>
      <c r="M47" s="5" t="s">
        <v>139</v>
      </c>
      <c r="N47" s="5"/>
    </row>
    <row r="48" spans="1:14" x14ac:dyDescent="0.45">
      <c r="A48" t="s">
        <v>261</v>
      </c>
      <c r="B48" t="s">
        <v>224</v>
      </c>
      <c r="C48" t="s">
        <v>262</v>
      </c>
      <c r="D48" t="s">
        <v>169</v>
      </c>
      <c r="E48" t="s">
        <v>263</v>
      </c>
      <c r="F48" t="s">
        <v>264</v>
      </c>
      <c r="G48" t="s">
        <v>138</v>
      </c>
      <c r="H48" t="s">
        <v>265</v>
      </c>
      <c r="L48" t="s">
        <v>139</v>
      </c>
      <c r="M48" t="s">
        <v>139</v>
      </c>
    </row>
    <row r="49" spans="1:14" x14ac:dyDescent="0.45">
      <c r="A49" s="5" t="s">
        <v>266</v>
      </c>
      <c r="B49" s="5" t="s">
        <v>167</v>
      </c>
      <c r="C49" s="5" t="s">
        <v>267</v>
      </c>
      <c r="D49" s="5" t="s">
        <v>587</v>
      </c>
      <c r="E49" s="5" t="s">
        <v>268</v>
      </c>
      <c r="F49" s="5" t="s">
        <v>269</v>
      </c>
      <c r="G49" s="5" t="s">
        <v>138</v>
      </c>
      <c r="H49" s="5" t="s">
        <v>270</v>
      </c>
      <c r="I49" s="5"/>
      <c r="J49" s="5"/>
      <c r="K49" s="5"/>
      <c r="L49" s="5" t="s">
        <v>139</v>
      </c>
      <c r="M49" s="5" t="s">
        <v>139</v>
      </c>
      <c r="N49" s="5"/>
    </row>
    <row r="50" spans="1:14" x14ac:dyDescent="0.45">
      <c r="A50" s="6" t="s">
        <v>271</v>
      </c>
      <c r="B50" s="7"/>
      <c r="C50" s="7"/>
      <c r="D50" s="7"/>
      <c r="E50" s="7"/>
      <c r="F50" s="7"/>
      <c r="G50" s="7"/>
      <c r="H50" s="7"/>
      <c r="I50" s="7"/>
      <c r="J50" s="7"/>
      <c r="K50" s="7"/>
      <c r="L50" s="7"/>
      <c r="M50" s="7"/>
      <c r="N50" s="7"/>
    </row>
    <row r="51" spans="1:14" x14ac:dyDescent="0.45">
      <c r="A51" t="s">
        <v>272</v>
      </c>
      <c r="B51" t="s">
        <v>224</v>
      </c>
      <c r="C51" t="s">
        <v>273</v>
      </c>
      <c r="D51" t="s">
        <v>274</v>
      </c>
      <c r="E51" t="s">
        <v>275</v>
      </c>
      <c r="F51" t="s">
        <v>276</v>
      </c>
      <c r="G51" t="s">
        <v>145</v>
      </c>
      <c r="L51" t="s">
        <v>139</v>
      </c>
      <c r="M51" t="s">
        <v>139</v>
      </c>
    </row>
    <row r="52" spans="1:14" x14ac:dyDescent="0.45">
      <c r="A52" s="5" t="s">
        <v>277</v>
      </c>
      <c r="B52" s="5" t="s">
        <v>224</v>
      </c>
      <c r="C52" s="5" t="s">
        <v>273</v>
      </c>
      <c r="D52" s="5" t="s">
        <v>274</v>
      </c>
      <c r="E52" s="5" t="s">
        <v>275</v>
      </c>
      <c r="F52" s="5" t="s">
        <v>278</v>
      </c>
      <c r="G52" s="5" t="s">
        <v>145</v>
      </c>
      <c r="H52" s="5"/>
      <c r="I52" s="5"/>
      <c r="J52" s="5"/>
      <c r="K52" s="5"/>
      <c r="L52" s="5" t="s">
        <v>139</v>
      </c>
      <c r="M52" s="5" t="s">
        <v>139</v>
      </c>
      <c r="N52" s="5"/>
    </row>
    <row r="53" spans="1:14" x14ac:dyDescent="0.45">
      <c r="A53" t="s">
        <v>279</v>
      </c>
      <c r="B53" t="s">
        <v>280</v>
      </c>
      <c r="C53" t="s">
        <v>273</v>
      </c>
      <c r="D53" t="s">
        <v>169</v>
      </c>
      <c r="E53" t="s">
        <v>281</v>
      </c>
      <c r="F53" t="s">
        <v>282</v>
      </c>
      <c r="G53" t="s">
        <v>145</v>
      </c>
      <c r="L53" t="s">
        <v>139</v>
      </c>
      <c r="M53" t="s">
        <v>139</v>
      </c>
    </row>
    <row r="54" spans="1:14" x14ac:dyDescent="0.45">
      <c r="A54" s="5" t="s">
        <v>283</v>
      </c>
      <c r="B54" s="5" t="s">
        <v>280</v>
      </c>
      <c r="C54" s="5" t="s">
        <v>273</v>
      </c>
      <c r="D54" s="5" t="s">
        <v>169</v>
      </c>
      <c r="E54" s="5" t="s">
        <v>284</v>
      </c>
      <c r="F54" s="5" t="s">
        <v>285</v>
      </c>
      <c r="G54" s="5" t="s">
        <v>145</v>
      </c>
      <c r="H54" s="5"/>
      <c r="I54" s="5"/>
      <c r="J54" s="5"/>
      <c r="K54" s="5"/>
      <c r="L54" s="5" t="s">
        <v>139</v>
      </c>
      <c r="M54" s="5" t="s">
        <v>139</v>
      </c>
      <c r="N54" s="5"/>
    </row>
    <row r="55" spans="1:14" x14ac:dyDescent="0.45">
      <c r="A55" t="s">
        <v>286</v>
      </c>
      <c r="B55" t="s">
        <v>280</v>
      </c>
      <c r="C55" t="s">
        <v>273</v>
      </c>
      <c r="D55" t="s">
        <v>169</v>
      </c>
      <c r="E55" t="s">
        <v>287</v>
      </c>
      <c r="F55" t="s">
        <v>288</v>
      </c>
      <c r="G55" t="s">
        <v>145</v>
      </c>
      <c r="L55" t="s">
        <v>139</v>
      </c>
      <c r="M55" t="s">
        <v>139</v>
      </c>
    </row>
    <row r="56" spans="1:14" x14ac:dyDescent="0.45">
      <c r="A56" s="6" t="s">
        <v>289</v>
      </c>
      <c r="B56" s="7"/>
      <c r="C56" s="7"/>
      <c r="D56" s="7"/>
      <c r="E56" s="7"/>
      <c r="F56" s="7"/>
      <c r="G56" s="7"/>
      <c r="H56" s="7"/>
      <c r="I56" s="7"/>
      <c r="J56" s="7"/>
      <c r="K56" s="7"/>
      <c r="L56" s="7"/>
      <c r="M56" s="7"/>
      <c r="N56" s="7"/>
    </row>
    <row r="57" spans="1:14" x14ac:dyDescent="0.45">
      <c r="A57" s="5" t="s">
        <v>290</v>
      </c>
      <c r="B57" s="5" t="s">
        <v>140</v>
      </c>
      <c r="C57" s="5" t="s">
        <v>291</v>
      </c>
      <c r="D57" s="5" t="s">
        <v>292</v>
      </c>
      <c r="E57" s="5" t="s">
        <v>293</v>
      </c>
      <c r="F57" s="5" t="s">
        <v>159</v>
      </c>
      <c r="G57" s="5" t="s">
        <v>160</v>
      </c>
      <c r="H57" s="5"/>
      <c r="I57" s="5" t="s">
        <v>139</v>
      </c>
      <c r="J57" s="5" t="s">
        <v>139</v>
      </c>
      <c r="K57" s="5"/>
      <c r="L57" s="5" t="s">
        <v>139</v>
      </c>
      <c r="M57" s="5" t="s">
        <v>139</v>
      </c>
      <c r="N57" s="5"/>
    </row>
    <row r="58" spans="1:14" x14ac:dyDescent="0.45">
      <c r="A58" t="s">
        <v>294</v>
      </c>
      <c r="B58" t="s">
        <v>140</v>
      </c>
      <c r="C58" t="s">
        <v>291</v>
      </c>
      <c r="D58" t="s">
        <v>292</v>
      </c>
      <c r="E58" t="s">
        <v>295</v>
      </c>
      <c r="F58" t="s">
        <v>159</v>
      </c>
      <c r="G58" t="s">
        <v>160</v>
      </c>
      <c r="I58" t="s">
        <v>139</v>
      </c>
      <c r="J58" t="s">
        <v>139</v>
      </c>
      <c r="L58" t="s">
        <v>139</v>
      </c>
      <c r="M58" t="s">
        <v>139</v>
      </c>
    </row>
    <row r="59" spans="1:14" x14ac:dyDescent="0.45">
      <c r="A59" s="5" t="s">
        <v>296</v>
      </c>
      <c r="B59" s="5" t="s">
        <v>140</v>
      </c>
      <c r="C59" s="5" t="s">
        <v>297</v>
      </c>
      <c r="D59" s="5" t="s">
        <v>588</v>
      </c>
      <c r="E59" s="5" t="s">
        <v>589</v>
      </c>
      <c r="F59" s="5" t="s">
        <v>299</v>
      </c>
      <c r="G59" s="5" t="s">
        <v>138</v>
      </c>
      <c r="H59" s="5"/>
      <c r="I59" s="5" t="s">
        <v>139</v>
      </c>
      <c r="J59" s="5" t="s">
        <v>139</v>
      </c>
      <c r="K59" s="5" t="s">
        <v>139</v>
      </c>
      <c r="L59" s="5" t="s">
        <v>139</v>
      </c>
      <c r="M59" s="5" t="s">
        <v>139</v>
      </c>
      <c r="N59" s="5"/>
    </row>
    <row r="60" spans="1:14" x14ac:dyDescent="0.45">
      <c r="A60" t="s">
        <v>300</v>
      </c>
      <c r="B60" t="s">
        <v>140</v>
      </c>
      <c r="C60" t="s">
        <v>301</v>
      </c>
      <c r="D60" t="s">
        <v>135</v>
      </c>
      <c r="E60" t="s">
        <v>302</v>
      </c>
      <c r="F60" t="s">
        <v>159</v>
      </c>
      <c r="G60" t="s">
        <v>160</v>
      </c>
      <c r="J60" t="s">
        <v>139</v>
      </c>
      <c r="L60" t="s">
        <v>139</v>
      </c>
      <c r="M60" t="s">
        <v>139</v>
      </c>
    </row>
    <row r="61" spans="1:14" x14ac:dyDescent="0.45">
      <c r="A61" s="5" t="s">
        <v>303</v>
      </c>
      <c r="B61" s="5" t="s">
        <v>140</v>
      </c>
      <c r="C61" s="5" t="s">
        <v>304</v>
      </c>
      <c r="D61" s="5" t="s">
        <v>135</v>
      </c>
      <c r="E61" s="5" t="s">
        <v>305</v>
      </c>
      <c r="F61" s="5" t="s">
        <v>159</v>
      </c>
      <c r="G61" s="5" t="s">
        <v>160</v>
      </c>
      <c r="H61" s="5"/>
      <c r="I61" s="5"/>
      <c r="J61" s="5" t="s">
        <v>139</v>
      </c>
      <c r="K61" s="5"/>
      <c r="L61" s="5" t="s">
        <v>139</v>
      </c>
      <c r="M61" s="5" t="s">
        <v>139</v>
      </c>
      <c r="N61" s="5"/>
    </row>
    <row r="62" spans="1:14" x14ac:dyDescent="0.45">
      <c r="A62" t="s">
        <v>306</v>
      </c>
      <c r="B62" t="s">
        <v>133</v>
      </c>
      <c r="C62" t="s">
        <v>308</v>
      </c>
      <c r="D62" t="s">
        <v>588</v>
      </c>
      <c r="E62" t="s">
        <v>589</v>
      </c>
      <c r="F62" t="s">
        <v>309</v>
      </c>
      <c r="G62" t="s">
        <v>138</v>
      </c>
      <c r="I62" t="s">
        <v>139</v>
      </c>
      <c r="J62" t="s">
        <v>139</v>
      </c>
      <c r="L62" t="s">
        <v>139</v>
      </c>
      <c r="M62" t="s">
        <v>139</v>
      </c>
    </row>
    <row r="63" spans="1:14" x14ac:dyDescent="0.45">
      <c r="A63" s="5" t="s">
        <v>311</v>
      </c>
      <c r="B63" s="5" t="s">
        <v>140</v>
      </c>
      <c r="C63" s="5" t="s">
        <v>312</v>
      </c>
      <c r="D63" s="5" t="s">
        <v>135</v>
      </c>
      <c r="E63" s="5" t="s">
        <v>313</v>
      </c>
      <c r="F63" s="5" t="s">
        <v>159</v>
      </c>
      <c r="G63" s="5" t="s">
        <v>160</v>
      </c>
      <c r="H63" s="5"/>
      <c r="I63" s="5" t="s">
        <v>139</v>
      </c>
      <c r="J63" s="5" t="s">
        <v>139</v>
      </c>
      <c r="K63" s="5"/>
      <c r="L63" s="5"/>
      <c r="M63" s="5" t="s">
        <v>139</v>
      </c>
      <c r="N63" s="5"/>
    </row>
    <row r="64" spans="1:14" x14ac:dyDescent="0.45">
      <c r="A64" t="s">
        <v>314</v>
      </c>
      <c r="B64" t="s">
        <v>140</v>
      </c>
      <c r="C64" t="s">
        <v>315</v>
      </c>
      <c r="D64" t="s">
        <v>135</v>
      </c>
      <c r="E64" t="s">
        <v>316</v>
      </c>
      <c r="F64" t="s">
        <v>159</v>
      </c>
      <c r="G64" t="s">
        <v>160</v>
      </c>
      <c r="J64" t="s">
        <v>139</v>
      </c>
      <c r="M64" t="s">
        <v>139</v>
      </c>
    </row>
    <row r="65" spans="1:14" x14ac:dyDescent="0.45">
      <c r="A65" s="5" t="s">
        <v>317</v>
      </c>
      <c r="B65" s="5" t="s">
        <v>224</v>
      </c>
      <c r="C65" s="5" t="s">
        <v>318</v>
      </c>
      <c r="D65" s="5" t="s">
        <v>588</v>
      </c>
      <c r="E65" s="5" t="s">
        <v>590</v>
      </c>
      <c r="F65" s="5" t="s">
        <v>319</v>
      </c>
      <c r="G65" s="5" t="s">
        <v>138</v>
      </c>
      <c r="H65" s="5"/>
      <c r="I65" s="5" t="s">
        <v>139</v>
      </c>
      <c r="J65" s="5" t="s">
        <v>139</v>
      </c>
      <c r="K65" s="5"/>
      <c r="L65" s="5" t="s">
        <v>139</v>
      </c>
      <c r="M65" s="5" t="s">
        <v>139</v>
      </c>
      <c r="N65" s="5"/>
    </row>
    <row r="66" spans="1:14" x14ac:dyDescent="0.45">
      <c r="A66" t="s">
        <v>320</v>
      </c>
      <c r="B66" t="s">
        <v>140</v>
      </c>
      <c r="C66" t="s">
        <v>321</v>
      </c>
      <c r="D66" t="s">
        <v>135</v>
      </c>
      <c r="E66" t="s">
        <v>322</v>
      </c>
      <c r="F66" t="s">
        <v>159</v>
      </c>
      <c r="G66" t="s">
        <v>160</v>
      </c>
      <c r="L66" t="s">
        <v>139</v>
      </c>
      <c r="M66" t="s">
        <v>139</v>
      </c>
    </row>
    <row r="67" spans="1:14" x14ac:dyDescent="0.45">
      <c r="A67" s="5" t="s">
        <v>323</v>
      </c>
      <c r="B67" s="5" t="s">
        <v>140</v>
      </c>
      <c r="C67" s="5" t="s">
        <v>324</v>
      </c>
      <c r="D67" s="5" t="s">
        <v>135</v>
      </c>
      <c r="E67" s="5" t="s">
        <v>325</v>
      </c>
      <c r="F67" s="5" t="s">
        <v>159</v>
      </c>
      <c r="G67" s="5" t="s">
        <v>160</v>
      </c>
      <c r="H67" s="5"/>
      <c r="I67" s="5"/>
      <c r="J67" s="5"/>
      <c r="K67" s="5"/>
      <c r="L67" s="5" t="s">
        <v>139</v>
      </c>
      <c r="M67" s="5" t="s">
        <v>139</v>
      </c>
      <c r="N67" s="5"/>
    </row>
    <row r="68" spans="1:14" x14ac:dyDescent="0.45">
      <c r="A68" t="s">
        <v>326</v>
      </c>
      <c r="B68" t="s">
        <v>140</v>
      </c>
      <c r="C68" t="s">
        <v>327</v>
      </c>
      <c r="D68" t="s">
        <v>135</v>
      </c>
      <c r="E68" t="s">
        <v>328</v>
      </c>
      <c r="F68" t="s">
        <v>159</v>
      </c>
      <c r="G68" t="s">
        <v>160</v>
      </c>
      <c r="I68" t="s">
        <v>139</v>
      </c>
      <c r="J68" t="s">
        <v>139</v>
      </c>
      <c r="L68" t="s">
        <v>139</v>
      </c>
      <c r="M68" t="s">
        <v>139</v>
      </c>
    </row>
    <row r="69" spans="1:14" x14ac:dyDescent="0.45">
      <c r="A69" s="6" t="s">
        <v>427</v>
      </c>
      <c r="B69" s="7"/>
      <c r="C69" s="7"/>
      <c r="D69" s="7"/>
      <c r="E69" s="7"/>
      <c r="F69" s="7"/>
      <c r="G69" s="7"/>
      <c r="H69" s="7"/>
      <c r="I69" s="7"/>
      <c r="J69" s="7"/>
      <c r="K69" s="7"/>
      <c r="L69" s="7"/>
      <c r="M69" s="7"/>
      <c r="N69" s="7"/>
    </row>
    <row r="70" spans="1:14" x14ac:dyDescent="0.45">
      <c r="A70" s="5" t="s">
        <v>428</v>
      </c>
      <c r="B70" s="5" t="s">
        <v>133</v>
      </c>
      <c r="C70" s="5" t="s">
        <v>631</v>
      </c>
      <c r="D70" s="5" t="s">
        <v>381</v>
      </c>
      <c r="E70" s="5" t="s">
        <v>430</v>
      </c>
      <c r="F70" s="5" t="s">
        <v>431</v>
      </c>
      <c r="G70" s="5" t="s">
        <v>145</v>
      </c>
      <c r="H70" s="5"/>
      <c r="I70" s="5" t="s">
        <v>139</v>
      </c>
      <c r="J70" s="5" t="s">
        <v>139</v>
      </c>
      <c r="K70" s="5"/>
      <c r="L70" s="5" t="s">
        <v>139</v>
      </c>
      <c r="M70" s="5" t="s">
        <v>139</v>
      </c>
      <c r="N70" s="5"/>
    </row>
    <row r="71" spans="1:14" x14ac:dyDescent="0.45">
      <c r="A71" t="s">
        <v>433</v>
      </c>
      <c r="B71" t="s">
        <v>140</v>
      </c>
      <c r="C71" t="s">
        <v>434</v>
      </c>
      <c r="D71" t="s">
        <v>435</v>
      </c>
      <c r="E71" t="s">
        <v>436</v>
      </c>
      <c r="F71" t="s">
        <v>159</v>
      </c>
      <c r="G71" t="s">
        <v>160</v>
      </c>
      <c r="J71" t="s">
        <v>139</v>
      </c>
      <c r="L71" t="s">
        <v>139</v>
      </c>
      <c r="M71" t="s">
        <v>139</v>
      </c>
    </row>
    <row r="72" spans="1:14" x14ac:dyDescent="0.45">
      <c r="A72" s="6" t="s">
        <v>358</v>
      </c>
      <c r="B72" s="7"/>
      <c r="C72" s="7"/>
      <c r="D72" s="7"/>
      <c r="E72" s="7"/>
      <c r="F72" s="7"/>
      <c r="G72" s="7"/>
      <c r="H72" s="7"/>
      <c r="I72" s="7"/>
      <c r="J72" s="7"/>
      <c r="K72" s="7"/>
      <c r="L72" s="7"/>
      <c r="M72" s="7"/>
      <c r="N72" s="7"/>
    </row>
    <row r="73" spans="1:14" x14ac:dyDescent="0.45">
      <c r="A73" s="5" t="s">
        <v>359</v>
      </c>
      <c r="B73" s="5" t="s">
        <v>140</v>
      </c>
      <c r="C73" s="5" t="s">
        <v>360</v>
      </c>
      <c r="D73" s="5" t="s">
        <v>579</v>
      </c>
      <c r="E73" s="5" t="s">
        <v>632</v>
      </c>
      <c r="F73" s="5" t="s">
        <v>633</v>
      </c>
      <c r="G73" s="5" t="s">
        <v>363</v>
      </c>
      <c r="H73" s="5"/>
      <c r="I73" s="5"/>
      <c r="J73" s="5" t="s">
        <v>139</v>
      </c>
      <c r="K73" s="5" t="s">
        <v>139</v>
      </c>
      <c r="L73" s="5"/>
      <c r="M73" s="5" t="s">
        <v>139</v>
      </c>
      <c r="N73" s="5"/>
    </row>
    <row r="74" spans="1:14" x14ac:dyDescent="0.45">
      <c r="A74" t="s">
        <v>368</v>
      </c>
      <c r="B74" t="s">
        <v>140</v>
      </c>
      <c r="C74" t="s">
        <v>369</v>
      </c>
      <c r="D74" t="s">
        <v>579</v>
      </c>
      <c r="E74" t="s">
        <v>661</v>
      </c>
      <c r="F74" t="s">
        <v>371</v>
      </c>
      <c r="G74" t="s">
        <v>138</v>
      </c>
      <c r="J74" t="s">
        <v>139</v>
      </c>
      <c r="L74" t="s">
        <v>139</v>
      </c>
      <c r="M74" t="s">
        <v>139</v>
      </c>
    </row>
    <row r="75" spans="1:14" x14ac:dyDescent="0.45">
      <c r="A75" s="5" t="s">
        <v>635</v>
      </c>
      <c r="B75" s="5" t="s">
        <v>133</v>
      </c>
      <c r="C75" s="5" t="s">
        <v>636</v>
      </c>
      <c r="D75" s="5" t="s">
        <v>169</v>
      </c>
      <c r="E75" s="5" t="s">
        <v>662</v>
      </c>
      <c r="F75" s="5" t="s">
        <v>638</v>
      </c>
      <c r="G75" s="5" t="s">
        <v>639</v>
      </c>
      <c r="H75" s="5"/>
      <c r="I75" s="5"/>
      <c r="J75" s="5"/>
      <c r="K75" s="5"/>
      <c r="L75" s="5" t="s">
        <v>139</v>
      </c>
      <c r="M75" s="5" t="s">
        <v>139</v>
      </c>
      <c r="N75" s="5"/>
    </row>
    <row r="76" spans="1:14" x14ac:dyDescent="0.45">
      <c r="A76" t="s">
        <v>372</v>
      </c>
      <c r="B76" t="s">
        <v>133</v>
      </c>
      <c r="C76" t="s">
        <v>373</v>
      </c>
      <c r="D76" t="s">
        <v>169</v>
      </c>
      <c r="E76" t="s">
        <v>663</v>
      </c>
      <c r="F76" t="s">
        <v>375</v>
      </c>
      <c r="G76" t="s">
        <v>138</v>
      </c>
      <c r="L76" t="s">
        <v>139</v>
      </c>
      <c r="M76" t="s">
        <v>139</v>
      </c>
    </row>
    <row r="77" spans="1:14" x14ac:dyDescent="0.45">
      <c r="A77" s="5" t="s">
        <v>641</v>
      </c>
      <c r="B77" s="5" t="s">
        <v>140</v>
      </c>
      <c r="C77" s="5" t="s">
        <v>642</v>
      </c>
      <c r="D77" s="5" t="s">
        <v>579</v>
      </c>
      <c r="E77" s="5" t="s">
        <v>643</v>
      </c>
      <c r="F77" s="5" t="s">
        <v>644</v>
      </c>
      <c r="G77" s="5" t="s">
        <v>138</v>
      </c>
      <c r="H77" s="5"/>
      <c r="I77" s="5"/>
      <c r="J77" s="5" t="s">
        <v>139</v>
      </c>
      <c r="K77" s="5"/>
      <c r="L77" s="5" t="s">
        <v>139</v>
      </c>
      <c r="M77" s="5" t="s">
        <v>139</v>
      </c>
      <c r="N77" s="5"/>
    </row>
    <row r="78" spans="1:14" x14ac:dyDescent="0.45">
      <c r="A78" t="s">
        <v>348</v>
      </c>
      <c r="B78" t="s">
        <v>140</v>
      </c>
      <c r="C78" t="s">
        <v>645</v>
      </c>
      <c r="D78" t="s">
        <v>579</v>
      </c>
      <c r="E78" t="s">
        <v>646</v>
      </c>
      <c r="F78" t="s">
        <v>647</v>
      </c>
      <c r="G78" t="s">
        <v>138</v>
      </c>
      <c r="I78" t="s">
        <v>139</v>
      </c>
      <c r="J78" t="s">
        <v>139</v>
      </c>
      <c r="M78" t="s">
        <v>139</v>
      </c>
    </row>
    <row r="79" spans="1:14" x14ac:dyDescent="0.45">
      <c r="A79" s="5" t="s">
        <v>648</v>
      </c>
      <c r="B79" s="5" t="s">
        <v>140</v>
      </c>
      <c r="C79" s="5" t="s">
        <v>649</v>
      </c>
      <c r="D79" s="5" t="s">
        <v>579</v>
      </c>
      <c r="E79" s="5" t="s">
        <v>664</v>
      </c>
      <c r="F79" s="5" t="s">
        <v>651</v>
      </c>
      <c r="G79" s="5" t="s">
        <v>138</v>
      </c>
      <c r="H79" s="5"/>
      <c r="I79" s="5" t="s">
        <v>139</v>
      </c>
      <c r="J79" s="5" t="s">
        <v>139</v>
      </c>
      <c r="K79" s="5"/>
      <c r="L79" s="5"/>
      <c r="M79" s="5" t="s">
        <v>139</v>
      </c>
      <c r="N79" s="5"/>
    </row>
    <row r="80" spans="1:14" x14ac:dyDescent="0.45">
      <c r="A80" t="s">
        <v>652</v>
      </c>
      <c r="B80" t="s">
        <v>140</v>
      </c>
      <c r="C80" t="s">
        <v>653</v>
      </c>
      <c r="D80" t="s">
        <v>579</v>
      </c>
      <c r="E80" t="s">
        <v>654</v>
      </c>
      <c r="F80" t="s">
        <v>655</v>
      </c>
      <c r="G80" t="s">
        <v>138</v>
      </c>
      <c r="J80" t="s">
        <v>139</v>
      </c>
      <c r="M80" t="s">
        <v>139</v>
      </c>
    </row>
    <row r="81" spans="1:14" x14ac:dyDescent="0.45">
      <c r="A81" s="5" t="s">
        <v>656</v>
      </c>
      <c r="B81" s="5" t="s">
        <v>140</v>
      </c>
      <c r="C81" s="5" t="s">
        <v>657</v>
      </c>
      <c r="D81" s="5" t="s">
        <v>579</v>
      </c>
      <c r="E81" s="5" t="s">
        <v>658</v>
      </c>
      <c r="F81" s="5" t="s">
        <v>659</v>
      </c>
      <c r="G81" s="5" t="s">
        <v>138</v>
      </c>
      <c r="H81" s="5"/>
      <c r="I81" s="5" t="s">
        <v>139</v>
      </c>
      <c r="J81" s="5" t="s">
        <v>139</v>
      </c>
      <c r="K81" s="5"/>
      <c r="L81" s="5"/>
      <c r="M81" s="5" t="s">
        <v>139</v>
      </c>
      <c r="N81" s="5"/>
    </row>
  </sheetData>
  <mergeCells count="12">
    <mergeCell ref="A1:N1"/>
    <mergeCell ref="B4:N4"/>
    <mergeCell ref="A72:N72"/>
    <mergeCell ref="A7:N7"/>
    <mergeCell ref="B3:N3"/>
    <mergeCell ref="B2:N2"/>
    <mergeCell ref="A56:N56"/>
    <mergeCell ref="B5:N5"/>
    <mergeCell ref="A31:N31"/>
    <mergeCell ref="A69:N69"/>
    <mergeCell ref="A12:N12"/>
    <mergeCell ref="A50:N50"/>
  </mergeCells>
  <dataValidations count="1">
    <dataValidation type="list" allowBlank="1" errorTitle="Invalid Review Status" error="Choose a review status from the list." sqref="N2:N81" xr:uid="{00000000-0002-0000-20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29"/>
  <sheetViews>
    <sheetView workbookViewId="0">
      <pane ySplit="6" topLeftCell="A7" activePane="bottomLeft" state="frozen"/>
      <selection pane="bottomLeft"/>
    </sheetView>
  </sheetViews>
  <sheetFormatPr defaultRowHeight="14.25" x14ac:dyDescent="0.45"/>
  <cols>
    <col min="1" max="1" width="50" customWidth="1"/>
    <col min="2" max="2" width="17" customWidth="1"/>
    <col min="3" max="3" width="50" customWidth="1"/>
    <col min="4" max="4" width="35" customWidth="1"/>
    <col min="5" max="6" width="50" customWidth="1"/>
    <col min="7" max="7" width="15" customWidth="1"/>
    <col min="8" max="8" width="50" customWidth="1"/>
    <col min="9" max="9" width="13" customWidth="1"/>
    <col min="10" max="10" width="23" customWidth="1"/>
    <col min="11" max="11" width="14" customWidth="1"/>
    <col min="12" max="12" width="19" customWidth="1"/>
    <col min="13" max="13" width="17" customWidth="1"/>
    <col min="14" max="14" width="15" customWidth="1"/>
  </cols>
  <sheetData>
    <row r="1" spans="1:14" x14ac:dyDescent="0.45">
      <c r="A1" s="8" t="s">
        <v>674</v>
      </c>
      <c r="B1" s="7"/>
      <c r="C1" s="7"/>
      <c r="D1" s="7"/>
      <c r="E1" s="7"/>
      <c r="F1" s="7"/>
      <c r="G1" s="7"/>
      <c r="H1" s="7"/>
      <c r="I1" s="7"/>
      <c r="J1" s="7"/>
      <c r="K1" s="7"/>
      <c r="L1" s="7"/>
      <c r="M1" s="7"/>
      <c r="N1" s="7"/>
    </row>
    <row r="2" spans="1:14" x14ac:dyDescent="0.45">
      <c r="A2" s="4" t="s">
        <v>18</v>
      </c>
      <c r="B2" s="7" t="s">
        <v>95</v>
      </c>
      <c r="C2" s="7"/>
      <c r="D2" s="7"/>
      <c r="E2" s="7"/>
      <c r="F2" s="7"/>
      <c r="G2" s="7"/>
      <c r="H2" s="7"/>
      <c r="I2" s="7"/>
      <c r="J2" s="7"/>
      <c r="K2" s="7"/>
      <c r="L2" s="7"/>
      <c r="M2" s="7"/>
      <c r="N2" s="7"/>
    </row>
    <row r="3" spans="1:14" x14ac:dyDescent="0.45">
      <c r="A3" s="4" t="s">
        <v>19</v>
      </c>
      <c r="B3" s="7" t="s">
        <v>27</v>
      </c>
      <c r="C3" s="7"/>
      <c r="D3" s="7"/>
      <c r="E3" s="7"/>
      <c r="F3" s="7"/>
      <c r="G3" s="7"/>
      <c r="H3" s="7"/>
      <c r="I3" s="7"/>
      <c r="J3" s="7"/>
      <c r="K3" s="7"/>
      <c r="L3" s="7"/>
      <c r="M3" s="7"/>
      <c r="N3" s="7"/>
    </row>
    <row r="4" spans="1:14" x14ac:dyDescent="0.45">
      <c r="A4" s="4" t="s">
        <v>20</v>
      </c>
      <c r="B4" s="7" t="s">
        <v>116</v>
      </c>
      <c r="C4" s="7"/>
      <c r="D4" s="7"/>
      <c r="E4" s="7"/>
      <c r="F4" s="7"/>
      <c r="G4" s="7"/>
      <c r="H4" s="7"/>
      <c r="I4" s="7"/>
      <c r="J4" s="7"/>
      <c r="K4" s="7"/>
      <c r="L4" s="7"/>
      <c r="M4" s="7"/>
      <c r="N4" s="7"/>
    </row>
    <row r="5" spans="1:14" x14ac:dyDescent="0.45">
      <c r="A5" s="4" t="s">
        <v>21</v>
      </c>
      <c r="B5" s="7" t="s">
        <v>31</v>
      </c>
      <c r="C5" s="7"/>
      <c r="D5" s="7"/>
      <c r="E5" s="7"/>
      <c r="F5" s="7"/>
      <c r="G5" s="7"/>
      <c r="H5" s="7"/>
      <c r="I5" s="7"/>
      <c r="J5" s="7"/>
      <c r="K5" s="7"/>
      <c r="L5" s="7"/>
      <c r="M5" s="7"/>
      <c r="N5" s="7"/>
    </row>
    <row r="6" spans="1:14" x14ac:dyDescent="0.45">
      <c r="A6" s="3" t="s">
        <v>118</v>
      </c>
      <c r="B6" s="3" t="s">
        <v>119</v>
      </c>
      <c r="C6" s="3" t="s">
        <v>120</v>
      </c>
      <c r="D6" s="3" t="s">
        <v>121</v>
      </c>
      <c r="E6" s="3" t="s">
        <v>122</v>
      </c>
      <c r="F6" s="3" t="s">
        <v>123</v>
      </c>
      <c r="G6" s="3" t="s">
        <v>124</v>
      </c>
      <c r="H6" s="3" t="s">
        <v>125</v>
      </c>
      <c r="I6" s="3" t="s">
        <v>126</v>
      </c>
      <c r="J6" s="3" t="s">
        <v>127</v>
      </c>
      <c r="K6" s="3" t="s">
        <v>128</v>
      </c>
      <c r="L6" s="3" t="s">
        <v>129</v>
      </c>
      <c r="M6" s="3" t="s">
        <v>130</v>
      </c>
      <c r="N6" s="3" t="s">
        <v>131</v>
      </c>
    </row>
    <row r="7" spans="1:14" x14ac:dyDescent="0.45">
      <c r="A7" s="6" t="s">
        <v>329</v>
      </c>
      <c r="B7" s="7"/>
      <c r="C7" s="7"/>
      <c r="D7" s="7"/>
      <c r="E7" s="7"/>
      <c r="F7" s="7"/>
      <c r="G7" s="7"/>
      <c r="H7" s="7"/>
      <c r="I7" s="7"/>
      <c r="J7" s="7"/>
      <c r="K7" s="7"/>
      <c r="L7" s="7"/>
      <c r="M7" s="7"/>
      <c r="N7" s="7"/>
    </row>
    <row r="8" spans="1:14" x14ac:dyDescent="0.45">
      <c r="A8" t="s">
        <v>330</v>
      </c>
      <c r="B8" t="s">
        <v>140</v>
      </c>
      <c r="C8" t="s">
        <v>331</v>
      </c>
      <c r="D8" t="s">
        <v>588</v>
      </c>
      <c r="E8" t="s">
        <v>589</v>
      </c>
      <c r="F8" t="s">
        <v>159</v>
      </c>
      <c r="G8" t="s">
        <v>138</v>
      </c>
      <c r="I8" t="s">
        <v>139</v>
      </c>
      <c r="J8" t="s">
        <v>139</v>
      </c>
      <c r="L8" t="s">
        <v>139</v>
      </c>
      <c r="M8" t="s">
        <v>139</v>
      </c>
    </row>
    <row r="9" spans="1:14" x14ac:dyDescent="0.45">
      <c r="A9" s="5" t="s">
        <v>333</v>
      </c>
      <c r="B9" s="5" t="s">
        <v>140</v>
      </c>
      <c r="C9" s="5" t="s">
        <v>334</v>
      </c>
      <c r="D9" s="5" t="s">
        <v>335</v>
      </c>
      <c r="E9" s="5" t="s">
        <v>336</v>
      </c>
      <c r="F9" s="5" t="s">
        <v>159</v>
      </c>
      <c r="G9" s="5" t="s">
        <v>160</v>
      </c>
      <c r="H9" s="5"/>
      <c r="I9" s="5" t="s">
        <v>139</v>
      </c>
      <c r="J9" s="5" t="s">
        <v>139</v>
      </c>
      <c r="K9" s="5"/>
      <c r="L9" s="5" t="s">
        <v>139</v>
      </c>
      <c r="M9" s="5" t="s">
        <v>139</v>
      </c>
      <c r="N9" s="5"/>
    </row>
    <row r="10" spans="1:14" x14ac:dyDescent="0.45">
      <c r="A10" t="s">
        <v>337</v>
      </c>
      <c r="B10" t="s">
        <v>140</v>
      </c>
      <c r="C10" t="s">
        <v>338</v>
      </c>
      <c r="D10" t="s">
        <v>335</v>
      </c>
      <c r="E10" t="s">
        <v>339</v>
      </c>
      <c r="F10" t="s">
        <v>159</v>
      </c>
      <c r="G10" t="s">
        <v>160</v>
      </c>
      <c r="I10" t="s">
        <v>139</v>
      </c>
      <c r="J10" t="s">
        <v>139</v>
      </c>
      <c r="L10" t="s">
        <v>139</v>
      </c>
      <c r="M10" t="s">
        <v>139</v>
      </c>
    </row>
    <row r="11" spans="1:14" x14ac:dyDescent="0.45">
      <c r="A11" s="5" t="s">
        <v>340</v>
      </c>
      <c r="B11" s="5" t="s">
        <v>140</v>
      </c>
      <c r="C11" s="5" t="s">
        <v>341</v>
      </c>
      <c r="D11" s="5" t="s">
        <v>335</v>
      </c>
      <c r="E11" s="5" t="s">
        <v>342</v>
      </c>
      <c r="F11" s="5" t="s">
        <v>159</v>
      </c>
      <c r="G11" s="5" t="s">
        <v>160</v>
      </c>
      <c r="H11" s="5"/>
      <c r="I11" s="5" t="s">
        <v>139</v>
      </c>
      <c r="J11" s="5" t="s">
        <v>139</v>
      </c>
      <c r="K11" s="5"/>
      <c r="L11" s="5" t="s">
        <v>139</v>
      </c>
      <c r="M11" s="5" t="s">
        <v>139</v>
      </c>
      <c r="N11" s="5"/>
    </row>
    <row r="12" spans="1:14" x14ac:dyDescent="0.45">
      <c r="A12" t="s">
        <v>348</v>
      </c>
      <c r="B12" t="s">
        <v>140</v>
      </c>
      <c r="C12" t="s">
        <v>349</v>
      </c>
      <c r="D12" t="s">
        <v>335</v>
      </c>
      <c r="E12" t="s">
        <v>350</v>
      </c>
      <c r="F12" t="s">
        <v>159</v>
      </c>
      <c r="G12" t="s">
        <v>160</v>
      </c>
      <c r="I12" t="s">
        <v>139</v>
      </c>
      <c r="J12" t="s">
        <v>139</v>
      </c>
      <c r="M12" t="s">
        <v>139</v>
      </c>
    </row>
    <row r="13" spans="1:14" x14ac:dyDescent="0.45">
      <c r="A13" s="5" t="s">
        <v>351</v>
      </c>
      <c r="B13" s="5" t="s">
        <v>140</v>
      </c>
      <c r="C13" s="5" t="s">
        <v>352</v>
      </c>
      <c r="D13" s="5" t="s">
        <v>588</v>
      </c>
      <c r="E13" s="5" t="s">
        <v>591</v>
      </c>
      <c r="F13" s="5" t="s">
        <v>592</v>
      </c>
      <c r="G13" s="5" t="s">
        <v>138</v>
      </c>
      <c r="H13" s="5"/>
      <c r="I13" s="5" t="s">
        <v>139</v>
      </c>
      <c r="J13" s="5" t="s">
        <v>139</v>
      </c>
      <c r="K13" s="5"/>
      <c r="L13" s="5" t="s">
        <v>139</v>
      </c>
      <c r="M13" s="5" t="s">
        <v>139</v>
      </c>
      <c r="N13" s="5"/>
    </row>
    <row r="14" spans="1:14" x14ac:dyDescent="0.45">
      <c r="A14" t="s">
        <v>354</v>
      </c>
      <c r="B14" t="s">
        <v>140</v>
      </c>
      <c r="C14" t="s">
        <v>355</v>
      </c>
      <c r="D14" t="s">
        <v>335</v>
      </c>
      <c r="E14" t="s">
        <v>356</v>
      </c>
      <c r="F14" t="s">
        <v>159</v>
      </c>
      <c r="G14" t="s">
        <v>160</v>
      </c>
      <c r="H14" t="s">
        <v>357</v>
      </c>
      <c r="I14" t="s">
        <v>139</v>
      </c>
      <c r="J14" t="s">
        <v>139</v>
      </c>
      <c r="L14" t="s">
        <v>139</v>
      </c>
      <c r="M14" t="s">
        <v>139</v>
      </c>
    </row>
    <row r="15" spans="1:14" x14ac:dyDescent="0.45">
      <c r="A15" s="5" t="s">
        <v>593</v>
      </c>
      <c r="B15" s="5" t="s">
        <v>140</v>
      </c>
      <c r="C15" s="5" t="s">
        <v>594</v>
      </c>
      <c r="D15" s="5" t="s">
        <v>588</v>
      </c>
      <c r="E15" s="5" t="s">
        <v>595</v>
      </c>
      <c r="F15" s="5" t="s">
        <v>592</v>
      </c>
      <c r="G15" s="5" t="s">
        <v>138</v>
      </c>
      <c r="H15" s="5"/>
      <c r="I15" s="5" t="s">
        <v>139</v>
      </c>
      <c r="J15" s="5" t="s">
        <v>139</v>
      </c>
      <c r="K15" s="5"/>
      <c r="L15" s="5"/>
      <c r="M15" s="5" t="s">
        <v>139</v>
      </c>
      <c r="N15" s="5"/>
    </row>
    <row r="16" spans="1:14" x14ac:dyDescent="0.45">
      <c r="A16" t="s">
        <v>596</v>
      </c>
      <c r="B16" t="s">
        <v>140</v>
      </c>
      <c r="C16" t="s">
        <v>597</v>
      </c>
      <c r="D16" t="s">
        <v>588</v>
      </c>
      <c r="E16" t="s">
        <v>595</v>
      </c>
      <c r="F16" t="s">
        <v>592</v>
      </c>
      <c r="G16" t="s">
        <v>138</v>
      </c>
      <c r="I16" t="s">
        <v>139</v>
      </c>
      <c r="J16" t="s">
        <v>139</v>
      </c>
      <c r="M16" t="s">
        <v>139</v>
      </c>
    </row>
    <row r="17" spans="1:14" x14ac:dyDescent="0.45">
      <c r="A17" s="5" t="s">
        <v>598</v>
      </c>
      <c r="B17" s="5" t="s">
        <v>140</v>
      </c>
      <c r="C17" s="5" t="s">
        <v>599</v>
      </c>
      <c r="D17" s="5" t="s">
        <v>588</v>
      </c>
      <c r="E17" s="5" t="s">
        <v>600</v>
      </c>
      <c r="F17" s="5" t="s">
        <v>592</v>
      </c>
      <c r="G17" s="5" t="s">
        <v>138</v>
      </c>
      <c r="H17" s="5"/>
      <c r="I17" s="5"/>
      <c r="J17" s="5"/>
      <c r="K17" s="5"/>
      <c r="L17" s="5" t="s">
        <v>139</v>
      </c>
      <c r="M17" s="5" t="s">
        <v>139</v>
      </c>
      <c r="N17" s="5"/>
    </row>
    <row r="18" spans="1:14" x14ac:dyDescent="0.45">
      <c r="A18" t="s">
        <v>601</v>
      </c>
      <c r="B18" t="s">
        <v>140</v>
      </c>
      <c r="C18" t="s">
        <v>602</v>
      </c>
      <c r="D18" t="s">
        <v>588</v>
      </c>
      <c r="E18" t="s">
        <v>603</v>
      </c>
      <c r="F18" t="s">
        <v>604</v>
      </c>
      <c r="G18" t="s">
        <v>138</v>
      </c>
      <c r="I18" t="s">
        <v>139</v>
      </c>
      <c r="J18" t="s">
        <v>139</v>
      </c>
      <c r="M18" t="s">
        <v>139</v>
      </c>
    </row>
    <row r="19" spans="1:14" x14ac:dyDescent="0.45">
      <c r="A19" s="5" t="s">
        <v>605</v>
      </c>
      <c r="B19" s="5" t="s">
        <v>140</v>
      </c>
      <c r="C19" s="5" t="s">
        <v>606</v>
      </c>
      <c r="D19" s="5" t="s">
        <v>588</v>
      </c>
      <c r="E19" s="5" t="s">
        <v>607</v>
      </c>
      <c r="F19" s="5" t="s">
        <v>592</v>
      </c>
      <c r="G19" s="5" t="s">
        <v>138</v>
      </c>
      <c r="H19" s="5"/>
      <c r="I19" s="5" t="s">
        <v>139</v>
      </c>
      <c r="J19" s="5" t="s">
        <v>139</v>
      </c>
      <c r="K19" s="5"/>
      <c r="L19" s="5"/>
      <c r="M19" s="5" t="s">
        <v>139</v>
      </c>
      <c r="N19" s="5"/>
    </row>
    <row r="20" spans="1:14" x14ac:dyDescent="0.45">
      <c r="A20" t="s">
        <v>608</v>
      </c>
      <c r="B20" t="s">
        <v>140</v>
      </c>
      <c r="C20" t="s">
        <v>609</v>
      </c>
      <c r="D20" t="s">
        <v>588</v>
      </c>
      <c r="E20" t="s">
        <v>610</v>
      </c>
      <c r="F20" t="s">
        <v>592</v>
      </c>
      <c r="G20" t="s">
        <v>138</v>
      </c>
      <c r="J20" t="s">
        <v>139</v>
      </c>
      <c r="L20" t="s">
        <v>139</v>
      </c>
      <c r="M20" t="s">
        <v>139</v>
      </c>
    </row>
    <row r="21" spans="1:14" x14ac:dyDescent="0.45">
      <c r="A21" s="5" t="s">
        <v>611</v>
      </c>
      <c r="B21" s="5" t="s">
        <v>140</v>
      </c>
      <c r="C21" s="5" t="s">
        <v>612</v>
      </c>
      <c r="D21" s="5" t="s">
        <v>588</v>
      </c>
      <c r="E21" s="5" t="s">
        <v>613</v>
      </c>
      <c r="F21" s="5" t="s">
        <v>614</v>
      </c>
      <c r="G21" s="5" t="s">
        <v>138</v>
      </c>
      <c r="H21" s="5"/>
      <c r="I21" s="5" t="s">
        <v>139</v>
      </c>
      <c r="J21" s="5" t="s">
        <v>139</v>
      </c>
      <c r="K21" s="5"/>
      <c r="L21" s="5"/>
      <c r="M21" s="5" t="s">
        <v>139</v>
      </c>
      <c r="N21" s="5"/>
    </row>
    <row r="22" spans="1:14" x14ac:dyDescent="0.45">
      <c r="A22" t="s">
        <v>615</v>
      </c>
      <c r="B22" t="s">
        <v>140</v>
      </c>
      <c r="C22" t="s">
        <v>616</v>
      </c>
      <c r="D22" t="s">
        <v>588</v>
      </c>
      <c r="E22" t="s">
        <v>617</v>
      </c>
      <c r="F22" t="s">
        <v>592</v>
      </c>
      <c r="G22" t="s">
        <v>138</v>
      </c>
      <c r="I22" t="s">
        <v>139</v>
      </c>
      <c r="J22" t="s">
        <v>139</v>
      </c>
      <c r="M22" t="s">
        <v>139</v>
      </c>
    </row>
    <row r="23" spans="1:14" x14ac:dyDescent="0.45">
      <c r="A23" s="5" t="s">
        <v>618</v>
      </c>
      <c r="B23" s="5" t="s">
        <v>140</v>
      </c>
      <c r="C23" s="5" t="s">
        <v>619</v>
      </c>
      <c r="D23" s="5" t="s">
        <v>588</v>
      </c>
      <c r="E23" s="5" t="s">
        <v>620</v>
      </c>
      <c r="F23" s="5" t="s">
        <v>592</v>
      </c>
      <c r="G23" s="5" t="s">
        <v>138</v>
      </c>
      <c r="H23" s="5"/>
      <c r="I23" s="5" t="s">
        <v>139</v>
      </c>
      <c r="J23" s="5" t="s">
        <v>139</v>
      </c>
      <c r="K23" s="5"/>
      <c r="L23" s="5"/>
      <c r="M23" s="5" t="s">
        <v>139</v>
      </c>
      <c r="N23" s="5"/>
    </row>
    <row r="24" spans="1:14" x14ac:dyDescent="0.45">
      <c r="A24" t="s">
        <v>621</v>
      </c>
      <c r="B24" t="s">
        <v>140</v>
      </c>
      <c r="C24" t="s">
        <v>622</v>
      </c>
      <c r="D24" t="s">
        <v>588</v>
      </c>
      <c r="E24" t="s">
        <v>589</v>
      </c>
      <c r="F24" t="s">
        <v>592</v>
      </c>
      <c r="G24" t="s">
        <v>138</v>
      </c>
      <c r="J24" t="s">
        <v>139</v>
      </c>
      <c r="M24" t="s">
        <v>139</v>
      </c>
    </row>
    <row r="25" spans="1:14" x14ac:dyDescent="0.45">
      <c r="A25" s="5" t="s">
        <v>623</v>
      </c>
      <c r="B25" s="5" t="s">
        <v>140</v>
      </c>
      <c r="C25" s="5" t="s">
        <v>624</v>
      </c>
      <c r="D25" s="5" t="s">
        <v>588</v>
      </c>
      <c r="E25" s="5" t="s">
        <v>589</v>
      </c>
      <c r="F25" s="5" t="s">
        <v>592</v>
      </c>
      <c r="G25" s="5" t="s">
        <v>138</v>
      </c>
      <c r="H25" s="5"/>
      <c r="I25" s="5"/>
      <c r="J25" s="5" t="s">
        <v>139</v>
      </c>
      <c r="K25" s="5"/>
      <c r="L25" s="5"/>
      <c r="M25" s="5" t="s">
        <v>139</v>
      </c>
      <c r="N25" s="5"/>
    </row>
    <row r="26" spans="1:14" x14ac:dyDescent="0.45">
      <c r="A26" t="s">
        <v>625</v>
      </c>
      <c r="B26" t="s">
        <v>140</v>
      </c>
      <c r="C26" t="s">
        <v>626</v>
      </c>
      <c r="D26" t="s">
        <v>588</v>
      </c>
      <c r="E26" t="s">
        <v>589</v>
      </c>
      <c r="F26" t="s">
        <v>592</v>
      </c>
      <c r="G26" t="s">
        <v>138</v>
      </c>
      <c r="J26" t="s">
        <v>139</v>
      </c>
      <c r="M26" t="s">
        <v>139</v>
      </c>
    </row>
    <row r="27" spans="1:14" x14ac:dyDescent="0.45">
      <c r="A27" s="5" t="s">
        <v>627</v>
      </c>
      <c r="B27" s="5" t="s">
        <v>140</v>
      </c>
      <c r="C27" s="5" t="s">
        <v>344</v>
      </c>
      <c r="D27" s="5" t="s">
        <v>588</v>
      </c>
      <c r="E27" s="5" t="s">
        <v>589</v>
      </c>
      <c r="F27" s="5" t="s">
        <v>592</v>
      </c>
      <c r="G27" s="5" t="s">
        <v>145</v>
      </c>
      <c r="H27" s="5"/>
      <c r="I27" s="5" t="s">
        <v>139</v>
      </c>
      <c r="J27" s="5" t="s">
        <v>139</v>
      </c>
      <c r="K27" s="5"/>
      <c r="L27" s="5"/>
      <c r="M27" s="5" t="s">
        <v>139</v>
      </c>
      <c r="N27" s="5"/>
    </row>
    <row r="28" spans="1:14" x14ac:dyDescent="0.45">
      <c r="A28" t="s">
        <v>628</v>
      </c>
      <c r="B28" t="s">
        <v>140</v>
      </c>
      <c r="C28" t="s">
        <v>347</v>
      </c>
      <c r="D28" t="s">
        <v>588</v>
      </c>
      <c r="E28" t="s">
        <v>589</v>
      </c>
      <c r="F28" t="s">
        <v>592</v>
      </c>
      <c r="G28" t="s">
        <v>145</v>
      </c>
      <c r="I28" t="s">
        <v>139</v>
      </c>
      <c r="J28" t="s">
        <v>139</v>
      </c>
      <c r="M28" t="s">
        <v>139</v>
      </c>
    </row>
    <row r="29" spans="1:14" x14ac:dyDescent="0.45">
      <c r="A29" s="5" t="s">
        <v>629</v>
      </c>
      <c r="B29" s="5" t="s">
        <v>140</v>
      </c>
      <c r="C29" s="5" t="s">
        <v>630</v>
      </c>
      <c r="D29" s="5" t="s">
        <v>588</v>
      </c>
      <c r="E29" s="5" t="s">
        <v>589</v>
      </c>
      <c r="F29" s="5" t="s">
        <v>592</v>
      </c>
      <c r="G29" s="5" t="s">
        <v>138</v>
      </c>
      <c r="H29" s="5"/>
      <c r="I29" s="5"/>
      <c r="J29" s="5" t="s">
        <v>139</v>
      </c>
      <c r="K29" s="5"/>
      <c r="L29" s="5"/>
      <c r="M29" s="5" t="s">
        <v>139</v>
      </c>
      <c r="N29" s="5"/>
    </row>
  </sheetData>
  <mergeCells count="6">
    <mergeCell ref="A1:N1"/>
    <mergeCell ref="B5:N5"/>
    <mergeCell ref="B4:N4"/>
    <mergeCell ref="A7:N7"/>
    <mergeCell ref="B3:N3"/>
    <mergeCell ref="B2:N2"/>
  </mergeCells>
  <dataValidations count="1">
    <dataValidation type="list" allowBlank="1" errorTitle="Invalid Review Status" error="Choose a review status from the list." sqref="N2:N29" xr:uid="{00000000-0002-0000-21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386"/>
  <sheetViews>
    <sheetView workbookViewId="0">
      <pane ySplit="1" topLeftCell="A2" activePane="bottomLeft" state="frozen"/>
      <selection pane="bottomLeft"/>
    </sheetView>
  </sheetViews>
  <sheetFormatPr defaultRowHeight="14.25" x14ac:dyDescent="0.45"/>
  <cols>
    <col min="1" max="1" width="13" customWidth="1"/>
    <col min="2" max="2" width="33" customWidth="1"/>
    <col min="3" max="4" width="21" customWidth="1"/>
    <col min="5" max="5" width="25" customWidth="1"/>
    <col min="6" max="6" width="32" customWidth="1"/>
    <col min="7" max="7" width="33" customWidth="1"/>
    <col min="8" max="9" width="55" customWidth="1"/>
    <col min="10" max="10" width="15" customWidth="1"/>
  </cols>
  <sheetData>
    <row r="1" spans="1:10" x14ac:dyDescent="0.45">
      <c r="A1" s="3" t="s">
        <v>16</v>
      </c>
      <c r="B1" s="3" t="s">
        <v>17</v>
      </c>
      <c r="C1" s="3" t="s">
        <v>18</v>
      </c>
      <c r="D1" s="3" t="s">
        <v>20</v>
      </c>
      <c r="E1" s="3" t="s">
        <v>21</v>
      </c>
      <c r="F1" s="3" t="s">
        <v>675</v>
      </c>
      <c r="G1" s="3" t="s">
        <v>118</v>
      </c>
      <c r="H1" s="3" t="s">
        <v>125</v>
      </c>
      <c r="I1" s="3" t="s">
        <v>120</v>
      </c>
      <c r="J1" s="3" t="s">
        <v>131</v>
      </c>
    </row>
    <row r="2" spans="1:10" x14ac:dyDescent="0.45">
      <c r="A2" t="s">
        <v>24</v>
      </c>
      <c r="B2" t="s">
        <v>25</v>
      </c>
      <c r="C2" t="s">
        <v>26</v>
      </c>
      <c r="D2" t="s">
        <v>26</v>
      </c>
      <c r="E2" t="s">
        <v>28</v>
      </c>
      <c r="F2" t="s">
        <v>154</v>
      </c>
      <c r="G2" t="s">
        <v>182</v>
      </c>
      <c r="H2" t="s">
        <v>186</v>
      </c>
      <c r="I2" t="s">
        <v>183</v>
      </c>
    </row>
    <row r="3" spans="1:10" x14ac:dyDescent="0.45">
      <c r="A3" t="s">
        <v>24</v>
      </c>
      <c r="B3" t="s">
        <v>25</v>
      </c>
      <c r="C3" t="s">
        <v>26</v>
      </c>
      <c r="D3" t="s">
        <v>26</v>
      </c>
      <c r="E3" t="s">
        <v>28</v>
      </c>
      <c r="F3" t="s">
        <v>154</v>
      </c>
      <c r="G3" t="s">
        <v>207</v>
      </c>
      <c r="H3" t="s">
        <v>211</v>
      </c>
      <c r="I3" t="s">
        <v>208</v>
      </c>
    </row>
    <row r="4" spans="1:10" x14ac:dyDescent="0.45">
      <c r="A4" t="s">
        <v>24</v>
      </c>
      <c r="B4" t="s">
        <v>25</v>
      </c>
      <c r="C4" t="s">
        <v>26</v>
      </c>
      <c r="D4" t="s">
        <v>26</v>
      </c>
      <c r="E4" t="s">
        <v>28</v>
      </c>
      <c r="F4" t="s">
        <v>216</v>
      </c>
      <c r="G4" t="s">
        <v>261</v>
      </c>
      <c r="H4" t="s">
        <v>265</v>
      </c>
      <c r="I4" t="s">
        <v>262</v>
      </c>
    </row>
    <row r="5" spans="1:10" x14ac:dyDescent="0.45">
      <c r="A5" t="s">
        <v>24</v>
      </c>
      <c r="B5" t="s">
        <v>25</v>
      </c>
      <c r="C5" t="s">
        <v>26</v>
      </c>
      <c r="D5" t="s">
        <v>26</v>
      </c>
      <c r="E5" t="s">
        <v>28</v>
      </c>
      <c r="F5" t="s">
        <v>216</v>
      </c>
      <c r="G5" t="s">
        <v>266</v>
      </c>
      <c r="H5" t="s">
        <v>270</v>
      </c>
      <c r="I5" t="s">
        <v>267</v>
      </c>
    </row>
    <row r="6" spans="1:10" x14ac:dyDescent="0.45">
      <c r="A6" t="s">
        <v>24</v>
      </c>
      <c r="B6" t="s">
        <v>25</v>
      </c>
      <c r="C6" t="s">
        <v>26</v>
      </c>
      <c r="D6" t="s">
        <v>26</v>
      </c>
      <c r="E6" t="s">
        <v>28</v>
      </c>
      <c r="F6" t="s">
        <v>289</v>
      </c>
      <c r="G6" t="s">
        <v>306</v>
      </c>
      <c r="H6" t="s">
        <v>310</v>
      </c>
      <c r="I6" t="s">
        <v>308</v>
      </c>
    </row>
    <row r="7" spans="1:10" x14ac:dyDescent="0.45">
      <c r="A7" t="s">
        <v>24</v>
      </c>
      <c r="B7" t="s">
        <v>25</v>
      </c>
      <c r="C7" t="s">
        <v>26</v>
      </c>
      <c r="D7" t="s">
        <v>26</v>
      </c>
      <c r="E7" t="s">
        <v>28</v>
      </c>
      <c r="F7" t="s">
        <v>329</v>
      </c>
      <c r="G7" t="s">
        <v>354</v>
      </c>
      <c r="H7" t="s">
        <v>357</v>
      </c>
      <c r="I7" t="s">
        <v>355</v>
      </c>
    </row>
    <row r="8" spans="1:10" x14ac:dyDescent="0.45">
      <c r="A8" t="s">
        <v>29</v>
      </c>
      <c r="B8" t="s">
        <v>30</v>
      </c>
      <c r="C8" t="s">
        <v>26</v>
      </c>
      <c r="D8" t="s">
        <v>26</v>
      </c>
      <c r="E8" t="s">
        <v>31</v>
      </c>
      <c r="F8" t="s">
        <v>154</v>
      </c>
      <c r="G8" t="s">
        <v>182</v>
      </c>
      <c r="H8" t="s">
        <v>186</v>
      </c>
      <c r="I8" t="s">
        <v>183</v>
      </c>
    </row>
    <row r="9" spans="1:10" x14ac:dyDescent="0.45">
      <c r="A9" t="s">
        <v>29</v>
      </c>
      <c r="B9" t="s">
        <v>30</v>
      </c>
      <c r="C9" t="s">
        <v>26</v>
      </c>
      <c r="D9" t="s">
        <v>26</v>
      </c>
      <c r="E9" t="s">
        <v>31</v>
      </c>
      <c r="F9" t="s">
        <v>154</v>
      </c>
      <c r="G9" t="s">
        <v>207</v>
      </c>
      <c r="H9" t="s">
        <v>211</v>
      </c>
      <c r="I9" t="s">
        <v>208</v>
      </c>
    </row>
    <row r="10" spans="1:10" x14ac:dyDescent="0.45">
      <c r="A10" t="s">
        <v>29</v>
      </c>
      <c r="B10" t="s">
        <v>30</v>
      </c>
      <c r="C10" t="s">
        <v>26</v>
      </c>
      <c r="D10" t="s">
        <v>26</v>
      </c>
      <c r="E10" t="s">
        <v>31</v>
      </c>
      <c r="F10" t="s">
        <v>216</v>
      </c>
      <c r="G10" t="s">
        <v>261</v>
      </c>
      <c r="H10" t="s">
        <v>265</v>
      </c>
      <c r="I10" t="s">
        <v>262</v>
      </c>
    </row>
    <row r="11" spans="1:10" x14ac:dyDescent="0.45">
      <c r="A11" t="s">
        <v>29</v>
      </c>
      <c r="B11" t="s">
        <v>30</v>
      </c>
      <c r="C11" t="s">
        <v>26</v>
      </c>
      <c r="D11" t="s">
        <v>26</v>
      </c>
      <c r="E11" t="s">
        <v>31</v>
      </c>
      <c r="F11" t="s">
        <v>216</v>
      </c>
      <c r="G11" t="s">
        <v>266</v>
      </c>
      <c r="H11" t="s">
        <v>270</v>
      </c>
      <c r="I11" t="s">
        <v>267</v>
      </c>
    </row>
    <row r="12" spans="1:10" x14ac:dyDescent="0.45">
      <c r="A12" t="s">
        <v>29</v>
      </c>
      <c r="B12" t="s">
        <v>30</v>
      </c>
      <c r="C12" t="s">
        <v>26</v>
      </c>
      <c r="D12" t="s">
        <v>26</v>
      </c>
      <c r="E12" t="s">
        <v>31</v>
      </c>
      <c r="F12" t="s">
        <v>289</v>
      </c>
      <c r="G12" t="s">
        <v>306</v>
      </c>
      <c r="H12" t="s">
        <v>310</v>
      </c>
      <c r="I12" t="s">
        <v>308</v>
      </c>
    </row>
    <row r="13" spans="1:10" x14ac:dyDescent="0.45">
      <c r="A13" t="s">
        <v>29</v>
      </c>
      <c r="B13" t="s">
        <v>30</v>
      </c>
      <c r="C13" t="s">
        <v>26</v>
      </c>
      <c r="D13" t="s">
        <v>26</v>
      </c>
      <c r="E13" t="s">
        <v>31</v>
      </c>
      <c r="F13" t="s">
        <v>329</v>
      </c>
      <c r="G13" t="s">
        <v>354</v>
      </c>
      <c r="H13" t="s">
        <v>357</v>
      </c>
      <c r="I13" t="s">
        <v>355</v>
      </c>
    </row>
    <row r="14" spans="1:10" x14ac:dyDescent="0.45">
      <c r="A14" t="s">
        <v>32</v>
      </c>
      <c r="B14" t="s">
        <v>33</v>
      </c>
      <c r="C14" t="s">
        <v>26</v>
      </c>
      <c r="D14" t="s">
        <v>26</v>
      </c>
      <c r="E14" t="s">
        <v>28</v>
      </c>
      <c r="F14" t="s">
        <v>154</v>
      </c>
      <c r="G14" t="s">
        <v>182</v>
      </c>
      <c r="H14" t="s">
        <v>186</v>
      </c>
      <c r="I14" t="s">
        <v>183</v>
      </c>
    </row>
    <row r="15" spans="1:10" x14ac:dyDescent="0.45">
      <c r="A15" t="s">
        <v>32</v>
      </c>
      <c r="B15" t="s">
        <v>33</v>
      </c>
      <c r="C15" t="s">
        <v>26</v>
      </c>
      <c r="D15" t="s">
        <v>26</v>
      </c>
      <c r="E15" t="s">
        <v>28</v>
      </c>
      <c r="F15" t="s">
        <v>154</v>
      </c>
      <c r="G15" t="s">
        <v>207</v>
      </c>
      <c r="H15" t="s">
        <v>211</v>
      </c>
      <c r="I15" t="s">
        <v>208</v>
      </c>
    </row>
    <row r="16" spans="1:10" x14ac:dyDescent="0.45">
      <c r="A16" t="s">
        <v>32</v>
      </c>
      <c r="B16" t="s">
        <v>33</v>
      </c>
      <c r="C16" t="s">
        <v>26</v>
      </c>
      <c r="D16" t="s">
        <v>26</v>
      </c>
      <c r="E16" t="s">
        <v>28</v>
      </c>
      <c r="F16" t="s">
        <v>216</v>
      </c>
      <c r="G16" t="s">
        <v>261</v>
      </c>
      <c r="H16" t="s">
        <v>265</v>
      </c>
      <c r="I16" t="s">
        <v>262</v>
      </c>
    </row>
    <row r="17" spans="1:9" x14ac:dyDescent="0.45">
      <c r="A17" t="s">
        <v>32</v>
      </c>
      <c r="B17" t="s">
        <v>33</v>
      </c>
      <c r="C17" t="s">
        <v>26</v>
      </c>
      <c r="D17" t="s">
        <v>26</v>
      </c>
      <c r="E17" t="s">
        <v>28</v>
      </c>
      <c r="F17" t="s">
        <v>216</v>
      </c>
      <c r="G17" t="s">
        <v>266</v>
      </c>
      <c r="H17" t="s">
        <v>270</v>
      </c>
      <c r="I17" t="s">
        <v>267</v>
      </c>
    </row>
    <row r="18" spans="1:9" x14ac:dyDescent="0.45">
      <c r="A18" t="s">
        <v>32</v>
      </c>
      <c r="B18" t="s">
        <v>33</v>
      </c>
      <c r="C18" t="s">
        <v>26</v>
      </c>
      <c r="D18" t="s">
        <v>26</v>
      </c>
      <c r="E18" t="s">
        <v>28</v>
      </c>
      <c r="F18" t="s">
        <v>289</v>
      </c>
      <c r="G18" t="s">
        <v>306</v>
      </c>
      <c r="H18" t="s">
        <v>310</v>
      </c>
      <c r="I18" t="s">
        <v>308</v>
      </c>
    </row>
    <row r="19" spans="1:9" x14ac:dyDescent="0.45">
      <c r="A19" t="s">
        <v>32</v>
      </c>
      <c r="B19" t="s">
        <v>33</v>
      </c>
      <c r="C19" t="s">
        <v>26</v>
      </c>
      <c r="D19" t="s">
        <v>26</v>
      </c>
      <c r="E19" t="s">
        <v>28</v>
      </c>
      <c r="F19" t="s">
        <v>329</v>
      </c>
      <c r="G19" t="s">
        <v>354</v>
      </c>
      <c r="H19" t="s">
        <v>357</v>
      </c>
      <c r="I19" t="s">
        <v>355</v>
      </c>
    </row>
    <row r="20" spans="1:9" x14ac:dyDescent="0.45">
      <c r="A20" t="s">
        <v>35</v>
      </c>
      <c r="B20" t="s">
        <v>36</v>
      </c>
      <c r="C20" t="s">
        <v>26</v>
      </c>
      <c r="D20" t="s">
        <v>26</v>
      </c>
      <c r="E20" t="s">
        <v>31</v>
      </c>
      <c r="F20" t="s">
        <v>154</v>
      </c>
      <c r="G20" t="s">
        <v>182</v>
      </c>
      <c r="H20" t="s">
        <v>186</v>
      </c>
      <c r="I20" t="s">
        <v>183</v>
      </c>
    </row>
    <row r="21" spans="1:9" x14ac:dyDescent="0.45">
      <c r="A21" t="s">
        <v>35</v>
      </c>
      <c r="B21" t="s">
        <v>36</v>
      </c>
      <c r="C21" t="s">
        <v>26</v>
      </c>
      <c r="D21" t="s">
        <v>26</v>
      </c>
      <c r="E21" t="s">
        <v>31</v>
      </c>
      <c r="F21" t="s">
        <v>154</v>
      </c>
      <c r="G21" t="s">
        <v>207</v>
      </c>
      <c r="H21" t="s">
        <v>211</v>
      </c>
      <c r="I21" t="s">
        <v>208</v>
      </c>
    </row>
    <row r="22" spans="1:9" x14ac:dyDescent="0.45">
      <c r="A22" t="s">
        <v>35</v>
      </c>
      <c r="B22" t="s">
        <v>36</v>
      </c>
      <c r="C22" t="s">
        <v>26</v>
      </c>
      <c r="D22" t="s">
        <v>26</v>
      </c>
      <c r="E22" t="s">
        <v>31</v>
      </c>
      <c r="F22" t="s">
        <v>216</v>
      </c>
      <c r="G22" t="s">
        <v>261</v>
      </c>
      <c r="H22" t="s">
        <v>265</v>
      </c>
      <c r="I22" t="s">
        <v>262</v>
      </c>
    </row>
    <row r="23" spans="1:9" x14ac:dyDescent="0.45">
      <c r="A23" t="s">
        <v>35</v>
      </c>
      <c r="B23" t="s">
        <v>36</v>
      </c>
      <c r="C23" t="s">
        <v>26</v>
      </c>
      <c r="D23" t="s">
        <v>26</v>
      </c>
      <c r="E23" t="s">
        <v>31</v>
      </c>
      <c r="F23" t="s">
        <v>216</v>
      </c>
      <c r="G23" t="s">
        <v>266</v>
      </c>
      <c r="H23" t="s">
        <v>270</v>
      </c>
      <c r="I23" t="s">
        <v>267</v>
      </c>
    </row>
    <row r="24" spans="1:9" x14ac:dyDescent="0.45">
      <c r="A24" t="s">
        <v>35</v>
      </c>
      <c r="B24" t="s">
        <v>36</v>
      </c>
      <c r="C24" t="s">
        <v>26</v>
      </c>
      <c r="D24" t="s">
        <v>26</v>
      </c>
      <c r="E24" t="s">
        <v>31</v>
      </c>
      <c r="F24" t="s">
        <v>289</v>
      </c>
      <c r="G24" t="s">
        <v>306</v>
      </c>
      <c r="H24" t="s">
        <v>310</v>
      </c>
      <c r="I24" t="s">
        <v>308</v>
      </c>
    </row>
    <row r="25" spans="1:9" x14ac:dyDescent="0.45">
      <c r="A25" t="s">
        <v>35</v>
      </c>
      <c r="B25" t="s">
        <v>36</v>
      </c>
      <c r="C25" t="s">
        <v>26</v>
      </c>
      <c r="D25" t="s">
        <v>26</v>
      </c>
      <c r="E25" t="s">
        <v>31</v>
      </c>
      <c r="F25" t="s">
        <v>329</v>
      </c>
      <c r="G25" t="s">
        <v>354</v>
      </c>
      <c r="H25" t="s">
        <v>357</v>
      </c>
      <c r="I25" t="s">
        <v>355</v>
      </c>
    </row>
    <row r="26" spans="1:9" x14ac:dyDescent="0.45">
      <c r="A26" t="s">
        <v>37</v>
      </c>
      <c r="B26" t="s">
        <v>38</v>
      </c>
      <c r="C26" t="s">
        <v>39</v>
      </c>
      <c r="D26" t="s">
        <v>40</v>
      </c>
      <c r="E26" t="s">
        <v>41</v>
      </c>
      <c r="F26" t="s">
        <v>132</v>
      </c>
      <c r="G26" t="s">
        <v>21</v>
      </c>
      <c r="H26" t="s">
        <v>384</v>
      </c>
      <c r="I26" t="s">
        <v>380</v>
      </c>
    </row>
    <row r="27" spans="1:9" x14ac:dyDescent="0.45">
      <c r="A27" t="s">
        <v>37</v>
      </c>
      <c r="B27" t="s">
        <v>38</v>
      </c>
      <c r="C27" t="s">
        <v>39</v>
      </c>
      <c r="D27" t="s">
        <v>40</v>
      </c>
      <c r="E27" t="s">
        <v>41</v>
      </c>
      <c r="F27" t="s">
        <v>132</v>
      </c>
      <c r="G27" t="s">
        <v>20</v>
      </c>
      <c r="H27" t="s">
        <v>388</v>
      </c>
      <c r="I27" t="s">
        <v>385</v>
      </c>
    </row>
    <row r="28" spans="1:9" x14ac:dyDescent="0.45">
      <c r="A28" t="s">
        <v>37</v>
      </c>
      <c r="B28" t="s">
        <v>38</v>
      </c>
      <c r="C28" t="s">
        <v>39</v>
      </c>
      <c r="D28" t="s">
        <v>40</v>
      </c>
      <c r="E28" t="s">
        <v>41</v>
      </c>
      <c r="F28" t="s">
        <v>132</v>
      </c>
      <c r="G28" t="s">
        <v>149</v>
      </c>
      <c r="H28" t="s">
        <v>391</v>
      </c>
      <c r="I28" t="s">
        <v>389</v>
      </c>
    </row>
    <row r="29" spans="1:9" x14ac:dyDescent="0.45">
      <c r="A29" t="s">
        <v>37</v>
      </c>
      <c r="B29" t="s">
        <v>38</v>
      </c>
      <c r="C29" t="s">
        <v>39</v>
      </c>
      <c r="D29" t="s">
        <v>40</v>
      </c>
      <c r="E29" t="s">
        <v>41</v>
      </c>
      <c r="F29" t="s">
        <v>154</v>
      </c>
      <c r="G29" t="s">
        <v>182</v>
      </c>
      <c r="H29" t="s">
        <v>186</v>
      </c>
      <c r="I29" t="s">
        <v>183</v>
      </c>
    </row>
    <row r="30" spans="1:9" x14ac:dyDescent="0.45">
      <c r="A30" t="s">
        <v>37</v>
      </c>
      <c r="B30" t="s">
        <v>38</v>
      </c>
      <c r="C30" t="s">
        <v>39</v>
      </c>
      <c r="D30" t="s">
        <v>40</v>
      </c>
      <c r="E30" t="s">
        <v>41</v>
      </c>
      <c r="F30" t="s">
        <v>154</v>
      </c>
      <c r="G30" t="s">
        <v>207</v>
      </c>
      <c r="H30" t="s">
        <v>211</v>
      </c>
      <c r="I30" t="s">
        <v>208</v>
      </c>
    </row>
    <row r="31" spans="1:9" x14ac:dyDescent="0.45">
      <c r="A31" t="s">
        <v>37</v>
      </c>
      <c r="B31" t="s">
        <v>38</v>
      </c>
      <c r="C31" t="s">
        <v>39</v>
      </c>
      <c r="D31" t="s">
        <v>40</v>
      </c>
      <c r="E31" t="s">
        <v>41</v>
      </c>
      <c r="F31" t="s">
        <v>216</v>
      </c>
      <c r="G31" t="s">
        <v>261</v>
      </c>
      <c r="H31" t="s">
        <v>265</v>
      </c>
      <c r="I31" t="s">
        <v>262</v>
      </c>
    </row>
    <row r="32" spans="1:9" x14ac:dyDescent="0.45">
      <c r="A32" t="s">
        <v>37</v>
      </c>
      <c r="B32" t="s">
        <v>38</v>
      </c>
      <c r="C32" t="s">
        <v>39</v>
      </c>
      <c r="D32" t="s">
        <v>40</v>
      </c>
      <c r="E32" t="s">
        <v>41</v>
      </c>
      <c r="F32" t="s">
        <v>216</v>
      </c>
      <c r="G32" t="s">
        <v>266</v>
      </c>
      <c r="H32" t="s">
        <v>270</v>
      </c>
      <c r="I32" t="s">
        <v>267</v>
      </c>
    </row>
    <row r="33" spans="1:9" x14ac:dyDescent="0.45">
      <c r="A33" t="s">
        <v>37</v>
      </c>
      <c r="B33" t="s">
        <v>38</v>
      </c>
      <c r="C33" t="s">
        <v>39</v>
      </c>
      <c r="D33" t="s">
        <v>40</v>
      </c>
      <c r="E33" t="s">
        <v>41</v>
      </c>
      <c r="F33" t="s">
        <v>271</v>
      </c>
      <c r="G33" t="s">
        <v>272</v>
      </c>
      <c r="H33" t="s">
        <v>404</v>
      </c>
      <c r="I33" t="s">
        <v>273</v>
      </c>
    </row>
    <row r="34" spans="1:9" x14ac:dyDescent="0.45">
      <c r="A34" t="s">
        <v>37</v>
      </c>
      <c r="B34" t="s">
        <v>38</v>
      </c>
      <c r="C34" t="s">
        <v>39</v>
      </c>
      <c r="D34" t="s">
        <v>40</v>
      </c>
      <c r="E34" t="s">
        <v>41</v>
      </c>
      <c r="F34" t="s">
        <v>271</v>
      </c>
      <c r="G34" t="s">
        <v>277</v>
      </c>
      <c r="H34" t="s">
        <v>404</v>
      </c>
      <c r="I34" t="s">
        <v>273</v>
      </c>
    </row>
    <row r="35" spans="1:9" x14ac:dyDescent="0.45">
      <c r="A35" t="s">
        <v>37</v>
      </c>
      <c r="B35" t="s">
        <v>38</v>
      </c>
      <c r="C35" t="s">
        <v>39</v>
      </c>
      <c r="D35" t="s">
        <v>40</v>
      </c>
      <c r="E35" t="s">
        <v>41</v>
      </c>
      <c r="F35" t="s">
        <v>289</v>
      </c>
      <c r="G35" t="s">
        <v>306</v>
      </c>
      <c r="H35" t="s">
        <v>416</v>
      </c>
      <c r="I35" t="s">
        <v>308</v>
      </c>
    </row>
    <row r="36" spans="1:9" x14ac:dyDescent="0.45">
      <c r="A36" t="s">
        <v>37</v>
      </c>
      <c r="B36" t="s">
        <v>38</v>
      </c>
      <c r="C36" t="s">
        <v>39</v>
      </c>
      <c r="D36" t="s">
        <v>40</v>
      </c>
      <c r="E36" t="s">
        <v>41</v>
      </c>
      <c r="F36" t="s">
        <v>289</v>
      </c>
      <c r="G36" t="s">
        <v>317</v>
      </c>
      <c r="H36" t="s">
        <v>417</v>
      </c>
    </row>
    <row r="37" spans="1:9" x14ac:dyDescent="0.45">
      <c r="A37" t="s">
        <v>37</v>
      </c>
      <c r="B37" t="s">
        <v>38</v>
      </c>
      <c r="C37" t="s">
        <v>39</v>
      </c>
      <c r="D37" t="s">
        <v>40</v>
      </c>
      <c r="E37" t="s">
        <v>41</v>
      </c>
      <c r="F37" t="s">
        <v>329</v>
      </c>
      <c r="G37" t="s">
        <v>330</v>
      </c>
      <c r="H37" t="s">
        <v>419</v>
      </c>
      <c r="I37" t="s">
        <v>331</v>
      </c>
    </row>
    <row r="38" spans="1:9" x14ac:dyDescent="0.45">
      <c r="A38" t="s">
        <v>37</v>
      </c>
      <c r="B38" t="s">
        <v>38</v>
      </c>
      <c r="C38" t="s">
        <v>39</v>
      </c>
      <c r="D38" t="s">
        <v>40</v>
      </c>
      <c r="E38" t="s">
        <v>41</v>
      </c>
      <c r="F38" t="s">
        <v>329</v>
      </c>
      <c r="G38" t="s">
        <v>351</v>
      </c>
      <c r="H38" t="s">
        <v>421</v>
      </c>
      <c r="I38" t="s">
        <v>352</v>
      </c>
    </row>
    <row r="39" spans="1:9" x14ac:dyDescent="0.45">
      <c r="A39" t="s">
        <v>37</v>
      </c>
      <c r="B39" t="s">
        <v>38</v>
      </c>
      <c r="C39" t="s">
        <v>39</v>
      </c>
      <c r="D39" t="s">
        <v>40</v>
      </c>
      <c r="E39" t="s">
        <v>41</v>
      </c>
      <c r="F39" t="s">
        <v>329</v>
      </c>
      <c r="G39" t="s">
        <v>354</v>
      </c>
      <c r="H39" t="s">
        <v>357</v>
      </c>
      <c r="I39" t="s">
        <v>355</v>
      </c>
    </row>
    <row r="40" spans="1:9" x14ac:dyDescent="0.45">
      <c r="A40" t="s">
        <v>37</v>
      </c>
      <c r="B40" t="s">
        <v>38</v>
      </c>
      <c r="C40" t="s">
        <v>39</v>
      </c>
      <c r="D40" t="s">
        <v>40</v>
      </c>
      <c r="E40" t="s">
        <v>41</v>
      </c>
      <c r="F40" t="s">
        <v>427</v>
      </c>
      <c r="G40" t="s">
        <v>428</v>
      </c>
      <c r="H40" t="s">
        <v>432</v>
      </c>
      <c r="I40" t="s">
        <v>429</v>
      </c>
    </row>
    <row r="41" spans="1:9" x14ac:dyDescent="0.45">
      <c r="A41" t="s">
        <v>42</v>
      </c>
      <c r="B41" t="s">
        <v>43</v>
      </c>
      <c r="C41" t="s">
        <v>39</v>
      </c>
      <c r="D41" t="s">
        <v>44</v>
      </c>
      <c r="E41" t="s">
        <v>41</v>
      </c>
      <c r="F41" t="s">
        <v>132</v>
      </c>
      <c r="G41" t="s">
        <v>21</v>
      </c>
      <c r="H41" t="s">
        <v>384</v>
      </c>
      <c r="I41" t="s">
        <v>380</v>
      </c>
    </row>
    <row r="42" spans="1:9" x14ac:dyDescent="0.45">
      <c r="A42" t="s">
        <v>42</v>
      </c>
      <c r="B42" t="s">
        <v>43</v>
      </c>
      <c r="C42" t="s">
        <v>39</v>
      </c>
      <c r="D42" t="s">
        <v>44</v>
      </c>
      <c r="E42" t="s">
        <v>41</v>
      </c>
      <c r="F42" t="s">
        <v>132</v>
      </c>
      <c r="G42" t="s">
        <v>20</v>
      </c>
      <c r="H42" t="s">
        <v>388</v>
      </c>
      <c r="I42" t="s">
        <v>385</v>
      </c>
    </row>
    <row r="43" spans="1:9" x14ac:dyDescent="0.45">
      <c r="A43" t="s">
        <v>42</v>
      </c>
      <c r="B43" t="s">
        <v>43</v>
      </c>
      <c r="C43" t="s">
        <v>39</v>
      </c>
      <c r="D43" t="s">
        <v>44</v>
      </c>
      <c r="E43" t="s">
        <v>41</v>
      </c>
      <c r="F43" t="s">
        <v>132</v>
      </c>
      <c r="G43" t="s">
        <v>149</v>
      </c>
      <c r="H43" t="s">
        <v>391</v>
      </c>
      <c r="I43" t="s">
        <v>389</v>
      </c>
    </row>
    <row r="44" spans="1:9" x14ac:dyDescent="0.45">
      <c r="A44" t="s">
        <v>42</v>
      </c>
      <c r="B44" t="s">
        <v>43</v>
      </c>
      <c r="C44" t="s">
        <v>39</v>
      </c>
      <c r="D44" t="s">
        <v>44</v>
      </c>
      <c r="E44" t="s">
        <v>41</v>
      </c>
      <c r="F44" t="s">
        <v>154</v>
      </c>
      <c r="G44" t="s">
        <v>182</v>
      </c>
      <c r="H44" t="s">
        <v>186</v>
      </c>
      <c r="I44" t="s">
        <v>183</v>
      </c>
    </row>
    <row r="45" spans="1:9" x14ac:dyDescent="0.45">
      <c r="A45" t="s">
        <v>42</v>
      </c>
      <c r="B45" t="s">
        <v>43</v>
      </c>
      <c r="C45" t="s">
        <v>39</v>
      </c>
      <c r="D45" t="s">
        <v>44</v>
      </c>
      <c r="E45" t="s">
        <v>41</v>
      </c>
      <c r="F45" t="s">
        <v>154</v>
      </c>
      <c r="G45" t="s">
        <v>207</v>
      </c>
      <c r="H45" t="s">
        <v>211</v>
      </c>
      <c r="I45" t="s">
        <v>208</v>
      </c>
    </row>
    <row r="46" spans="1:9" x14ac:dyDescent="0.45">
      <c r="A46" t="s">
        <v>42</v>
      </c>
      <c r="B46" t="s">
        <v>43</v>
      </c>
      <c r="C46" t="s">
        <v>39</v>
      </c>
      <c r="D46" t="s">
        <v>44</v>
      </c>
      <c r="E46" t="s">
        <v>41</v>
      </c>
      <c r="F46" t="s">
        <v>216</v>
      </c>
      <c r="G46" t="s">
        <v>261</v>
      </c>
      <c r="H46" t="s">
        <v>265</v>
      </c>
      <c r="I46" t="s">
        <v>262</v>
      </c>
    </row>
    <row r="47" spans="1:9" x14ac:dyDescent="0.45">
      <c r="A47" t="s">
        <v>42</v>
      </c>
      <c r="B47" t="s">
        <v>43</v>
      </c>
      <c r="C47" t="s">
        <v>39</v>
      </c>
      <c r="D47" t="s">
        <v>44</v>
      </c>
      <c r="E47" t="s">
        <v>41</v>
      </c>
      <c r="F47" t="s">
        <v>216</v>
      </c>
      <c r="G47" t="s">
        <v>266</v>
      </c>
      <c r="H47" t="s">
        <v>270</v>
      </c>
      <c r="I47" t="s">
        <v>267</v>
      </c>
    </row>
    <row r="48" spans="1:9" x14ac:dyDescent="0.45">
      <c r="A48" t="s">
        <v>42</v>
      </c>
      <c r="B48" t="s">
        <v>43</v>
      </c>
      <c r="C48" t="s">
        <v>39</v>
      </c>
      <c r="D48" t="s">
        <v>44</v>
      </c>
      <c r="E48" t="s">
        <v>41</v>
      </c>
      <c r="F48" t="s">
        <v>271</v>
      </c>
      <c r="G48" t="s">
        <v>272</v>
      </c>
      <c r="H48" t="s">
        <v>404</v>
      </c>
      <c r="I48" t="s">
        <v>273</v>
      </c>
    </row>
    <row r="49" spans="1:9" x14ac:dyDescent="0.45">
      <c r="A49" t="s">
        <v>42</v>
      </c>
      <c r="B49" t="s">
        <v>43</v>
      </c>
      <c r="C49" t="s">
        <v>39</v>
      </c>
      <c r="D49" t="s">
        <v>44</v>
      </c>
      <c r="E49" t="s">
        <v>41</v>
      </c>
      <c r="F49" t="s">
        <v>271</v>
      </c>
      <c r="G49" t="s">
        <v>277</v>
      </c>
      <c r="H49" t="s">
        <v>404</v>
      </c>
      <c r="I49" t="s">
        <v>273</v>
      </c>
    </row>
    <row r="50" spans="1:9" x14ac:dyDescent="0.45">
      <c r="A50" t="s">
        <v>42</v>
      </c>
      <c r="B50" t="s">
        <v>43</v>
      </c>
      <c r="C50" t="s">
        <v>39</v>
      </c>
      <c r="D50" t="s">
        <v>44</v>
      </c>
      <c r="E50" t="s">
        <v>41</v>
      </c>
      <c r="F50" t="s">
        <v>289</v>
      </c>
      <c r="G50" t="s">
        <v>306</v>
      </c>
      <c r="H50" t="s">
        <v>416</v>
      </c>
      <c r="I50" t="s">
        <v>308</v>
      </c>
    </row>
    <row r="51" spans="1:9" x14ac:dyDescent="0.45">
      <c r="A51" t="s">
        <v>42</v>
      </c>
      <c r="B51" t="s">
        <v>43</v>
      </c>
      <c r="C51" t="s">
        <v>39</v>
      </c>
      <c r="D51" t="s">
        <v>44</v>
      </c>
      <c r="E51" t="s">
        <v>41</v>
      </c>
      <c r="F51" t="s">
        <v>289</v>
      </c>
      <c r="G51" t="s">
        <v>317</v>
      </c>
      <c r="H51" t="s">
        <v>417</v>
      </c>
    </row>
    <row r="52" spans="1:9" x14ac:dyDescent="0.45">
      <c r="A52" t="s">
        <v>42</v>
      </c>
      <c r="B52" t="s">
        <v>43</v>
      </c>
      <c r="C52" t="s">
        <v>39</v>
      </c>
      <c r="D52" t="s">
        <v>44</v>
      </c>
      <c r="E52" t="s">
        <v>41</v>
      </c>
      <c r="F52" t="s">
        <v>329</v>
      </c>
      <c r="G52" t="s">
        <v>330</v>
      </c>
      <c r="H52" t="s">
        <v>419</v>
      </c>
      <c r="I52" t="s">
        <v>331</v>
      </c>
    </row>
    <row r="53" spans="1:9" x14ac:dyDescent="0.45">
      <c r="A53" t="s">
        <v>42</v>
      </c>
      <c r="B53" t="s">
        <v>43</v>
      </c>
      <c r="C53" t="s">
        <v>39</v>
      </c>
      <c r="D53" t="s">
        <v>44</v>
      </c>
      <c r="E53" t="s">
        <v>41</v>
      </c>
      <c r="F53" t="s">
        <v>329</v>
      </c>
      <c r="G53" t="s">
        <v>351</v>
      </c>
      <c r="H53" t="s">
        <v>421</v>
      </c>
      <c r="I53" t="s">
        <v>352</v>
      </c>
    </row>
    <row r="54" spans="1:9" x14ac:dyDescent="0.45">
      <c r="A54" t="s">
        <v>42</v>
      </c>
      <c r="B54" t="s">
        <v>43</v>
      </c>
      <c r="C54" t="s">
        <v>39</v>
      </c>
      <c r="D54" t="s">
        <v>44</v>
      </c>
      <c r="E54" t="s">
        <v>41</v>
      </c>
      <c r="F54" t="s">
        <v>329</v>
      </c>
      <c r="G54" t="s">
        <v>354</v>
      </c>
      <c r="H54" t="s">
        <v>357</v>
      </c>
      <c r="I54" t="s">
        <v>355</v>
      </c>
    </row>
    <row r="55" spans="1:9" x14ac:dyDescent="0.45">
      <c r="A55" t="s">
        <v>42</v>
      </c>
      <c r="B55" t="s">
        <v>43</v>
      </c>
      <c r="C55" t="s">
        <v>39</v>
      </c>
      <c r="D55" t="s">
        <v>44</v>
      </c>
      <c r="E55" t="s">
        <v>41</v>
      </c>
      <c r="F55" t="s">
        <v>427</v>
      </c>
      <c r="G55" t="s">
        <v>428</v>
      </c>
      <c r="H55" t="s">
        <v>432</v>
      </c>
      <c r="I55" t="s">
        <v>429</v>
      </c>
    </row>
    <row r="56" spans="1:9" x14ac:dyDescent="0.45">
      <c r="A56" t="s">
        <v>45</v>
      </c>
      <c r="B56" t="s">
        <v>46</v>
      </c>
      <c r="C56" t="s">
        <v>39</v>
      </c>
      <c r="D56" t="s">
        <v>47</v>
      </c>
      <c r="E56" t="s">
        <v>41</v>
      </c>
      <c r="F56" t="s">
        <v>132</v>
      </c>
      <c r="G56" t="s">
        <v>21</v>
      </c>
      <c r="H56" t="s">
        <v>384</v>
      </c>
      <c r="I56" t="s">
        <v>380</v>
      </c>
    </row>
    <row r="57" spans="1:9" x14ac:dyDescent="0.45">
      <c r="A57" t="s">
        <v>45</v>
      </c>
      <c r="B57" t="s">
        <v>46</v>
      </c>
      <c r="C57" t="s">
        <v>39</v>
      </c>
      <c r="D57" t="s">
        <v>47</v>
      </c>
      <c r="E57" t="s">
        <v>41</v>
      </c>
      <c r="F57" t="s">
        <v>132</v>
      </c>
      <c r="G57" t="s">
        <v>20</v>
      </c>
      <c r="H57" t="s">
        <v>388</v>
      </c>
      <c r="I57" t="s">
        <v>385</v>
      </c>
    </row>
    <row r="58" spans="1:9" x14ac:dyDescent="0.45">
      <c r="A58" t="s">
        <v>45</v>
      </c>
      <c r="B58" t="s">
        <v>46</v>
      </c>
      <c r="C58" t="s">
        <v>39</v>
      </c>
      <c r="D58" t="s">
        <v>47</v>
      </c>
      <c r="E58" t="s">
        <v>41</v>
      </c>
      <c r="F58" t="s">
        <v>132</v>
      </c>
      <c r="G58" t="s">
        <v>149</v>
      </c>
      <c r="H58" t="s">
        <v>391</v>
      </c>
      <c r="I58" t="s">
        <v>389</v>
      </c>
    </row>
    <row r="59" spans="1:9" x14ac:dyDescent="0.45">
      <c r="A59" t="s">
        <v>45</v>
      </c>
      <c r="B59" t="s">
        <v>46</v>
      </c>
      <c r="C59" t="s">
        <v>39</v>
      </c>
      <c r="D59" t="s">
        <v>47</v>
      </c>
      <c r="E59" t="s">
        <v>41</v>
      </c>
      <c r="F59" t="s">
        <v>154</v>
      </c>
      <c r="G59" t="s">
        <v>182</v>
      </c>
      <c r="H59" t="s">
        <v>186</v>
      </c>
      <c r="I59" t="s">
        <v>183</v>
      </c>
    </row>
    <row r="60" spans="1:9" x14ac:dyDescent="0.45">
      <c r="A60" t="s">
        <v>45</v>
      </c>
      <c r="B60" t="s">
        <v>46</v>
      </c>
      <c r="C60" t="s">
        <v>39</v>
      </c>
      <c r="D60" t="s">
        <v>47</v>
      </c>
      <c r="E60" t="s">
        <v>41</v>
      </c>
      <c r="F60" t="s">
        <v>154</v>
      </c>
      <c r="G60" t="s">
        <v>207</v>
      </c>
      <c r="H60" t="s">
        <v>211</v>
      </c>
      <c r="I60" t="s">
        <v>208</v>
      </c>
    </row>
    <row r="61" spans="1:9" x14ac:dyDescent="0.45">
      <c r="A61" t="s">
        <v>45</v>
      </c>
      <c r="B61" t="s">
        <v>46</v>
      </c>
      <c r="C61" t="s">
        <v>39</v>
      </c>
      <c r="D61" t="s">
        <v>47</v>
      </c>
      <c r="E61" t="s">
        <v>41</v>
      </c>
      <c r="F61" t="s">
        <v>216</v>
      </c>
      <c r="G61" t="s">
        <v>261</v>
      </c>
      <c r="H61" t="s">
        <v>265</v>
      </c>
      <c r="I61" t="s">
        <v>262</v>
      </c>
    </row>
    <row r="62" spans="1:9" x14ac:dyDescent="0.45">
      <c r="A62" t="s">
        <v>45</v>
      </c>
      <c r="B62" t="s">
        <v>46</v>
      </c>
      <c r="C62" t="s">
        <v>39</v>
      </c>
      <c r="D62" t="s">
        <v>47</v>
      </c>
      <c r="E62" t="s">
        <v>41</v>
      </c>
      <c r="F62" t="s">
        <v>216</v>
      </c>
      <c r="G62" t="s">
        <v>266</v>
      </c>
      <c r="H62" t="s">
        <v>270</v>
      </c>
      <c r="I62" t="s">
        <v>267</v>
      </c>
    </row>
    <row r="63" spans="1:9" x14ac:dyDescent="0.45">
      <c r="A63" t="s">
        <v>45</v>
      </c>
      <c r="B63" t="s">
        <v>46</v>
      </c>
      <c r="C63" t="s">
        <v>39</v>
      </c>
      <c r="D63" t="s">
        <v>47</v>
      </c>
      <c r="E63" t="s">
        <v>41</v>
      </c>
      <c r="F63" t="s">
        <v>271</v>
      </c>
      <c r="G63" t="s">
        <v>272</v>
      </c>
      <c r="H63" t="s">
        <v>404</v>
      </c>
      <c r="I63" t="s">
        <v>273</v>
      </c>
    </row>
    <row r="64" spans="1:9" x14ac:dyDescent="0.45">
      <c r="A64" t="s">
        <v>45</v>
      </c>
      <c r="B64" t="s">
        <v>46</v>
      </c>
      <c r="C64" t="s">
        <v>39</v>
      </c>
      <c r="D64" t="s">
        <v>47</v>
      </c>
      <c r="E64" t="s">
        <v>41</v>
      </c>
      <c r="F64" t="s">
        <v>271</v>
      </c>
      <c r="G64" t="s">
        <v>277</v>
      </c>
      <c r="H64" t="s">
        <v>404</v>
      </c>
      <c r="I64" t="s">
        <v>273</v>
      </c>
    </row>
    <row r="65" spans="1:9" x14ac:dyDescent="0.45">
      <c r="A65" t="s">
        <v>45</v>
      </c>
      <c r="B65" t="s">
        <v>46</v>
      </c>
      <c r="C65" t="s">
        <v>39</v>
      </c>
      <c r="D65" t="s">
        <v>47</v>
      </c>
      <c r="E65" t="s">
        <v>41</v>
      </c>
      <c r="F65" t="s">
        <v>289</v>
      </c>
      <c r="G65" t="s">
        <v>306</v>
      </c>
      <c r="H65" t="s">
        <v>458</v>
      </c>
      <c r="I65" t="s">
        <v>308</v>
      </c>
    </row>
    <row r="66" spans="1:9" x14ac:dyDescent="0.45">
      <c r="A66" t="s">
        <v>45</v>
      </c>
      <c r="B66" t="s">
        <v>46</v>
      </c>
      <c r="C66" t="s">
        <v>39</v>
      </c>
      <c r="D66" t="s">
        <v>47</v>
      </c>
      <c r="E66" t="s">
        <v>41</v>
      </c>
      <c r="F66" t="s">
        <v>329</v>
      </c>
      <c r="G66" t="s">
        <v>330</v>
      </c>
      <c r="H66" t="s">
        <v>460</v>
      </c>
      <c r="I66" t="s">
        <v>331</v>
      </c>
    </row>
    <row r="67" spans="1:9" x14ac:dyDescent="0.45">
      <c r="A67" t="s">
        <v>45</v>
      </c>
      <c r="B67" t="s">
        <v>46</v>
      </c>
      <c r="C67" t="s">
        <v>39</v>
      </c>
      <c r="D67" t="s">
        <v>47</v>
      </c>
      <c r="E67" t="s">
        <v>41</v>
      </c>
      <c r="F67" t="s">
        <v>329</v>
      </c>
      <c r="G67" t="s">
        <v>351</v>
      </c>
      <c r="H67" t="s">
        <v>461</v>
      </c>
      <c r="I67" t="s">
        <v>352</v>
      </c>
    </row>
    <row r="68" spans="1:9" x14ac:dyDescent="0.45">
      <c r="A68" t="s">
        <v>45</v>
      </c>
      <c r="B68" t="s">
        <v>46</v>
      </c>
      <c r="C68" t="s">
        <v>39</v>
      </c>
      <c r="D68" t="s">
        <v>47</v>
      </c>
      <c r="E68" t="s">
        <v>41</v>
      </c>
      <c r="F68" t="s">
        <v>329</v>
      </c>
      <c r="G68" t="s">
        <v>354</v>
      </c>
      <c r="H68" t="s">
        <v>357</v>
      </c>
      <c r="I68" t="s">
        <v>355</v>
      </c>
    </row>
    <row r="69" spans="1:9" x14ac:dyDescent="0.45">
      <c r="A69" t="s">
        <v>45</v>
      </c>
      <c r="B69" t="s">
        <v>46</v>
      </c>
      <c r="C69" t="s">
        <v>39</v>
      </c>
      <c r="D69" t="s">
        <v>47</v>
      </c>
      <c r="E69" t="s">
        <v>41</v>
      </c>
      <c r="F69" t="s">
        <v>358</v>
      </c>
      <c r="G69" t="s">
        <v>441</v>
      </c>
      <c r="H69" t="s">
        <v>463</v>
      </c>
      <c r="I69" t="s">
        <v>442</v>
      </c>
    </row>
    <row r="70" spans="1:9" x14ac:dyDescent="0.45">
      <c r="A70" t="s">
        <v>48</v>
      </c>
      <c r="B70" t="s">
        <v>49</v>
      </c>
      <c r="C70" t="s">
        <v>39</v>
      </c>
      <c r="D70" t="s">
        <v>50</v>
      </c>
      <c r="E70" t="s">
        <v>41</v>
      </c>
      <c r="F70" t="s">
        <v>132</v>
      </c>
      <c r="G70" t="s">
        <v>21</v>
      </c>
      <c r="H70" t="s">
        <v>384</v>
      </c>
      <c r="I70" t="s">
        <v>380</v>
      </c>
    </row>
    <row r="71" spans="1:9" x14ac:dyDescent="0.45">
      <c r="A71" t="s">
        <v>48</v>
      </c>
      <c r="B71" t="s">
        <v>49</v>
      </c>
      <c r="C71" t="s">
        <v>39</v>
      </c>
      <c r="D71" t="s">
        <v>50</v>
      </c>
      <c r="E71" t="s">
        <v>41</v>
      </c>
      <c r="F71" t="s">
        <v>132</v>
      </c>
      <c r="G71" t="s">
        <v>20</v>
      </c>
      <c r="H71" t="s">
        <v>388</v>
      </c>
      <c r="I71" t="s">
        <v>385</v>
      </c>
    </row>
    <row r="72" spans="1:9" x14ac:dyDescent="0.45">
      <c r="A72" t="s">
        <v>48</v>
      </c>
      <c r="B72" t="s">
        <v>49</v>
      </c>
      <c r="C72" t="s">
        <v>39</v>
      </c>
      <c r="D72" t="s">
        <v>50</v>
      </c>
      <c r="E72" t="s">
        <v>41</v>
      </c>
      <c r="F72" t="s">
        <v>132</v>
      </c>
      <c r="G72" t="s">
        <v>149</v>
      </c>
      <c r="H72" t="s">
        <v>391</v>
      </c>
      <c r="I72" t="s">
        <v>389</v>
      </c>
    </row>
    <row r="73" spans="1:9" x14ac:dyDescent="0.45">
      <c r="A73" t="s">
        <v>48</v>
      </c>
      <c r="B73" t="s">
        <v>49</v>
      </c>
      <c r="C73" t="s">
        <v>39</v>
      </c>
      <c r="D73" t="s">
        <v>50</v>
      </c>
      <c r="E73" t="s">
        <v>41</v>
      </c>
      <c r="F73" t="s">
        <v>154</v>
      </c>
      <c r="G73" t="s">
        <v>182</v>
      </c>
      <c r="H73" t="s">
        <v>186</v>
      </c>
      <c r="I73" t="s">
        <v>183</v>
      </c>
    </row>
    <row r="74" spans="1:9" x14ac:dyDescent="0.45">
      <c r="A74" t="s">
        <v>48</v>
      </c>
      <c r="B74" t="s">
        <v>49</v>
      </c>
      <c r="C74" t="s">
        <v>39</v>
      </c>
      <c r="D74" t="s">
        <v>50</v>
      </c>
      <c r="E74" t="s">
        <v>41</v>
      </c>
      <c r="F74" t="s">
        <v>154</v>
      </c>
      <c r="G74" t="s">
        <v>207</v>
      </c>
      <c r="H74" t="s">
        <v>211</v>
      </c>
      <c r="I74" t="s">
        <v>208</v>
      </c>
    </row>
    <row r="75" spans="1:9" x14ac:dyDescent="0.45">
      <c r="A75" t="s">
        <v>48</v>
      </c>
      <c r="B75" t="s">
        <v>49</v>
      </c>
      <c r="C75" t="s">
        <v>39</v>
      </c>
      <c r="D75" t="s">
        <v>50</v>
      </c>
      <c r="E75" t="s">
        <v>41</v>
      </c>
      <c r="F75" t="s">
        <v>216</v>
      </c>
      <c r="G75" t="s">
        <v>261</v>
      </c>
      <c r="H75" t="s">
        <v>265</v>
      </c>
      <c r="I75" t="s">
        <v>262</v>
      </c>
    </row>
    <row r="76" spans="1:9" x14ac:dyDescent="0.45">
      <c r="A76" t="s">
        <v>48</v>
      </c>
      <c r="B76" t="s">
        <v>49</v>
      </c>
      <c r="C76" t="s">
        <v>39</v>
      </c>
      <c r="D76" t="s">
        <v>50</v>
      </c>
      <c r="E76" t="s">
        <v>41</v>
      </c>
      <c r="F76" t="s">
        <v>216</v>
      </c>
      <c r="G76" t="s">
        <v>266</v>
      </c>
      <c r="H76" t="s">
        <v>270</v>
      </c>
      <c r="I76" t="s">
        <v>267</v>
      </c>
    </row>
    <row r="77" spans="1:9" x14ac:dyDescent="0.45">
      <c r="A77" t="s">
        <v>48</v>
      </c>
      <c r="B77" t="s">
        <v>49</v>
      </c>
      <c r="C77" t="s">
        <v>39</v>
      </c>
      <c r="D77" t="s">
        <v>50</v>
      </c>
      <c r="E77" t="s">
        <v>41</v>
      </c>
      <c r="F77" t="s">
        <v>271</v>
      </c>
      <c r="G77" t="s">
        <v>272</v>
      </c>
      <c r="H77" t="s">
        <v>404</v>
      </c>
      <c r="I77" t="s">
        <v>273</v>
      </c>
    </row>
    <row r="78" spans="1:9" x14ac:dyDescent="0.45">
      <c r="A78" t="s">
        <v>48</v>
      </c>
      <c r="B78" t="s">
        <v>49</v>
      </c>
      <c r="C78" t="s">
        <v>39</v>
      </c>
      <c r="D78" t="s">
        <v>50</v>
      </c>
      <c r="E78" t="s">
        <v>41</v>
      </c>
      <c r="F78" t="s">
        <v>271</v>
      </c>
      <c r="G78" t="s">
        <v>277</v>
      </c>
      <c r="H78" t="s">
        <v>404</v>
      </c>
      <c r="I78" t="s">
        <v>273</v>
      </c>
    </row>
    <row r="79" spans="1:9" x14ac:dyDescent="0.45">
      <c r="A79" t="s">
        <v>48</v>
      </c>
      <c r="B79" t="s">
        <v>49</v>
      </c>
      <c r="C79" t="s">
        <v>39</v>
      </c>
      <c r="D79" t="s">
        <v>50</v>
      </c>
      <c r="E79" t="s">
        <v>41</v>
      </c>
      <c r="F79" t="s">
        <v>289</v>
      </c>
      <c r="G79" t="s">
        <v>306</v>
      </c>
      <c r="H79" t="s">
        <v>458</v>
      </c>
      <c r="I79" t="s">
        <v>308</v>
      </c>
    </row>
    <row r="80" spans="1:9" x14ac:dyDescent="0.45">
      <c r="A80" t="s">
        <v>48</v>
      </c>
      <c r="B80" t="s">
        <v>49</v>
      </c>
      <c r="C80" t="s">
        <v>39</v>
      </c>
      <c r="D80" t="s">
        <v>50</v>
      </c>
      <c r="E80" t="s">
        <v>41</v>
      </c>
      <c r="F80" t="s">
        <v>329</v>
      </c>
      <c r="G80" t="s">
        <v>330</v>
      </c>
      <c r="H80" t="s">
        <v>460</v>
      </c>
      <c r="I80" t="s">
        <v>331</v>
      </c>
    </row>
    <row r="81" spans="1:9" x14ac:dyDescent="0.45">
      <c r="A81" t="s">
        <v>48</v>
      </c>
      <c r="B81" t="s">
        <v>49</v>
      </c>
      <c r="C81" t="s">
        <v>39</v>
      </c>
      <c r="D81" t="s">
        <v>50</v>
      </c>
      <c r="E81" t="s">
        <v>41</v>
      </c>
      <c r="F81" t="s">
        <v>329</v>
      </c>
      <c r="G81" t="s">
        <v>351</v>
      </c>
      <c r="H81" t="s">
        <v>461</v>
      </c>
      <c r="I81" t="s">
        <v>352</v>
      </c>
    </row>
    <row r="82" spans="1:9" x14ac:dyDescent="0.45">
      <c r="A82" t="s">
        <v>48</v>
      </c>
      <c r="B82" t="s">
        <v>49</v>
      </c>
      <c r="C82" t="s">
        <v>39</v>
      </c>
      <c r="D82" t="s">
        <v>50</v>
      </c>
      <c r="E82" t="s">
        <v>41</v>
      </c>
      <c r="F82" t="s">
        <v>329</v>
      </c>
      <c r="G82" t="s">
        <v>354</v>
      </c>
      <c r="H82" t="s">
        <v>357</v>
      </c>
      <c r="I82" t="s">
        <v>355</v>
      </c>
    </row>
    <row r="83" spans="1:9" x14ac:dyDescent="0.45">
      <c r="A83" t="s">
        <v>48</v>
      </c>
      <c r="B83" t="s">
        <v>49</v>
      </c>
      <c r="C83" t="s">
        <v>39</v>
      </c>
      <c r="D83" t="s">
        <v>50</v>
      </c>
      <c r="E83" t="s">
        <v>41</v>
      </c>
      <c r="F83" t="s">
        <v>358</v>
      </c>
      <c r="G83" t="s">
        <v>441</v>
      </c>
      <c r="H83" t="s">
        <v>463</v>
      </c>
      <c r="I83" t="s">
        <v>442</v>
      </c>
    </row>
    <row r="84" spans="1:9" x14ac:dyDescent="0.45">
      <c r="A84" t="s">
        <v>51</v>
      </c>
      <c r="B84" t="s">
        <v>52</v>
      </c>
      <c r="C84" t="s">
        <v>39</v>
      </c>
      <c r="D84" t="s">
        <v>40</v>
      </c>
      <c r="E84" t="s">
        <v>53</v>
      </c>
      <c r="F84" t="s">
        <v>132</v>
      </c>
      <c r="G84" t="s">
        <v>21</v>
      </c>
      <c r="H84" t="s">
        <v>384</v>
      </c>
      <c r="I84" t="s">
        <v>380</v>
      </c>
    </row>
    <row r="85" spans="1:9" x14ac:dyDescent="0.45">
      <c r="A85" t="s">
        <v>51</v>
      </c>
      <c r="B85" t="s">
        <v>52</v>
      </c>
      <c r="C85" t="s">
        <v>39</v>
      </c>
      <c r="D85" t="s">
        <v>40</v>
      </c>
      <c r="E85" t="s">
        <v>53</v>
      </c>
      <c r="F85" t="s">
        <v>132</v>
      </c>
      <c r="G85" t="s">
        <v>20</v>
      </c>
      <c r="H85" t="s">
        <v>466</v>
      </c>
      <c r="I85" t="s">
        <v>385</v>
      </c>
    </row>
    <row r="86" spans="1:9" x14ac:dyDescent="0.45">
      <c r="A86" t="s">
        <v>51</v>
      </c>
      <c r="B86" t="s">
        <v>52</v>
      </c>
      <c r="C86" t="s">
        <v>39</v>
      </c>
      <c r="D86" t="s">
        <v>40</v>
      </c>
      <c r="E86" t="s">
        <v>53</v>
      </c>
      <c r="F86" t="s">
        <v>154</v>
      </c>
      <c r="G86" t="s">
        <v>182</v>
      </c>
      <c r="H86" t="s">
        <v>186</v>
      </c>
      <c r="I86" t="s">
        <v>183</v>
      </c>
    </row>
    <row r="87" spans="1:9" x14ac:dyDescent="0.45">
      <c r="A87" t="s">
        <v>51</v>
      </c>
      <c r="B87" t="s">
        <v>52</v>
      </c>
      <c r="C87" t="s">
        <v>39</v>
      </c>
      <c r="D87" t="s">
        <v>40</v>
      </c>
      <c r="E87" t="s">
        <v>53</v>
      </c>
      <c r="F87" t="s">
        <v>154</v>
      </c>
      <c r="G87" t="s">
        <v>207</v>
      </c>
      <c r="H87" t="s">
        <v>211</v>
      </c>
      <c r="I87" t="s">
        <v>208</v>
      </c>
    </row>
    <row r="88" spans="1:9" x14ac:dyDescent="0.45">
      <c r="A88" t="s">
        <v>51</v>
      </c>
      <c r="B88" t="s">
        <v>52</v>
      </c>
      <c r="C88" t="s">
        <v>39</v>
      </c>
      <c r="D88" t="s">
        <v>40</v>
      </c>
      <c r="E88" t="s">
        <v>53</v>
      </c>
      <c r="F88" t="s">
        <v>216</v>
      </c>
      <c r="G88" t="s">
        <v>261</v>
      </c>
      <c r="H88" t="s">
        <v>265</v>
      </c>
      <c r="I88" t="s">
        <v>262</v>
      </c>
    </row>
    <row r="89" spans="1:9" x14ac:dyDescent="0.45">
      <c r="A89" t="s">
        <v>51</v>
      </c>
      <c r="B89" t="s">
        <v>52</v>
      </c>
      <c r="C89" t="s">
        <v>39</v>
      </c>
      <c r="D89" t="s">
        <v>40</v>
      </c>
      <c r="E89" t="s">
        <v>53</v>
      </c>
      <c r="F89" t="s">
        <v>216</v>
      </c>
      <c r="G89" t="s">
        <v>266</v>
      </c>
      <c r="H89" t="s">
        <v>270</v>
      </c>
      <c r="I89" t="s">
        <v>267</v>
      </c>
    </row>
    <row r="90" spans="1:9" x14ac:dyDescent="0.45">
      <c r="A90" t="s">
        <v>51</v>
      </c>
      <c r="B90" t="s">
        <v>52</v>
      </c>
      <c r="C90" t="s">
        <v>39</v>
      </c>
      <c r="D90" t="s">
        <v>40</v>
      </c>
      <c r="E90" t="s">
        <v>53</v>
      </c>
      <c r="F90" t="s">
        <v>271</v>
      </c>
      <c r="G90" t="s">
        <v>272</v>
      </c>
      <c r="H90" t="s">
        <v>404</v>
      </c>
      <c r="I90" t="s">
        <v>273</v>
      </c>
    </row>
    <row r="91" spans="1:9" x14ac:dyDescent="0.45">
      <c r="A91" t="s">
        <v>51</v>
      </c>
      <c r="B91" t="s">
        <v>52</v>
      </c>
      <c r="C91" t="s">
        <v>39</v>
      </c>
      <c r="D91" t="s">
        <v>40</v>
      </c>
      <c r="E91" t="s">
        <v>53</v>
      </c>
      <c r="F91" t="s">
        <v>271</v>
      </c>
      <c r="G91" t="s">
        <v>277</v>
      </c>
      <c r="H91" t="s">
        <v>404</v>
      </c>
      <c r="I91" t="s">
        <v>273</v>
      </c>
    </row>
    <row r="92" spans="1:9" x14ac:dyDescent="0.45">
      <c r="A92" t="s">
        <v>51</v>
      </c>
      <c r="B92" t="s">
        <v>52</v>
      </c>
      <c r="C92" t="s">
        <v>39</v>
      </c>
      <c r="D92" t="s">
        <v>40</v>
      </c>
      <c r="E92" t="s">
        <v>53</v>
      </c>
      <c r="F92" t="s">
        <v>289</v>
      </c>
      <c r="G92" t="s">
        <v>306</v>
      </c>
      <c r="H92" t="s">
        <v>416</v>
      </c>
      <c r="I92" t="s">
        <v>308</v>
      </c>
    </row>
    <row r="93" spans="1:9" x14ac:dyDescent="0.45">
      <c r="A93" t="s">
        <v>51</v>
      </c>
      <c r="B93" t="s">
        <v>52</v>
      </c>
      <c r="C93" t="s">
        <v>39</v>
      </c>
      <c r="D93" t="s">
        <v>40</v>
      </c>
      <c r="E93" t="s">
        <v>53</v>
      </c>
      <c r="F93" t="s">
        <v>289</v>
      </c>
      <c r="G93" t="s">
        <v>317</v>
      </c>
      <c r="H93" t="s">
        <v>417</v>
      </c>
    </row>
    <row r="94" spans="1:9" x14ac:dyDescent="0.45">
      <c r="A94" t="s">
        <v>51</v>
      </c>
      <c r="B94" t="s">
        <v>52</v>
      </c>
      <c r="C94" t="s">
        <v>39</v>
      </c>
      <c r="D94" t="s">
        <v>40</v>
      </c>
      <c r="E94" t="s">
        <v>53</v>
      </c>
      <c r="F94" t="s">
        <v>329</v>
      </c>
      <c r="G94" t="s">
        <v>330</v>
      </c>
      <c r="H94" t="s">
        <v>419</v>
      </c>
      <c r="I94" t="s">
        <v>331</v>
      </c>
    </row>
    <row r="95" spans="1:9" x14ac:dyDescent="0.45">
      <c r="A95" t="s">
        <v>51</v>
      </c>
      <c r="B95" t="s">
        <v>52</v>
      </c>
      <c r="C95" t="s">
        <v>39</v>
      </c>
      <c r="D95" t="s">
        <v>40</v>
      </c>
      <c r="E95" t="s">
        <v>53</v>
      </c>
      <c r="F95" t="s">
        <v>329</v>
      </c>
      <c r="G95" t="s">
        <v>351</v>
      </c>
      <c r="H95" t="s">
        <v>421</v>
      </c>
      <c r="I95" t="s">
        <v>352</v>
      </c>
    </row>
    <row r="96" spans="1:9" x14ac:dyDescent="0.45">
      <c r="A96" t="s">
        <v>51</v>
      </c>
      <c r="B96" t="s">
        <v>52</v>
      </c>
      <c r="C96" t="s">
        <v>39</v>
      </c>
      <c r="D96" t="s">
        <v>40</v>
      </c>
      <c r="E96" t="s">
        <v>53</v>
      </c>
      <c r="F96" t="s">
        <v>329</v>
      </c>
      <c r="G96" t="s">
        <v>354</v>
      </c>
      <c r="H96" t="s">
        <v>357</v>
      </c>
      <c r="I96" t="s">
        <v>355</v>
      </c>
    </row>
    <row r="97" spans="1:9" x14ac:dyDescent="0.45">
      <c r="A97" t="s">
        <v>51</v>
      </c>
      <c r="B97" t="s">
        <v>52</v>
      </c>
      <c r="C97" t="s">
        <v>39</v>
      </c>
      <c r="D97" t="s">
        <v>40</v>
      </c>
      <c r="E97" t="s">
        <v>53</v>
      </c>
      <c r="F97" t="s">
        <v>427</v>
      </c>
      <c r="G97" t="s">
        <v>428</v>
      </c>
      <c r="H97" t="s">
        <v>467</v>
      </c>
      <c r="I97" t="s">
        <v>429</v>
      </c>
    </row>
    <row r="98" spans="1:9" x14ac:dyDescent="0.45">
      <c r="A98" t="s">
        <v>51</v>
      </c>
      <c r="B98" t="s">
        <v>52</v>
      </c>
      <c r="C98" t="s">
        <v>39</v>
      </c>
      <c r="D98" t="s">
        <v>40</v>
      </c>
      <c r="E98" t="s">
        <v>53</v>
      </c>
      <c r="F98" t="s">
        <v>427</v>
      </c>
      <c r="G98" t="s">
        <v>472</v>
      </c>
      <c r="H98" t="s">
        <v>475</v>
      </c>
      <c r="I98" t="s">
        <v>473</v>
      </c>
    </row>
    <row r="99" spans="1:9" x14ac:dyDescent="0.45">
      <c r="A99" t="s">
        <v>51</v>
      </c>
      <c r="B99" t="s">
        <v>52</v>
      </c>
      <c r="C99" t="s">
        <v>39</v>
      </c>
      <c r="D99" t="s">
        <v>40</v>
      </c>
      <c r="E99" t="s">
        <v>53</v>
      </c>
      <c r="F99" t="s">
        <v>427</v>
      </c>
      <c r="G99" t="s">
        <v>441</v>
      </c>
      <c r="H99" t="s">
        <v>476</v>
      </c>
      <c r="I99" t="s">
        <v>442</v>
      </c>
    </row>
    <row r="100" spans="1:9" x14ac:dyDescent="0.45">
      <c r="A100" t="s">
        <v>51</v>
      </c>
      <c r="B100" t="s">
        <v>52</v>
      </c>
      <c r="C100" t="s">
        <v>39</v>
      </c>
      <c r="D100" t="s">
        <v>40</v>
      </c>
      <c r="E100" t="s">
        <v>53</v>
      </c>
      <c r="F100" t="s">
        <v>427</v>
      </c>
      <c r="G100" t="s">
        <v>445</v>
      </c>
      <c r="H100" t="s">
        <v>477</v>
      </c>
      <c r="I100" t="s">
        <v>446</v>
      </c>
    </row>
    <row r="101" spans="1:9" x14ac:dyDescent="0.45">
      <c r="A101" t="s">
        <v>54</v>
      </c>
      <c r="B101" t="s">
        <v>55</v>
      </c>
      <c r="C101" t="s">
        <v>39</v>
      </c>
      <c r="D101" t="s">
        <v>40</v>
      </c>
      <c r="E101" t="s">
        <v>56</v>
      </c>
      <c r="F101" t="s">
        <v>132</v>
      </c>
      <c r="G101" t="s">
        <v>21</v>
      </c>
      <c r="H101" t="s">
        <v>384</v>
      </c>
      <c r="I101" t="s">
        <v>380</v>
      </c>
    </row>
    <row r="102" spans="1:9" x14ac:dyDescent="0.45">
      <c r="A102" t="s">
        <v>54</v>
      </c>
      <c r="B102" t="s">
        <v>55</v>
      </c>
      <c r="C102" t="s">
        <v>39</v>
      </c>
      <c r="D102" t="s">
        <v>40</v>
      </c>
      <c r="E102" t="s">
        <v>56</v>
      </c>
      <c r="F102" t="s">
        <v>132</v>
      </c>
      <c r="G102" t="s">
        <v>20</v>
      </c>
      <c r="H102" t="s">
        <v>466</v>
      </c>
      <c r="I102" t="s">
        <v>385</v>
      </c>
    </row>
    <row r="103" spans="1:9" x14ac:dyDescent="0.45">
      <c r="A103" t="s">
        <v>54</v>
      </c>
      <c r="B103" t="s">
        <v>55</v>
      </c>
      <c r="C103" t="s">
        <v>39</v>
      </c>
      <c r="D103" t="s">
        <v>40</v>
      </c>
      <c r="E103" t="s">
        <v>56</v>
      </c>
      <c r="F103" t="s">
        <v>154</v>
      </c>
      <c r="G103" t="s">
        <v>182</v>
      </c>
      <c r="H103" t="s">
        <v>186</v>
      </c>
      <c r="I103" t="s">
        <v>183</v>
      </c>
    </row>
    <row r="104" spans="1:9" x14ac:dyDescent="0.45">
      <c r="A104" t="s">
        <v>54</v>
      </c>
      <c r="B104" t="s">
        <v>55</v>
      </c>
      <c r="C104" t="s">
        <v>39</v>
      </c>
      <c r="D104" t="s">
        <v>40</v>
      </c>
      <c r="E104" t="s">
        <v>56</v>
      </c>
      <c r="F104" t="s">
        <v>154</v>
      </c>
      <c r="G104" t="s">
        <v>207</v>
      </c>
      <c r="H104" t="s">
        <v>211</v>
      </c>
      <c r="I104" t="s">
        <v>208</v>
      </c>
    </row>
    <row r="105" spans="1:9" x14ac:dyDescent="0.45">
      <c r="A105" t="s">
        <v>54</v>
      </c>
      <c r="B105" t="s">
        <v>55</v>
      </c>
      <c r="C105" t="s">
        <v>39</v>
      </c>
      <c r="D105" t="s">
        <v>40</v>
      </c>
      <c r="E105" t="s">
        <v>56</v>
      </c>
      <c r="F105" t="s">
        <v>216</v>
      </c>
      <c r="G105" t="s">
        <v>261</v>
      </c>
      <c r="H105" t="s">
        <v>265</v>
      </c>
      <c r="I105" t="s">
        <v>262</v>
      </c>
    </row>
    <row r="106" spans="1:9" x14ac:dyDescent="0.45">
      <c r="A106" t="s">
        <v>54</v>
      </c>
      <c r="B106" t="s">
        <v>55</v>
      </c>
      <c r="C106" t="s">
        <v>39</v>
      </c>
      <c r="D106" t="s">
        <v>40</v>
      </c>
      <c r="E106" t="s">
        <v>56</v>
      </c>
      <c r="F106" t="s">
        <v>216</v>
      </c>
      <c r="G106" t="s">
        <v>266</v>
      </c>
      <c r="H106" t="s">
        <v>270</v>
      </c>
      <c r="I106" t="s">
        <v>267</v>
      </c>
    </row>
    <row r="107" spans="1:9" x14ac:dyDescent="0.45">
      <c r="A107" t="s">
        <v>54</v>
      </c>
      <c r="B107" t="s">
        <v>55</v>
      </c>
      <c r="C107" t="s">
        <v>39</v>
      </c>
      <c r="D107" t="s">
        <v>40</v>
      </c>
      <c r="E107" t="s">
        <v>56</v>
      </c>
      <c r="F107" t="s">
        <v>271</v>
      </c>
      <c r="G107" t="s">
        <v>272</v>
      </c>
      <c r="H107" t="s">
        <v>404</v>
      </c>
      <c r="I107" t="s">
        <v>273</v>
      </c>
    </row>
    <row r="108" spans="1:9" x14ac:dyDescent="0.45">
      <c r="A108" t="s">
        <v>54</v>
      </c>
      <c r="B108" t="s">
        <v>55</v>
      </c>
      <c r="C108" t="s">
        <v>39</v>
      </c>
      <c r="D108" t="s">
        <v>40</v>
      </c>
      <c r="E108" t="s">
        <v>56</v>
      </c>
      <c r="F108" t="s">
        <v>271</v>
      </c>
      <c r="G108" t="s">
        <v>277</v>
      </c>
      <c r="H108" t="s">
        <v>404</v>
      </c>
      <c r="I108" t="s">
        <v>273</v>
      </c>
    </row>
    <row r="109" spans="1:9" x14ac:dyDescent="0.45">
      <c r="A109" t="s">
        <v>54</v>
      </c>
      <c r="B109" t="s">
        <v>55</v>
      </c>
      <c r="C109" t="s">
        <v>39</v>
      </c>
      <c r="D109" t="s">
        <v>40</v>
      </c>
      <c r="E109" t="s">
        <v>56</v>
      </c>
      <c r="F109" t="s">
        <v>289</v>
      </c>
      <c r="G109" t="s">
        <v>306</v>
      </c>
      <c r="H109" t="s">
        <v>416</v>
      </c>
      <c r="I109" t="s">
        <v>308</v>
      </c>
    </row>
    <row r="110" spans="1:9" x14ac:dyDescent="0.45">
      <c r="A110" t="s">
        <v>54</v>
      </c>
      <c r="B110" t="s">
        <v>55</v>
      </c>
      <c r="C110" t="s">
        <v>39</v>
      </c>
      <c r="D110" t="s">
        <v>40</v>
      </c>
      <c r="E110" t="s">
        <v>56</v>
      </c>
      <c r="F110" t="s">
        <v>289</v>
      </c>
      <c r="G110" t="s">
        <v>317</v>
      </c>
      <c r="H110" t="s">
        <v>417</v>
      </c>
    </row>
    <row r="111" spans="1:9" x14ac:dyDescent="0.45">
      <c r="A111" t="s">
        <v>54</v>
      </c>
      <c r="B111" t="s">
        <v>55</v>
      </c>
      <c r="C111" t="s">
        <v>39</v>
      </c>
      <c r="D111" t="s">
        <v>40</v>
      </c>
      <c r="E111" t="s">
        <v>56</v>
      </c>
      <c r="F111" t="s">
        <v>329</v>
      </c>
      <c r="G111" t="s">
        <v>330</v>
      </c>
      <c r="H111" t="s">
        <v>419</v>
      </c>
      <c r="I111" t="s">
        <v>331</v>
      </c>
    </row>
    <row r="112" spans="1:9" x14ac:dyDescent="0.45">
      <c r="A112" t="s">
        <v>54</v>
      </c>
      <c r="B112" t="s">
        <v>55</v>
      </c>
      <c r="C112" t="s">
        <v>39</v>
      </c>
      <c r="D112" t="s">
        <v>40</v>
      </c>
      <c r="E112" t="s">
        <v>56</v>
      </c>
      <c r="F112" t="s">
        <v>329</v>
      </c>
      <c r="G112" t="s">
        <v>351</v>
      </c>
      <c r="H112" t="s">
        <v>421</v>
      </c>
      <c r="I112" t="s">
        <v>352</v>
      </c>
    </row>
    <row r="113" spans="1:9" x14ac:dyDescent="0.45">
      <c r="A113" t="s">
        <v>54</v>
      </c>
      <c r="B113" t="s">
        <v>55</v>
      </c>
      <c r="C113" t="s">
        <v>39</v>
      </c>
      <c r="D113" t="s">
        <v>40</v>
      </c>
      <c r="E113" t="s">
        <v>56</v>
      </c>
      <c r="F113" t="s">
        <v>329</v>
      </c>
      <c r="G113" t="s">
        <v>354</v>
      </c>
      <c r="H113" t="s">
        <v>357</v>
      </c>
      <c r="I113" t="s">
        <v>355</v>
      </c>
    </row>
    <row r="114" spans="1:9" x14ac:dyDescent="0.45">
      <c r="A114" t="s">
        <v>54</v>
      </c>
      <c r="B114" t="s">
        <v>55</v>
      </c>
      <c r="C114" t="s">
        <v>39</v>
      </c>
      <c r="D114" t="s">
        <v>40</v>
      </c>
      <c r="E114" t="s">
        <v>56</v>
      </c>
      <c r="F114" t="s">
        <v>427</v>
      </c>
      <c r="G114" t="s">
        <v>428</v>
      </c>
      <c r="H114" t="s">
        <v>467</v>
      </c>
      <c r="I114" t="s">
        <v>429</v>
      </c>
    </row>
    <row r="115" spans="1:9" x14ac:dyDescent="0.45">
      <c r="A115" t="s">
        <v>54</v>
      </c>
      <c r="B115" t="s">
        <v>55</v>
      </c>
      <c r="C115" t="s">
        <v>39</v>
      </c>
      <c r="D115" t="s">
        <v>40</v>
      </c>
      <c r="E115" t="s">
        <v>56</v>
      </c>
      <c r="F115" t="s">
        <v>427</v>
      </c>
      <c r="G115" t="s">
        <v>472</v>
      </c>
      <c r="H115" t="s">
        <v>482</v>
      </c>
      <c r="I115" t="s">
        <v>480</v>
      </c>
    </row>
    <row r="116" spans="1:9" x14ac:dyDescent="0.45">
      <c r="A116" t="s">
        <v>54</v>
      </c>
      <c r="B116" t="s">
        <v>55</v>
      </c>
      <c r="C116" t="s">
        <v>39</v>
      </c>
      <c r="D116" t="s">
        <v>40</v>
      </c>
      <c r="E116" t="s">
        <v>56</v>
      </c>
      <c r="F116" t="s">
        <v>427</v>
      </c>
      <c r="G116" t="s">
        <v>441</v>
      </c>
      <c r="H116" t="s">
        <v>483</v>
      </c>
      <c r="I116" t="s">
        <v>442</v>
      </c>
    </row>
    <row r="117" spans="1:9" x14ac:dyDescent="0.45">
      <c r="A117" t="s">
        <v>54</v>
      </c>
      <c r="B117" t="s">
        <v>55</v>
      </c>
      <c r="C117" t="s">
        <v>39</v>
      </c>
      <c r="D117" t="s">
        <v>40</v>
      </c>
      <c r="E117" t="s">
        <v>56</v>
      </c>
      <c r="F117" t="s">
        <v>427</v>
      </c>
      <c r="G117" t="s">
        <v>445</v>
      </c>
      <c r="H117" t="s">
        <v>477</v>
      </c>
      <c r="I117" t="s">
        <v>446</v>
      </c>
    </row>
    <row r="118" spans="1:9" x14ac:dyDescent="0.45">
      <c r="A118" t="s">
        <v>57</v>
      </c>
      <c r="B118" t="s">
        <v>58</v>
      </c>
      <c r="C118" t="s">
        <v>39</v>
      </c>
      <c r="D118" t="s">
        <v>40</v>
      </c>
      <c r="E118" t="s">
        <v>59</v>
      </c>
      <c r="F118" t="s">
        <v>132</v>
      </c>
      <c r="G118" t="s">
        <v>21</v>
      </c>
      <c r="H118" t="s">
        <v>384</v>
      </c>
      <c r="I118" t="s">
        <v>380</v>
      </c>
    </row>
    <row r="119" spans="1:9" x14ac:dyDescent="0.45">
      <c r="A119" t="s">
        <v>57</v>
      </c>
      <c r="B119" t="s">
        <v>58</v>
      </c>
      <c r="C119" t="s">
        <v>39</v>
      </c>
      <c r="D119" t="s">
        <v>40</v>
      </c>
      <c r="E119" t="s">
        <v>59</v>
      </c>
      <c r="F119" t="s">
        <v>132</v>
      </c>
      <c r="G119" t="s">
        <v>20</v>
      </c>
      <c r="H119" t="s">
        <v>466</v>
      </c>
      <c r="I119" t="s">
        <v>385</v>
      </c>
    </row>
    <row r="120" spans="1:9" x14ac:dyDescent="0.45">
      <c r="A120" t="s">
        <v>57</v>
      </c>
      <c r="B120" t="s">
        <v>58</v>
      </c>
      <c r="C120" t="s">
        <v>39</v>
      </c>
      <c r="D120" t="s">
        <v>40</v>
      </c>
      <c r="E120" t="s">
        <v>59</v>
      </c>
      <c r="F120" t="s">
        <v>154</v>
      </c>
      <c r="G120" t="s">
        <v>182</v>
      </c>
      <c r="H120" t="s">
        <v>186</v>
      </c>
      <c r="I120" t="s">
        <v>183</v>
      </c>
    </row>
    <row r="121" spans="1:9" x14ac:dyDescent="0.45">
      <c r="A121" t="s">
        <v>57</v>
      </c>
      <c r="B121" t="s">
        <v>58</v>
      </c>
      <c r="C121" t="s">
        <v>39</v>
      </c>
      <c r="D121" t="s">
        <v>40</v>
      </c>
      <c r="E121" t="s">
        <v>59</v>
      </c>
      <c r="F121" t="s">
        <v>154</v>
      </c>
      <c r="G121" t="s">
        <v>207</v>
      </c>
      <c r="H121" t="s">
        <v>211</v>
      </c>
      <c r="I121" t="s">
        <v>208</v>
      </c>
    </row>
    <row r="122" spans="1:9" x14ac:dyDescent="0.45">
      <c r="A122" t="s">
        <v>57</v>
      </c>
      <c r="B122" t="s">
        <v>58</v>
      </c>
      <c r="C122" t="s">
        <v>39</v>
      </c>
      <c r="D122" t="s">
        <v>40</v>
      </c>
      <c r="E122" t="s">
        <v>59</v>
      </c>
      <c r="F122" t="s">
        <v>216</v>
      </c>
      <c r="G122" t="s">
        <v>261</v>
      </c>
      <c r="H122" t="s">
        <v>265</v>
      </c>
      <c r="I122" t="s">
        <v>262</v>
      </c>
    </row>
    <row r="123" spans="1:9" x14ac:dyDescent="0.45">
      <c r="A123" t="s">
        <v>57</v>
      </c>
      <c r="B123" t="s">
        <v>58</v>
      </c>
      <c r="C123" t="s">
        <v>39</v>
      </c>
      <c r="D123" t="s">
        <v>40</v>
      </c>
      <c r="E123" t="s">
        <v>59</v>
      </c>
      <c r="F123" t="s">
        <v>216</v>
      </c>
      <c r="G123" t="s">
        <v>266</v>
      </c>
      <c r="H123" t="s">
        <v>270</v>
      </c>
      <c r="I123" t="s">
        <v>267</v>
      </c>
    </row>
    <row r="124" spans="1:9" x14ac:dyDescent="0.45">
      <c r="A124" t="s">
        <v>57</v>
      </c>
      <c r="B124" t="s">
        <v>58</v>
      </c>
      <c r="C124" t="s">
        <v>39</v>
      </c>
      <c r="D124" t="s">
        <v>40</v>
      </c>
      <c r="E124" t="s">
        <v>59</v>
      </c>
      <c r="F124" t="s">
        <v>271</v>
      </c>
      <c r="G124" t="s">
        <v>272</v>
      </c>
      <c r="H124" t="s">
        <v>404</v>
      </c>
      <c r="I124" t="s">
        <v>273</v>
      </c>
    </row>
    <row r="125" spans="1:9" x14ac:dyDescent="0.45">
      <c r="A125" t="s">
        <v>57</v>
      </c>
      <c r="B125" t="s">
        <v>58</v>
      </c>
      <c r="C125" t="s">
        <v>39</v>
      </c>
      <c r="D125" t="s">
        <v>40</v>
      </c>
      <c r="E125" t="s">
        <v>59</v>
      </c>
      <c r="F125" t="s">
        <v>271</v>
      </c>
      <c r="G125" t="s">
        <v>277</v>
      </c>
      <c r="H125" t="s">
        <v>404</v>
      </c>
      <c r="I125" t="s">
        <v>273</v>
      </c>
    </row>
    <row r="126" spans="1:9" x14ac:dyDescent="0.45">
      <c r="A126" t="s">
        <v>57</v>
      </c>
      <c r="B126" t="s">
        <v>58</v>
      </c>
      <c r="C126" t="s">
        <v>39</v>
      </c>
      <c r="D126" t="s">
        <v>40</v>
      </c>
      <c r="E126" t="s">
        <v>59</v>
      </c>
      <c r="F126" t="s">
        <v>289</v>
      </c>
      <c r="G126" t="s">
        <v>306</v>
      </c>
      <c r="H126" t="s">
        <v>416</v>
      </c>
      <c r="I126" t="s">
        <v>308</v>
      </c>
    </row>
    <row r="127" spans="1:9" x14ac:dyDescent="0.45">
      <c r="A127" t="s">
        <v>57</v>
      </c>
      <c r="B127" t="s">
        <v>58</v>
      </c>
      <c r="C127" t="s">
        <v>39</v>
      </c>
      <c r="D127" t="s">
        <v>40</v>
      </c>
      <c r="E127" t="s">
        <v>59</v>
      </c>
      <c r="F127" t="s">
        <v>289</v>
      </c>
      <c r="G127" t="s">
        <v>317</v>
      </c>
      <c r="H127" t="s">
        <v>417</v>
      </c>
    </row>
    <row r="128" spans="1:9" x14ac:dyDescent="0.45">
      <c r="A128" t="s">
        <v>57</v>
      </c>
      <c r="B128" t="s">
        <v>58</v>
      </c>
      <c r="C128" t="s">
        <v>39</v>
      </c>
      <c r="D128" t="s">
        <v>40</v>
      </c>
      <c r="E128" t="s">
        <v>59</v>
      </c>
      <c r="F128" t="s">
        <v>329</v>
      </c>
      <c r="G128" t="s">
        <v>330</v>
      </c>
      <c r="H128" t="s">
        <v>419</v>
      </c>
      <c r="I128" t="s">
        <v>331</v>
      </c>
    </row>
    <row r="129" spans="1:9" x14ac:dyDescent="0.45">
      <c r="A129" t="s">
        <v>57</v>
      </c>
      <c r="B129" t="s">
        <v>58</v>
      </c>
      <c r="C129" t="s">
        <v>39</v>
      </c>
      <c r="D129" t="s">
        <v>40</v>
      </c>
      <c r="E129" t="s">
        <v>59</v>
      </c>
      <c r="F129" t="s">
        <v>329</v>
      </c>
      <c r="G129" t="s">
        <v>351</v>
      </c>
      <c r="H129" t="s">
        <v>421</v>
      </c>
      <c r="I129" t="s">
        <v>352</v>
      </c>
    </row>
    <row r="130" spans="1:9" x14ac:dyDescent="0.45">
      <c r="A130" t="s">
        <v>57</v>
      </c>
      <c r="B130" t="s">
        <v>58</v>
      </c>
      <c r="C130" t="s">
        <v>39</v>
      </c>
      <c r="D130" t="s">
        <v>40</v>
      </c>
      <c r="E130" t="s">
        <v>59</v>
      </c>
      <c r="F130" t="s">
        <v>329</v>
      </c>
      <c r="G130" t="s">
        <v>354</v>
      </c>
      <c r="H130" t="s">
        <v>357</v>
      </c>
      <c r="I130" t="s">
        <v>355</v>
      </c>
    </row>
    <row r="131" spans="1:9" x14ac:dyDescent="0.45">
      <c r="A131" t="s">
        <v>57</v>
      </c>
      <c r="B131" t="s">
        <v>58</v>
      </c>
      <c r="C131" t="s">
        <v>39</v>
      </c>
      <c r="D131" t="s">
        <v>40</v>
      </c>
      <c r="E131" t="s">
        <v>59</v>
      </c>
      <c r="F131" t="s">
        <v>427</v>
      </c>
      <c r="G131" t="s">
        <v>428</v>
      </c>
      <c r="H131" t="s">
        <v>467</v>
      </c>
      <c r="I131" t="s">
        <v>429</v>
      </c>
    </row>
    <row r="132" spans="1:9" x14ac:dyDescent="0.45">
      <c r="A132" t="s">
        <v>57</v>
      </c>
      <c r="B132" t="s">
        <v>58</v>
      </c>
      <c r="C132" t="s">
        <v>39</v>
      </c>
      <c r="D132" t="s">
        <v>40</v>
      </c>
      <c r="E132" t="s">
        <v>59</v>
      </c>
      <c r="F132" t="s">
        <v>427</v>
      </c>
      <c r="G132" t="s">
        <v>486</v>
      </c>
      <c r="H132" t="s">
        <v>490</v>
      </c>
      <c r="I132" t="s">
        <v>487</v>
      </c>
    </row>
    <row r="133" spans="1:9" x14ac:dyDescent="0.45">
      <c r="A133" t="s">
        <v>57</v>
      </c>
      <c r="B133" t="s">
        <v>58</v>
      </c>
      <c r="C133" t="s">
        <v>39</v>
      </c>
      <c r="D133" t="s">
        <v>40</v>
      </c>
      <c r="E133" t="s">
        <v>59</v>
      </c>
      <c r="F133" t="s">
        <v>427</v>
      </c>
      <c r="G133" t="s">
        <v>491</v>
      </c>
      <c r="H133" t="s">
        <v>496</v>
      </c>
      <c r="I133" t="s">
        <v>492</v>
      </c>
    </row>
    <row r="134" spans="1:9" x14ac:dyDescent="0.45">
      <c r="A134" t="s">
        <v>57</v>
      </c>
      <c r="B134" t="s">
        <v>58</v>
      </c>
      <c r="C134" t="s">
        <v>39</v>
      </c>
      <c r="D134" t="s">
        <v>40</v>
      </c>
      <c r="E134" t="s">
        <v>59</v>
      </c>
      <c r="F134" t="s">
        <v>427</v>
      </c>
      <c r="G134" t="s">
        <v>441</v>
      </c>
      <c r="H134" t="s">
        <v>483</v>
      </c>
      <c r="I134" t="s">
        <v>442</v>
      </c>
    </row>
    <row r="135" spans="1:9" x14ac:dyDescent="0.45">
      <c r="A135" t="s">
        <v>57</v>
      </c>
      <c r="B135" t="s">
        <v>58</v>
      </c>
      <c r="C135" t="s">
        <v>39</v>
      </c>
      <c r="D135" t="s">
        <v>40</v>
      </c>
      <c r="E135" t="s">
        <v>59</v>
      </c>
      <c r="F135" t="s">
        <v>427</v>
      </c>
      <c r="G135" t="s">
        <v>445</v>
      </c>
      <c r="H135" t="s">
        <v>477</v>
      </c>
      <c r="I135" t="s">
        <v>446</v>
      </c>
    </row>
    <row r="136" spans="1:9" x14ac:dyDescent="0.45">
      <c r="A136" t="s">
        <v>60</v>
      </c>
      <c r="B136" t="s">
        <v>61</v>
      </c>
      <c r="C136" t="s">
        <v>39</v>
      </c>
      <c r="D136" t="s">
        <v>40</v>
      </c>
      <c r="E136" t="s">
        <v>62</v>
      </c>
      <c r="F136" t="s">
        <v>132</v>
      </c>
      <c r="G136" t="s">
        <v>21</v>
      </c>
      <c r="H136" t="s">
        <v>384</v>
      </c>
      <c r="I136" t="s">
        <v>380</v>
      </c>
    </row>
    <row r="137" spans="1:9" x14ac:dyDescent="0.45">
      <c r="A137" t="s">
        <v>60</v>
      </c>
      <c r="B137" t="s">
        <v>61</v>
      </c>
      <c r="C137" t="s">
        <v>39</v>
      </c>
      <c r="D137" t="s">
        <v>40</v>
      </c>
      <c r="E137" t="s">
        <v>62</v>
      </c>
      <c r="F137" t="s">
        <v>132</v>
      </c>
      <c r="G137" t="s">
        <v>20</v>
      </c>
      <c r="H137" t="s">
        <v>466</v>
      </c>
      <c r="I137" t="s">
        <v>385</v>
      </c>
    </row>
    <row r="138" spans="1:9" x14ac:dyDescent="0.45">
      <c r="A138" t="s">
        <v>60</v>
      </c>
      <c r="B138" t="s">
        <v>61</v>
      </c>
      <c r="C138" t="s">
        <v>39</v>
      </c>
      <c r="D138" t="s">
        <v>40</v>
      </c>
      <c r="E138" t="s">
        <v>62</v>
      </c>
      <c r="F138" t="s">
        <v>154</v>
      </c>
      <c r="G138" t="s">
        <v>182</v>
      </c>
      <c r="H138" t="s">
        <v>186</v>
      </c>
      <c r="I138" t="s">
        <v>183</v>
      </c>
    </row>
    <row r="139" spans="1:9" x14ac:dyDescent="0.45">
      <c r="A139" t="s">
        <v>60</v>
      </c>
      <c r="B139" t="s">
        <v>61</v>
      </c>
      <c r="C139" t="s">
        <v>39</v>
      </c>
      <c r="D139" t="s">
        <v>40</v>
      </c>
      <c r="E139" t="s">
        <v>62</v>
      </c>
      <c r="F139" t="s">
        <v>154</v>
      </c>
      <c r="G139" t="s">
        <v>207</v>
      </c>
      <c r="H139" t="s">
        <v>211</v>
      </c>
      <c r="I139" t="s">
        <v>208</v>
      </c>
    </row>
    <row r="140" spans="1:9" x14ac:dyDescent="0.45">
      <c r="A140" t="s">
        <v>60</v>
      </c>
      <c r="B140" t="s">
        <v>61</v>
      </c>
      <c r="C140" t="s">
        <v>39</v>
      </c>
      <c r="D140" t="s">
        <v>40</v>
      </c>
      <c r="E140" t="s">
        <v>62</v>
      </c>
      <c r="F140" t="s">
        <v>216</v>
      </c>
      <c r="G140" t="s">
        <v>261</v>
      </c>
      <c r="H140" t="s">
        <v>265</v>
      </c>
      <c r="I140" t="s">
        <v>262</v>
      </c>
    </row>
    <row r="141" spans="1:9" x14ac:dyDescent="0.45">
      <c r="A141" t="s">
        <v>60</v>
      </c>
      <c r="B141" t="s">
        <v>61</v>
      </c>
      <c r="C141" t="s">
        <v>39</v>
      </c>
      <c r="D141" t="s">
        <v>40</v>
      </c>
      <c r="E141" t="s">
        <v>62</v>
      </c>
      <c r="F141" t="s">
        <v>216</v>
      </c>
      <c r="G141" t="s">
        <v>266</v>
      </c>
      <c r="H141" t="s">
        <v>270</v>
      </c>
      <c r="I141" t="s">
        <v>267</v>
      </c>
    </row>
    <row r="142" spans="1:9" x14ac:dyDescent="0.45">
      <c r="A142" t="s">
        <v>60</v>
      </c>
      <c r="B142" t="s">
        <v>61</v>
      </c>
      <c r="C142" t="s">
        <v>39</v>
      </c>
      <c r="D142" t="s">
        <v>40</v>
      </c>
      <c r="E142" t="s">
        <v>62</v>
      </c>
      <c r="F142" t="s">
        <v>271</v>
      </c>
      <c r="G142" t="s">
        <v>272</v>
      </c>
      <c r="H142" t="s">
        <v>404</v>
      </c>
      <c r="I142" t="s">
        <v>273</v>
      </c>
    </row>
    <row r="143" spans="1:9" x14ac:dyDescent="0.45">
      <c r="A143" t="s">
        <v>60</v>
      </c>
      <c r="B143" t="s">
        <v>61</v>
      </c>
      <c r="C143" t="s">
        <v>39</v>
      </c>
      <c r="D143" t="s">
        <v>40</v>
      </c>
      <c r="E143" t="s">
        <v>62</v>
      </c>
      <c r="F143" t="s">
        <v>271</v>
      </c>
      <c r="G143" t="s">
        <v>277</v>
      </c>
      <c r="H143" t="s">
        <v>404</v>
      </c>
      <c r="I143" t="s">
        <v>273</v>
      </c>
    </row>
    <row r="144" spans="1:9" x14ac:dyDescent="0.45">
      <c r="A144" t="s">
        <v>60</v>
      </c>
      <c r="B144" t="s">
        <v>61</v>
      </c>
      <c r="C144" t="s">
        <v>39</v>
      </c>
      <c r="D144" t="s">
        <v>40</v>
      </c>
      <c r="E144" t="s">
        <v>62</v>
      </c>
      <c r="F144" t="s">
        <v>289</v>
      </c>
      <c r="G144" t="s">
        <v>306</v>
      </c>
      <c r="H144" t="s">
        <v>416</v>
      </c>
      <c r="I144" t="s">
        <v>308</v>
      </c>
    </row>
    <row r="145" spans="1:9" x14ac:dyDescent="0.45">
      <c r="A145" t="s">
        <v>60</v>
      </c>
      <c r="B145" t="s">
        <v>61</v>
      </c>
      <c r="C145" t="s">
        <v>39</v>
      </c>
      <c r="D145" t="s">
        <v>40</v>
      </c>
      <c r="E145" t="s">
        <v>62</v>
      </c>
      <c r="F145" t="s">
        <v>289</v>
      </c>
      <c r="G145" t="s">
        <v>317</v>
      </c>
      <c r="H145" t="s">
        <v>417</v>
      </c>
    </row>
    <row r="146" spans="1:9" x14ac:dyDescent="0.45">
      <c r="A146" t="s">
        <v>60</v>
      </c>
      <c r="B146" t="s">
        <v>61</v>
      </c>
      <c r="C146" t="s">
        <v>39</v>
      </c>
      <c r="D146" t="s">
        <v>40</v>
      </c>
      <c r="E146" t="s">
        <v>62</v>
      </c>
      <c r="F146" t="s">
        <v>329</v>
      </c>
      <c r="G146" t="s">
        <v>330</v>
      </c>
      <c r="H146" t="s">
        <v>419</v>
      </c>
      <c r="I146" t="s">
        <v>331</v>
      </c>
    </row>
    <row r="147" spans="1:9" x14ac:dyDescent="0.45">
      <c r="A147" t="s">
        <v>60</v>
      </c>
      <c r="B147" t="s">
        <v>61</v>
      </c>
      <c r="C147" t="s">
        <v>39</v>
      </c>
      <c r="D147" t="s">
        <v>40</v>
      </c>
      <c r="E147" t="s">
        <v>62</v>
      </c>
      <c r="F147" t="s">
        <v>329</v>
      </c>
      <c r="G147" t="s">
        <v>351</v>
      </c>
      <c r="H147" t="s">
        <v>421</v>
      </c>
      <c r="I147" t="s">
        <v>352</v>
      </c>
    </row>
    <row r="148" spans="1:9" x14ac:dyDescent="0.45">
      <c r="A148" t="s">
        <v>60</v>
      </c>
      <c r="B148" t="s">
        <v>61</v>
      </c>
      <c r="C148" t="s">
        <v>39</v>
      </c>
      <c r="D148" t="s">
        <v>40</v>
      </c>
      <c r="E148" t="s">
        <v>62</v>
      </c>
      <c r="F148" t="s">
        <v>329</v>
      </c>
      <c r="G148" t="s">
        <v>354</v>
      </c>
      <c r="H148" t="s">
        <v>357</v>
      </c>
      <c r="I148" t="s">
        <v>355</v>
      </c>
    </row>
    <row r="149" spans="1:9" x14ac:dyDescent="0.45">
      <c r="A149" t="s">
        <v>60</v>
      </c>
      <c r="B149" t="s">
        <v>61</v>
      </c>
      <c r="C149" t="s">
        <v>39</v>
      </c>
      <c r="D149" t="s">
        <v>40</v>
      </c>
      <c r="E149" t="s">
        <v>62</v>
      </c>
      <c r="F149" t="s">
        <v>427</v>
      </c>
      <c r="G149" t="s">
        <v>428</v>
      </c>
      <c r="H149" t="s">
        <v>467</v>
      </c>
      <c r="I149" t="s">
        <v>429</v>
      </c>
    </row>
    <row r="150" spans="1:9" x14ac:dyDescent="0.45">
      <c r="A150" t="s">
        <v>60</v>
      </c>
      <c r="B150" t="s">
        <v>61</v>
      </c>
      <c r="C150" t="s">
        <v>39</v>
      </c>
      <c r="D150" t="s">
        <v>40</v>
      </c>
      <c r="E150" t="s">
        <v>62</v>
      </c>
      <c r="F150" t="s">
        <v>427</v>
      </c>
      <c r="G150" t="s">
        <v>468</v>
      </c>
      <c r="H150" t="s">
        <v>502</v>
      </c>
      <c r="I150" t="s">
        <v>442</v>
      </c>
    </row>
    <row r="151" spans="1:9" x14ac:dyDescent="0.45">
      <c r="A151" t="s">
        <v>60</v>
      </c>
      <c r="B151" t="s">
        <v>61</v>
      </c>
      <c r="C151" t="s">
        <v>39</v>
      </c>
      <c r="D151" t="s">
        <v>40</v>
      </c>
      <c r="E151" t="s">
        <v>62</v>
      </c>
      <c r="F151" t="s">
        <v>427</v>
      </c>
      <c r="G151" t="s">
        <v>503</v>
      </c>
      <c r="H151" t="s">
        <v>505</v>
      </c>
      <c r="I151" t="s">
        <v>504</v>
      </c>
    </row>
    <row r="152" spans="1:9" x14ac:dyDescent="0.45">
      <c r="A152" t="s">
        <v>60</v>
      </c>
      <c r="B152" t="s">
        <v>61</v>
      </c>
      <c r="C152" t="s">
        <v>39</v>
      </c>
      <c r="D152" t="s">
        <v>40</v>
      </c>
      <c r="E152" t="s">
        <v>62</v>
      </c>
      <c r="F152" t="s">
        <v>427</v>
      </c>
      <c r="G152" t="s">
        <v>506</v>
      </c>
      <c r="H152" t="s">
        <v>502</v>
      </c>
      <c r="I152" t="s">
        <v>507</v>
      </c>
    </row>
    <row r="153" spans="1:9" x14ac:dyDescent="0.45">
      <c r="A153" t="s">
        <v>60</v>
      </c>
      <c r="B153" t="s">
        <v>61</v>
      </c>
      <c r="C153" t="s">
        <v>39</v>
      </c>
      <c r="D153" t="s">
        <v>40</v>
      </c>
      <c r="E153" t="s">
        <v>62</v>
      </c>
      <c r="F153" t="s">
        <v>427</v>
      </c>
      <c r="G153" t="s">
        <v>441</v>
      </c>
      <c r="H153" t="s">
        <v>476</v>
      </c>
    </row>
    <row r="154" spans="1:9" x14ac:dyDescent="0.45">
      <c r="A154" t="s">
        <v>63</v>
      </c>
      <c r="B154" t="s">
        <v>64</v>
      </c>
      <c r="C154" t="s">
        <v>39</v>
      </c>
      <c r="D154" t="s">
        <v>40</v>
      </c>
      <c r="E154" t="s">
        <v>65</v>
      </c>
      <c r="F154" t="s">
        <v>132</v>
      </c>
      <c r="G154" t="s">
        <v>21</v>
      </c>
      <c r="H154" t="s">
        <v>384</v>
      </c>
      <c r="I154" t="s">
        <v>380</v>
      </c>
    </row>
    <row r="155" spans="1:9" x14ac:dyDescent="0.45">
      <c r="A155" t="s">
        <v>63</v>
      </c>
      <c r="B155" t="s">
        <v>64</v>
      </c>
      <c r="C155" t="s">
        <v>39</v>
      </c>
      <c r="D155" t="s">
        <v>40</v>
      </c>
      <c r="E155" t="s">
        <v>65</v>
      </c>
      <c r="F155" t="s">
        <v>132</v>
      </c>
      <c r="G155" t="s">
        <v>20</v>
      </c>
      <c r="H155" t="s">
        <v>466</v>
      </c>
      <c r="I155" t="s">
        <v>385</v>
      </c>
    </row>
    <row r="156" spans="1:9" x14ac:dyDescent="0.45">
      <c r="A156" t="s">
        <v>63</v>
      </c>
      <c r="B156" t="s">
        <v>64</v>
      </c>
      <c r="C156" t="s">
        <v>39</v>
      </c>
      <c r="D156" t="s">
        <v>40</v>
      </c>
      <c r="E156" t="s">
        <v>65</v>
      </c>
      <c r="F156" t="s">
        <v>154</v>
      </c>
      <c r="G156" t="s">
        <v>182</v>
      </c>
      <c r="H156" t="s">
        <v>186</v>
      </c>
      <c r="I156" t="s">
        <v>183</v>
      </c>
    </row>
    <row r="157" spans="1:9" x14ac:dyDescent="0.45">
      <c r="A157" t="s">
        <v>63</v>
      </c>
      <c r="B157" t="s">
        <v>64</v>
      </c>
      <c r="C157" t="s">
        <v>39</v>
      </c>
      <c r="D157" t="s">
        <v>40</v>
      </c>
      <c r="E157" t="s">
        <v>65</v>
      </c>
      <c r="F157" t="s">
        <v>154</v>
      </c>
      <c r="G157" t="s">
        <v>207</v>
      </c>
      <c r="H157" t="s">
        <v>211</v>
      </c>
      <c r="I157" t="s">
        <v>208</v>
      </c>
    </row>
    <row r="158" spans="1:9" x14ac:dyDescent="0.45">
      <c r="A158" t="s">
        <v>63</v>
      </c>
      <c r="B158" t="s">
        <v>64</v>
      </c>
      <c r="C158" t="s">
        <v>39</v>
      </c>
      <c r="D158" t="s">
        <v>40</v>
      </c>
      <c r="E158" t="s">
        <v>65</v>
      </c>
      <c r="F158" t="s">
        <v>216</v>
      </c>
      <c r="G158" t="s">
        <v>261</v>
      </c>
      <c r="H158" t="s">
        <v>265</v>
      </c>
      <c r="I158" t="s">
        <v>262</v>
      </c>
    </row>
    <row r="159" spans="1:9" x14ac:dyDescent="0.45">
      <c r="A159" t="s">
        <v>63</v>
      </c>
      <c r="B159" t="s">
        <v>64</v>
      </c>
      <c r="C159" t="s">
        <v>39</v>
      </c>
      <c r="D159" t="s">
        <v>40</v>
      </c>
      <c r="E159" t="s">
        <v>65</v>
      </c>
      <c r="F159" t="s">
        <v>216</v>
      </c>
      <c r="G159" t="s">
        <v>266</v>
      </c>
      <c r="H159" t="s">
        <v>270</v>
      </c>
      <c r="I159" t="s">
        <v>267</v>
      </c>
    </row>
    <row r="160" spans="1:9" x14ac:dyDescent="0.45">
      <c r="A160" t="s">
        <v>63</v>
      </c>
      <c r="B160" t="s">
        <v>64</v>
      </c>
      <c r="C160" t="s">
        <v>39</v>
      </c>
      <c r="D160" t="s">
        <v>40</v>
      </c>
      <c r="E160" t="s">
        <v>65</v>
      </c>
      <c r="F160" t="s">
        <v>271</v>
      </c>
      <c r="G160" t="s">
        <v>272</v>
      </c>
      <c r="H160" t="s">
        <v>404</v>
      </c>
      <c r="I160" t="s">
        <v>273</v>
      </c>
    </row>
    <row r="161" spans="1:9" x14ac:dyDescent="0.45">
      <c r="A161" t="s">
        <v>63</v>
      </c>
      <c r="B161" t="s">
        <v>64</v>
      </c>
      <c r="C161" t="s">
        <v>39</v>
      </c>
      <c r="D161" t="s">
        <v>40</v>
      </c>
      <c r="E161" t="s">
        <v>65</v>
      </c>
      <c r="F161" t="s">
        <v>271</v>
      </c>
      <c r="G161" t="s">
        <v>277</v>
      </c>
      <c r="H161" t="s">
        <v>404</v>
      </c>
      <c r="I161" t="s">
        <v>273</v>
      </c>
    </row>
    <row r="162" spans="1:9" x14ac:dyDescent="0.45">
      <c r="A162" t="s">
        <v>63</v>
      </c>
      <c r="B162" t="s">
        <v>64</v>
      </c>
      <c r="C162" t="s">
        <v>39</v>
      </c>
      <c r="D162" t="s">
        <v>40</v>
      </c>
      <c r="E162" t="s">
        <v>65</v>
      </c>
      <c r="F162" t="s">
        <v>289</v>
      </c>
      <c r="G162" t="s">
        <v>306</v>
      </c>
      <c r="H162" t="s">
        <v>416</v>
      </c>
      <c r="I162" t="s">
        <v>308</v>
      </c>
    </row>
    <row r="163" spans="1:9" x14ac:dyDescent="0.45">
      <c r="A163" t="s">
        <v>63</v>
      </c>
      <c r="B163" t="s">
        <v>64</v>
      </c>
      <c r="C163" t="s">
        <v>39</v>
      </c>
      <c r="D163" t="s">
        <v>40</v>
      </c>
      <c r="E163" t="s">
        <v>65</v>
      </c>
      <c r="F163" t="s">
        <v>289</v>
      </c>
      <c r="G163" t="s">
        <v>317</v>
      </c>
      <c r="H163" t="s">
        <v>417</v>
      </c>
    </row>
    <row r="164" spans="1:9" x14ac:dyDescent="0.45">
      <c r="A164" t="s">
        <v>63</v>
      </c>
      <c r="B164" t="s">
        <v>64</v>
      </c>
      <c r="C164" t="s">
        <v>39</v>
      </c>
      <c r="D164" t="s">
        <v>40</v>
      </c>
      <c r="E164" t="s">
        <v>65</v>
      </c>
      <c r="F164" t="s">
        <v>329</v>
      </c>
      <c r="G164" t="s">
        <v>330</v>
      </c>
      <c r="H164" t="s">
        <v>419</v>
      </c>
      <c r="I164" t="s">
        <v>331</v>
      </c>
    </row>
    <row r="165" spans="1:9" x14ac:dyDescent="0.45">
      <c r="A165" t="s">
        <v>63</v>
      </c>
      <c r="B165" t="s">
        <v>64</v>
      </c>
      <c r="C165" t="s">
        <v>39</v>
      </c>
      <c r="D165" t="s">
        <v>40</v>
      </c>
      <c r="E165" t="s">
        <v>65</v>
      </c>
      <c r="F165" t="s">
        <v>329</v>
      </c>
      <c r="G165" t="s">
        <v>351</v>
      </c>
      <c r="H165" t="s">
        <v>421</v>
      </c>
      <c r="I165" t="s">
        <v>352</v>
      </c>
    </row>
    <row r="166" spans="1:9" x14ac:dyDescent="0.45">
      <c r="A166" t="s">
        <v>63</v>
      </c>
      <c r="B166" t="s">
        <v>64</v>
      </c>
      <c r="C166" t="s">
        <v>39</v>
      </c>
      <c r="D166" t="s">
        <v>40</v>
      </c>
      <c r="E166" t="s">
        <v>65</v>
      </c>
      <c r="F166" t="s">
        <v>329</v>
      </c>
      <c r="G166" t="s">
        <v>354</v>
      </c>
      <c r="H166" t="s">
        <v>357</v>
      </c>
      <c r="I166" t="s">
        <v>355</v>
      </c>
    </row>
    <row r="167" spans="1:9" x14ac:dyDescent="0.45">
      <c r="A167" t="s">
        <v>63</v>
      </c>
      <c r="B167" t="s">
        <v>64</v>
      </c>
      <c r="C167" t="s">
        <v>39</v>
      </c>
      <c r="D167" t="s">
        <v>40</v>
      </c>
      <c r="E167" t="s">
        <v>65</v>
      </c>
      <c r="F167" t="s">
        <v>427</v>
      </c>
      <c r="G167" t="s">
        <v>428</v>
      </c>
      <c r="H167" t="s">
        <v>467</v>
      </c>
      <c r="I167" t="s">
        <v>429</v>
      </c>
    </row>
    <row r="168" spans="1:9" x14ac:dyDescent="0.45">
      <c r="A168" t="s">
        <v>63</v>
      </c>
      <c r="B168" t="s">
        <v>64</v>
      </c>
      <c r="C168" t="s">
        <v>39</v>
      </c>
      <c r="D168" t="s">
        <v>40</v>
      </c>
      <c r="E168" t="s">
        <v>65</v>
      </c>
      <c r="F168" t="s">
        <v>427</v>
      </c>
      <c r="G168" t="s">
        <v>510</v>
      </c>
      <c r="H168" t="s">
        <v>513</v>
      </c>
    </row>
    <row r="169" spans="1:9" x14ac:dyDescent="0.45">
      <c r="A169" t="s">
        <v>63</v>
      </c>
      <c r="B169" t="s">
        <v>64</v>
      </c>
      <c r="C169" t="s">
        <v>39</v>
      </c>
      <c r="D169" t="s">
        <v>40</v>
      </c>
      <c r="E169" t="s">
        <v>65</v>
      </c>
      <c r="F169" t="s">
        <v>427</v>
      </c>
      <c r="G169" t="s">
        <v>441</v>
      </c>
      <c r="H169" t="s">
        <v>514</v>
      </c>
    </row>
    <row r="170" spans="1:9" x14ac:dyDescent="0.45">
      <c r="A170" t="s">
        <v>66</v>
      </c>
      <c r="B170" t="s">
        <v>67</v>
      </c>
      <c r="C170" t="s">
        <v>39</v>
      </c>
      <c r="D170" t="s">
        <v>44</v>
      </c>
      <c r="E170" t="s">
        <v>68</v>
      </c>
      <c r="F170" t="s">
        <v>132</v>
      </c>
      <c r="G170" t="s">
        <v>21</v>
      </c>
      <c r="H170" t="s">
        <v>384</v>
      </c>
      <c r="I170" t="s">
        <v>380</v>
      </c>
    </row>
    <row r="171" spans="1:9" x14ac:dyDescent="0.45">
      <c r="A171" t="s">
        <v>66</v>
      </c>
      <c r="B171" t="s">
        <v>67</v>
      </c>
      <c r="C171" t="s">
        <v>39</v>
      </c>
      <c r="D171" t="s">
        <v>44</v>
      </c>
      <c r="E171" t="s">
        <v>68</v>
      </c>
      <c r="F171" t="s">
        <v>132</v>
      </c>
      <c r="G171" t="s">
        <v>20</v>
      </c>
      <c r="H171" t="s">
        <v>466</v>
      </c>
      <c r="I171" t="s">
        <v>385</v>
      </c>
    </row>
    <row r="172" spans="1:9" x14ac:dyDescent="0.45">
      <c r="A172" t="s">
        <v>66</v>
      </c>
      <c r="B172" t="s">
        <v>67</v>
      </c>
      <c r="C172" t="s">
        <v>39</v>
      </c>
      <c r="D172" t="s">
        <v>44</v>
      </c>
      <c r="E172" t="s">
        <v>68</v>
      </c>
      <c r="F172" t="s">
        <v>154</v>
      </c>
      <c r="G172" t="s">
        <v>182</v>
      </c>
      <c r="H172" t="s">
        <v>186</v>
      </c>
      <c r="I172" t="s">
        <v>183</v>
      </c>
    </row>
    <row r="173" spans="1:9" x14ac:dyDescent="0.45">
      <c r="A173" t="s">
        <v>66</v>
      </c>
      <c r="B173" t="s">
        <v>67</v>
      </c>
      <c r="C173" t="s">
        <v>39</v>
      </c>
      <c r="D173" t="s">
        <v>44</v>
      </c>
      <c r="E173" t="s">
        <v>68</v>
      </c>
      <c r="F173" t="s">
        <v>154</v>
      </c>
      <c r="G173" t="s">
        <v>207</v>
      </c>
      <c r="H173" t="s">
        <v>211</v>
      </c>
      <c r="I173" t="s">
        <v>208</v>
      </c>
    </row>
    <row r="174" spans="1:9" x14ac:dyDescent="0.45">
      <c r="A174" t="s">
        <v>66</v>
      </c>
      <c r="B174" t="s">
        <v>67</v>
      </c>
      <c r="C174" t="s">
        <v>39</v>
      </c>
      <c r="D174" t="s">
        <v>44</v>
      </c>
      <c r="E174" t="s">
        <v>68</v>
      </c>
      <c r="F174" t="s">
        <v>216</v>
      </c>
      <c r="G174" t="s">
        <v>261</v>
      </c>
      <c r="H174" t="s">
        <v>265</v>
      </c>
      <c r="I174" t="s">
        <v>262</v>
      </c>
    </row>
    <row r="175" spans="1:9" x14ac:dyDescent="0.45">
      <c r="A175" t="s">
        <v>66</v>
      </c>
      <c r="B175" t="s">
        <v>67</v>
      </c>
      <c r="C175" t="s">
        <v>39</v>
      </c>
      <c r="D175" t="s">
        <v>44</v>
      </c>
      <c r="E175" t="s">
        <v>68</v>
      </c>
      <c r="F175" t="s">
        <v>216</v>
      </c>
      <c r="G175" t="s">
        <v>266</v>
      </c>
      <c r="H175" t="s">
        <v>270</v>
      </c>
      <c r="I175" t="s">
        <v>267</v>
      </c>
    </row>
    <row r="176" spans="1:9" x14ac:dyDescent="0.45">
      <c r="A176" t="s">
        <v>66</v>
      </c>
      <c r="B176" t="s">
        <v>67</v>
      </c>
      <c r="C176" t="s">
        <v>39</v>
      </c>
      <c r="D176" t="s">
        <v>44</v>
      </c>
      <c r="E176" t="s">
        <v>68</v>
      </c>
      <c r="F176" t="s">
        <v>271</v>
      </c>
      <c r="G176" t="s">
        <v>272</v>
      </c>
      <c r="H176" t="s">
        <v>404</v>
      </c>
      <c r="I176" t="s">
        <v>273</v>
      </c>
    </row>
    <row r="177" spans="1:9" x14ac:dyDescent="0.45">
      <c r="A177" t="s">
        <v>66</v>
      </c>
      <c r="B177" t="s">
        <v>67</v>
      </c>
      <c r="C177" t="s">
        <v>39</v>
      </c>
      <c r="D177" t="s">
        <v>44</v>
      </c>
      <c r="E177" t="s">
        <v>68</v>
      </c>
      <c r="F177" t="s">
        <v>271</v>
      </c>
      <c r="G177" t="s">
        <v>277</v>
      </c>
      <c r="H177" t="s">
        <v>404</v>
      </c>
      <c r="I177" t="s">
        <v>273</v>
      </c>
    </row>
    <row r="178" spans="1:9" x14ac:dyDescent="0.45">
      <c r="A178" t="s">
        <v>66</v>
      </c>
      <c r="B178" t="s">
        <v>67</v>
      </c>
      <c r="C178" t="s">
        <v>39</v>
      </c>
      <c r="D178" t="s">
        <v>44</v>
      </c>
      <c r="E178" t="s">
        <v>68</v>
      </c>
      <c r="F178" t="s">
        <v>289</v>
      </c>
      <c r="G178" t="s">
        <v>306</v>
      </c>
      <c r="H178" t="s">
        <v>416</v>
      </c>
      <c r="I178" t="s">
        <v>308</v>
      </c>
    </row>
    <row r="179" spans="1:9" x14ac:dyDescent="0.45">
      <c r="A179" t="s">
        <v>66</v>
      </c>
      <c r="B179" t="s">
        <v>67</v>
      </c>
      <c r="C179" t="s">
        <v>39</v>
      </c>
      <c r="D179" t="s">
        <v>44</v>
      </c>
      <c r="E179" t="s">
        <v>68</v>
      </c>
      <c r="F179" t="s">
        <v>289</v>
      </c>
      <c r="G179" t="s">
        <v>317</v>
      </c>
      <c r="H179" t="s">
        <v>417</v>
      </c>
    </row>
    <row r="180" spans="1:9" x14ac:dyDescent="0.45">
      <c r="A180" t="s">
        <v>66</v>
      </c>
      <c r="B180" t="s">
        <v>67</v>
      </c>
      <c r="C180" t="s">
        <v>39</v>
      </c>
      <c r="D180" t="s">
        <v>44</v>
      </c>
      <c r="E180" t="s">
        <v>68</v>
      </c>
      <c r="F180" t="s">
        <v>329</v>
      </c>
      <c r="G180" t="s">
        <v>330</v>
      </c>
      <c r="H180" t="s">
        <v>419</v>
      </c>
      <c r="I180" t="s">
        <v>331</v>
      </c>
    </row>
    <row r="181" spans="1:9" x14ac:dyDescent="0.45">
      <c r="A181" t="s">
        <v>66</v>
      </c>
      <c r="B181" t="s">
        <v>67</v>
      </c>
      <c r="C181" t="s">
        <v>39</v>
      </c>
      <c r="D181" t="s">
        <v>44</v>
      </c>
      <c r="E181" t="s">
        <v>68</v>
      </c>
      <c r="F181" t="s">
        <v>329</v>
      </c>
      <c r="G181" t="s">
        <v>351</v>
      </c>
      <c r="H181" t="s">
        <v>421</v>
      </c>
      <c r="I181" t="s">
        <v>352</v>
      </c>
    </row>
    <row r="182" spans="1:9" x14ac:dyDescent="0.45">
      <c r="A182" t="s">
        <v>66</v>
      </c>
      <c r="B182" t="s">
        <v>67</v>
      </c>
      <c r="C182" t="s">
        <v>39</v>
      </c>
      <c r="D182" t="s">
        <v>44</v>
      </c>
      <c r="E182" t="s">
        <v>68</v>
      </c>
      <c r="F182" t="s">
        <v>329</v>
      </c>
      <c r="G182" t="s">
        <v>354</v>
      </c>
      <c r="H182" t="s">
        <v>357</v>
      </c>
      <c r="I182" t="s">
        <v>355</v>
      </c>
    </row>
    <row r="183" spans="1:9" x14ac:dyDescent="0.45">
      <c r="A183" t="s">
        <v>66</v>
      </c>
      <c r="B183" t="s">
        <v>67</v>
      </c>
      <c r="C183" t="s">
        <v>39</v>
      </c>
      <c r="D183" t="s">
        <v>44</v>
      </c>
      <c r="E183" t="s">
        <v>68</v>
      </c>
      <c r="F183" t="s">
        <v>427</v>
      </c>
      <c r="G183" t="s">
        <v>428</v>
      </c>
      <c r="H183" t="s">
        <v>432</v>
      </c>
      <c r="I183" t="s">
        <v>429</v>
      </c>
    </row>
    <row r="184" spans="1:9" x14ac:dyDescent="0.45">
      <c r="A184" t="s">
        <v>66</v>
      </c>
      <c r="B184" t="s">
        <v>67</v>
      </c>
      <c r="C184" t="s">
        <v>39</v>
      </c>
      <c r="D184" t="s">
        <v>44</v>
      </c>
      <c r="E184" t="s">
        <v>68</v>
      </c>
      <c r="F184" t="s">
        <v>427</v>
      </c>
      <c r="G184" t="s">
        <v>517</v>
      </c>
      <c r="H184" t="s">
        <v>522</v>
      </c>
      <c r="I184" t="s">
        <v>518</v>
      </c>
    </row>
    <row r="185" spans="1:9" x14ac:dyDescent="0.45">
      <c r="A185" t="s">
        <v>66</v>
      </c>
      <c r="B185" t="s">
        <v>67</v>
      </c>
      <c r="C185" t="s">
        <v>39</v>
      </c>
      <c r="D185" t="s">
        <v>44</v>
      </c>
      <c r="E185" t="s">
        <v>68</v>
      </c>
      <c r="F185" t="s">
        <v>427</v>
      </c>
      <c r="G185" t="s">
        <v>523</v>
      </c>
      <c r="H185" t="s">
        <v>526</v>
      </c>
      <c r="I185" t="s">
        <v>524</v>
      </c>
    </row>
    <row r="186" spans="1:9" x14ac:dyDescent="0.45">
      <c r="A186" t="s">
        <v>66</v>
      </c>
      <c r="B186" t="s">
        <v>67</v>
      </c>
      <c r="C186" t="s">
        <v>39</v>
      </c>
      <c r="D186" t="s">
        <v>44</v>
      </c>
      <c r="E186" t="s">
        <v>68</v>
      </c>
      <c r="F186" t="s">
        <v>427</v>
      </c>
      <c r="G186" t="s">
        <v>441</v>
      </c>
      <c r="H186" t="s">
        <v>483</v>
      </c>
      <c r="I186" t="s">
        <v>442</v>
      </c>
    </row>
    <row r="187" spans="1:9" x14ac:dyDescent="0.45">
      <c r="A187" t="s">
        <v>69</v>
      </c>
      <c r="B187" t="s">
        <v>70</v>
      </c>
      <c r="C187" t="s">
        <v>39</v>
      </c>
      <c r="D187" t="s">
        <v>44</v>
      </c>
      <c r="E187" t="s">
        <v>71</v>
      </c>
      <c r="F187" t="s">
        <v>132</v>
      </c>
      <c r="G187" t="s">
        <v>21</v>
      </c>
      <c r="H187" t="s">
        <v>384</v>
      </c>
      <c r="I187" t="s">
        <v>380</v>
      </c>
    </row>
    <row r="188" spans="1:9" x14ac:dyDescent="0.45">
      <c r="A188" t="s">
        <v>69</v>
      </c>
      <c r="B188" t="s">
        <v>70</v>
      </c>
      <c r="C188" t="s">
        <v>39</v>
      </c>
      <c r="D188" t="s">
        <v>44</v>
      </c>
      <c r="E188" t="s">
        <v>71</v>
      </c>
      <c r="F188" t="s">
        <v>132</v>
      </c>
      <c r="G188" t="s">
        <v>20</v>
      </c>
      <c r="H188" t="s">
        <v>466</v>
      </c>
      <c r="I188" t="s">
        <v>385</v>
      </c>
    </row>
    <row r="189" spans="1:9" x14ac:dyDescent="0.45">
      <c r="A189" t="s">
        <v>69</v>
      </c>
      <c r="B189" t="s">
        <v>70</v>
      </c>
      <c r="C189" t="s">
        <v>39</v>
      </c>
      <c r="D189" t="s">
        <v>44</v>
      </c>
      <c r="E189" t="s">
        <v>71</v>
      </c>
      <c r="F189" t="s">
        <v>154</v>
      </c>
      <c r="G189" t="s">
        <v>182</v>
      </c>
      <c r="H189" t="s">
        <v>186</v>
      </c>
      <c r="I189" t="s">
        <v>183</v>
      </c>
    </row>
    <row r="190" spans="1:9" x14ac:dyDescent="0.45">
      <c r="A190" t="s">
        <v>69</v>
      </c>
      <c r="B190" t="s">
        <v>70</v>
      </c>
      <c r="C190" t="s">
        <v>39</v>
      </c>
      <c r="D190" t="s">
        <v>44</v>
      </c>
      <c r="E190" t="s">
        <v>71</v>
      </c>
      <c r="F190" t="s">
        <v>154</v>
      </c>
      <c r="G190" t="s">
        <v>207</v>
      </c>
      <c r="H190" t="s">
        <v>211</v>
      </c>
      <c r="I190" t="s">
        <v>208</v>
      </c>
    </row>
    <row r="191" spans="1:9" x14ac:dyDescent="0.45">
      <c r="A191" t="s">
        <v>69</v>
      </c>
      <c r="B191" t="s">
        <v>70</v>
      </c>
      <c r="C191" t="s">
        <v>39</v>
      </c>
      <c r="D191" t="s">
        <v>44</v>
      </c>
      <c r="E191" t="s">
        <v>71</v>
      </c>
      <c r="F191" t="s">
        <v>216</v>
      </c>
      <c r="G191" t="s">
        <v>261</v>
      </c>
      <c r="H191" t="s">
        <v>265</v>
      </c>
      <c r="I191" t="s">
        <v>262</v>
      </c>
    </row>
    <row r="192" spans="1:9" x14ac:dyDescent="0.45">
      <c r="A192" t="s">
        <v>69</v>
      </c>
      <c r="B192" t="s">
        <v>70</v>
      </c>
      <c r="C192" t="s">
        <v>39</v>
      </c>
      <c r="D192" t="s">
        <v>44</v>
      </c>
      <c r="E192" t="s">
        <v>71</v>
      </c>
      <c r="F192" t="s">
        <v>216</v>
      </c>
      <c r="G192" t="s">
        <v>266</v>
      </c>
      <c r="H192" t="s">
        <v>270</v>
      </c>
      <c r="I192" t="s">
        <v>267</v>
      </c>
    </row>
    <row r="193" spans="1:9" x14ac:dyDescent="0.45">
      <c r="A193" t="s">
        <v>69</v>
      </c>
      <c r="B193" t="s">
        <v>70</v>
      </c>
      <c r="C193" t="s">
        <v>39</v>
      </c>
      <c r="D193" t="s">
        <v>44</v>
      </c>
      <c r="E193" t="s">
        <v>71</v>
      </c>
      <c r="F193" t="s">
        <v>271</v>
      </c>
      <c r="G193" t="s">
        <v>272</v>
      </c>
      <c r="H193" t="s">
        <v>404</v>
      </c>
      <c r="I193" t="s">
        <v>273</v>
      </c>
    </row>
    <row r="194" spans="1:9" x14ac:dyDescent="0.45">
      <c r="A194" t="s">
        <v>69</v>
      </c>
      <c r="B194" t="s">
        <v>70</v>
      </c>
      <c r="C194" t="s">
        <v>39</v>
      </c>
      <c r="D194" t="s">
        <v>44</v>
      </c>
      <c r="E194" t="s">
        <v>71</v>
      </c>
      <c r="F194" t="s">
        <v>271</v>
      </c>
      <c r="G194" t="s">
        <v>277</v>
      </c>
      <c r="H194" t="s">
        <v>404</v>
      </c>
      <c r="I194" t="s">
        <v>273</v>
      </c>
    </row>
    <row r="195" spans="1:9" x14ac:dyDescent="0.45">
      <c r="A195" t="s">
        <v>69</v>
      </c>
      <c r="B195" t="s">
        <v>70</v>
      </c>
      <c r="C195" t="s">
        <v>39</v>
      </c>
      <c r="D195" t="s">
        <v>44</v>
      </c>
      <c r="E195" t="s">
        <v>71</v>
      </c>
      <c r="F195" t="s">
        <v>289</v>
      </c>
      <c r="G195" t="s">
        <v>306</v>
      </c>
      <c r="H195" t="s">
        <v>416</v>
      </c>
      <c r="I195" t="s">
        <v>308</v>
      </c>
    </row>
    <row r="196" spans="1:9" x14ac:dyDescent="0.45">
      <c r="A196" t="s">
        <v>69</v>
      </c>
      <c r="B196" t="s">
        <v>70</v>
      </c>
      <c r="C196" t="s">
        <v>39</v>
      </c>
      <c r="D196" t="s">
        <v>44</v>
      </c>
      <c r="E196" t="s">
        <v>71</v>
      </c>
      <c r="F196" t="s">
        <v>289</v>
      </c>
      <c r="G196" t="s">
        <v>317</v>
      </c>
      <c r="H196" t="s">
        <v>417</v>
      </c>
    </row>
    <row r="197" spans="1:9" x14ac:dyDescent="0.45">
      <c r="A197" t="s">
        <v>69</v>
      </c>
      <c r="B197" t="s">
        <v>70</v>
      </c>
      <c r="C197" t="s">
        <v>39</v>
      </c>
      <c r="D197" t="s">
        <v>44</v>
      </c>
      <c r="E197" t="s">
        <v>71</v>
      </c>
      <c r="F197" t="s">
        <v>329</v>
      </c>
      <c r="G197" t="s">
        <v>330</v>
      </c>
      <c r="H197" t="s">
        <v>419</v>
      </c>
      <c r="I197" t="s">
        <v>331</v>
      </c>
    </row>
    <row r="198" spans="1:9" x14ac:dyDescent="0.45">
      <c r="A198" t="s">
        <v>69</v>
      </c>
      <c r="B198" t="s">
        <v>70</v>
      </c>
      <c r="C198" t="s">
        <v>39</v>
      </c>
      <c r="D198" t="s">
        <v>44</v>
      </c>
      <c r="E198" t="s">
        <v>71</v>
      </c>
      <c r="F198" t="s">
        <v>329</v>
      </c>
      <c r="G198" t="s">
        <v>351</v>
      </c>
      <c r="H198" t="s">
        <v>421</v>
      </c>
      <c r="I198" t="s">
        <v>352</v>
      </c>
    </row>
    <row r="199" spans="1:9" x14ac:dyDescent="0.45">
      <c r="A199" t="s">
        <v>69</v>
      </c>
      <c r="B199" t="s">
        <v>70</v>
      </c>
      <c r="C199" t="s">
        <v>39</v>
      </c>
      <c r="D199" t="s">
        <v>44</v>
      </c>
      <c r="E199" t="s">
        <v>71</v>
      </c>
      <c r="F199" t="s">
        <v>329</v>
      </c>
      <c r="G199" t="s">
        <v>354</v>
      </c>
      <c r="H199" t="s">
        <v>357</v>
      </c>
      <c r="I199" t="s">
        <v>355</v>
      </c>
    </row>
    <row r="200" spans="1:9" x14ac:dyDescent="0.45">
      <c r="A200" t="s">
        <v>69</v>
      </c>
      <c r="B200" t="s">
        <v>70</v>
      </c>
      <c r="C200" t="s">
        <v>39</v>
      </c>
      <c r="D200" t="s">
        <v>44</v>
      </c>
      <c r="E200" t="s">
        <v>71</v>
      </c>
      <c r="F200" t="s">
        <v>427</v>
      </c>
      <c r="G200" t="s">
        <v>428</v>
      </c>
      <c r="H200" t="s">
        <v>432</v>
      </c>
      <c r="I200" t="s">
        <v>429</v>
      </c>
    </row>
    <row r="201" spans="1:9" x14ac:dyDescent="0.45">
      <c r="A201" t="s">
        <v>69</v>
      </c>
      <c r="B201" t="s">
        <v>70</v>
      </c>
      <c r="C201" t="s">
        <v>39</v>
      </c>
      <c r="D201" t="s">
        <v>44</v>
      </c>
      <c r="E201" t="s">
        <v>71</v>
      </c>
      <c r="F201" t="s">
        <v>427</v>
      </c>
      <c r="G201" t="s">
        <v>529</v>
      </c>
      <c r="H201" t="s">
        <v>532</v>
      </c>
      <c r="I201" t="s">
        <v>530</v>
      </c>
    </row>
    <row r="202" spans="1:9" x14ac:dyDescent="0.45">
      <c r="A202" t="s">
        <v>69</v>
      </c>
      <c r="B202" t="s">
        <v>70</v>
      </c>
      <c r="C202" t="s">
        <v>39</v>
      </c>
      <c r="D202" t="s">
        <v>44</v>
      </c>
      <c r="E202" t="s">
        <v>71</v>
      </c>
      <c r="F202" t="s">
        <v>427</v>
      </c>
      <c r="G202" t="s">
        <v>533</v>
      </c>
      <c r="H202" t="s">
        <v>536</v>
      </c>
      <c r="I202" t="s">
        <v>534</v>
      </c>
    </row>
    <row r="203" spans="1:9" x14ac:dyDescent="0.45">
      <c r="A203" t="s">
        <v>69</v>
      </c>
      <c r="B203" t="s">
        <v>70</v>
      </c>
      <c r="C203" t="s">
        <v>39</v>
      </c>
      <c r="D203" t="s">
        <v>44</v>
      </c>
      <c r="E203" t="s">
        <v>71</v>
      </c>
      <c r="F203" t="s">
        <v>427</v>
      </c>
      <c r="G203" t="s">
        <v>537</v>
      </c>
      <c r="H203" t="s">
        <v>540</v>
      </c>
      <c r="I203" t="s">
        <v>538</v>
      </c>
    </row>
    <row r="204" spans="1:9" x14ac:dyDescent="0.45">
      <c r="A204" t="s">
        <v>69</v>
      </c>
      <c r="B204" t="s">
        <v>70</v>
      </c>
      <c r="C204" t="s">
        <v>39</v>
      </c>
      <c r="D204" t="s">
        <v>44</v>
      </c>
      <c r="E204" t="s">
        <v>71</v>
      </c>
      <c r="F204" t="s">
        <v>427</v>
      </c>
      <c r="G204" t="s">
        <v>441</v>
      </c>
      <c r="H204" t="s">
        <v>483</v>
      </c>
      <c r="I204" t="s">
        <v>442</v>
      </c>
    </row>
    <row r="205" spans="1:9" x14ac:dyDescent="0.45">
      <c r="A205" t="s">
        <v>69</v>
      </c>
      <c r="B205" t="s">
        <v>70</v>
      </c>
      <c r="C205" t="s">
        <v>39</v>
      </c>
      <c r="D205" t="s">
        <v>44</v>
      </c>
      <c r="E205" t="s">
        <v>71</v>
      </c>
      <c r="F205" t="s">
        <v>427</v>
      </c>
      <c r="G205" t="s">
        <v>445</v>
      </c>
      <c r="H205" t="s">
        <v>477</v>
      </c>
      <c r="I205" t="s">
        <v>446</v>
      </c>
    </row>
    <row r="206" spans="1:9" x14ac:dyDescent="0.45">
      <c r="A206" t="s">
        <v>72</v>
      </c>
      <c r="B206" t="s">
        <v>73</v>
      </c>
      <c r="C206" t="s">
        <v>39</v>
      </c>
      <c r="D206" t="s">
        <v>44</v>
      </c>
      <c r="E206" t="s">
        <v>59</v>
      </c>
      <c r="F206" t="s">
        <v>132</v>
      </c>
      <c r="G206" t="s">
        <v>21</v>
      </c>
      <c r="H206" t="s">
        <v>384</v>
      </c>
      <c r="I206" t="s">
        <v>380</v>
      </c>
    </row>
    <row r="207" spans="1:9" x14ac:dyDescent="0.45">
      <c r="A207" t="s">
        <v>72</v>
      </c>
      <c r="B207" t="s">
        <v>73</v>
      </c>
      <c r="C207" t="s">
        <v>39</v>
      </c>
      <c r="D207" t="s">
        <v>44</v>
      </c>
      <c r="E207" t="s">
        <v>59</v>
      </c>
      <c r="F207" t="s">
        <v>132</v>
      </c>
      <c r="G207" t="s">
        <v>20</v>
      </c>
      <c r="H207" t="s">
        <v>466</v>
      </c>
      <c r="I207" t="s">
        <v>385</v>
      </c>
    </row>
    <row r="208" spans="1:9" x14ac:dyDescent="0.45">
      <c r="A208" t="s">
        <v>72</v>
      </c>
      <c r="B208" t="s">
        <v>73</v>
      </c>
      <c r="C208" t="s">
        <v>39</v>
      </c>
      <c r="D208" t="s">
        <v>44</v>
      </c>
      <c r="E208" t="s">
        <v>59</v>
      </c>
      <c r="F208" t="s">
        <v>154</v>
      </c>
      <c r="G208" t="s">
        <v>182</v>
      </c>
      <c r="H208" t="s">
        <v>186</v>
      </c>
      <c r="I208" t="s">
        <v>183</v>
      </c>
    </row>
    <row r="209" spans="1:9" x14ac:dyDescent="0.45">
      <c r="A209" t="s">
        <v>72</v>
      </c>
      <c r="B209" t="s">
        <v>73</v>
      </c>
      <c r="C209" t="s">
        <v>39</v>
      </c>
      <c r="D209" t="s">
        <v>44</v>
      </c>
      <c r="E209" t="s">
        <v>59</v>
      </c>
      <c r="F209" t="s">
        <v>154</v>
      </c>
      <c r="G209" t="s">
        <v>207</v>
      </c>
      <c r="H209" t="s">
        <v>211</v>
      </c>
      <c r="I209" t="s">
        <v>208</v>
      </c>
    </row>
    <row r="210" spans="1:9" x14ac:dyDescent="0.45">
      <c r="A210" t="s">
        <v>72</v>
      </c>
      <c r="B210" t="s">
        <v>73</v>
      </c>
      <c r="C210" t="s">
        <v>39</v>
      </c>
      <c r="D210" t="s">
        <v>44</v>
      </c>
      <c r="E210" t="s">
        <v>59</v>
      </c>
      <c r="F210" t="s">
        <v>216</v>
      </c>
      <c r="G210" t="s">
        <v>261</v>
      </c>
      <c r="H210" t="s">
        <v>265</v>
      </c>
      <c r="I210" t="s">
        <v>262</v>
      </c>
    </row>
    <row r="211" spans="1:9" x14ac:dyDescent="0.45">
      <c r="A211" t="s">
        <v>72</v>
      </c>
      <c r="B211" t="s">
        <v>73</v>
      </c>
      <c r="C211" t="s">
        <v>39</v>
      </c>
      <c r="D211" t="s">
        <v>44</v>
      </c>
      <c r="E211" t="s">
        <v>59</v>
      </c>
      <c r="F211" t="s">
        <v>216</v>
      </c>
      <c r="G211" t="s">
        <v>266</v>
      </c>
      <c r="H211" t="s">
        <v>270</v>
      </c>
      <c r="I211" t="s">
        <v>267</v>
      </c>
    </row>
    <row r="212" spans="1:9" x14ac:dyDescent="0.45">
      <c r="A212" t="s">
        <v>72</v>
      </c>
      <c r="B212" t="s">
        <v>73</v>
      </c>
      <c r="C212" t="s">
        <v>39</v>
      </c>
      <c r="D212" t="s">
        <v>44</v>
      </c>
      <c r="E212" t="s">
        <v>59</v>
      </c>
      <c r="F212" t="s">
        <v>271</v>
      </c>
      <c r="G212" t="s">
        <v>272</v>
      </c>
      <c r="H212" t="s">
        <v>404</v>
      </c>
      <c r="I212" t="s">
        <v>273</v>
      </c>
    </row>
    <row r="213" spans="1:9" x14ac:dyDescent="0.45">
      <c r="A213" t="s">
        <v>72</v>
      </c>
      <c r="B213" t="s">
        <v>73</v>
      </c>
      <c r="C213" t="s">
        <v>39</v>
      </c>
      <c r="D213" t="s">
        <v>44</v>
      </c>
      <c r="E213" t="s">
        <v>59</v>
      </c>
      <c r="F213" t="s">
        <v>271</v>
      </c>
      <c r="G213" t="s">
        <v>277</v>
      </c>
      <c r="H213" t="s">
        <v>404</v>
      </c>
      <c r="I213" t="s">
        <v>273</v>
      </c>
    </row>
    <row r="214" spans="1:9" x14ac:dyDescent="0.45">
      <c r="A214" t="s">
        <v>72</v>
      </c>
      <c r="B214" t="s">
        <v>73</v>
      </c>
      <c r="C214" t="s">
        <v>39</v>
      </c>
      <c r="D214" t="s">
        <v>44</v>
      </c>
      <c r="E214" t="s">
        <v>59</v>
      </c>
      <c r="F214" t="s">
        <v>289</v>
      </c>
      <c r="G214" t="s">
        <v>306</v>
      </c>
      <c r="H214" t="s">
        <v>416</v>
      </c>
      <c r="I214" t="s">
        <v>308</v>
      </c>
    </row>
    <row r="215" spans="1:9" x14ac:dyDescent="0.45">
      <c r="A215" t="s">
        <v>72</v>
      </c>
      <c r="B215" t="s">
        <v>73</v>
      </c>
      <c r="C215" t="s">
        <v>39</v>
      </c>
      <c r="D215" t="s">
        <v>44</v>
      </c>
      <c r="E215" t="s">
        <v>59</v>
      </c>
      <c r="F215" t="s">
        <v>289</v>
      </c>
      <c r="G215" t="s">
        <v>317</v>
      </c>
      <c r="H215" t="s">
        <v>417</v>
      </c>
    </row>
    <row r="216" spans="1:9" x14ac:dyDescent="0.45">
      <c r="A216" t="s">
        <v>72</v>
      </c>
      <c r="B216" t="s">
        <v>73</v>
      </c>
      <c r="C216" t="s">
        <v>39</v>
      </c>
      <c r="D216" t="s">
        <v>44</v>
      </c>
      <c r="E216" t="s">
        <v>59</v>
      </c>
      <c r="F216" t="s">
        <v>329</v>
      </c>
      <c r="G216" t="s">
        <v>330</v>
      </c>
      <c r="H216" t="s">
        <v>419</v>
      </c>
      <c r="I216" t="s">
        <v>331</v>
      </c>
    </row>
    <row r="217" spans="1:9" x14ac:dyDescent="0.45">
      <c r="A217" t="s">
        <v>72</v>
      </c>
      <c r="B217" t="s">
        <v>73</v>
      </c>
      <c r="C217" t="s">
        <v>39</v>
      </c>
      <c r="D217" t="s">
        <v>44</v>
      </c>
      <c r="E217" t="s">
        <v>59</v>
      </c>
      <c r="F217" t="s">
        <v>329</v>
      </c>
      <c r="G217" t="s">
        <v>351</v>
      </c>
      <c r="H217" t="s">
        <v>421</v>
      </c>
      <c r="I217" t="s">
        <v>352</v>
      </c>
    </row>
    <row r="218" spans="1:9" x14ac:dyDescent="0.45">
      <c r="A218" t="s">
        <v>72</v>
      </c>
      <c r="B218" t="s">
        <v>73</v>
      </c>
      <c r="C218" t="s">
        <v>39</v>
      </c>
      <c r="D218" t="s">
        <v>44</v>
      </c>
      <c r="E218" t="s">
        <v>59</v>
      </c>
      <c r="F218" t="s">
        <v>329</v>
      </c>
      <c r="G218" t="s">
        <v>354</v>
      </c>
      <c r="H218" t="s">
        <v>357</v>
      </c>
      <c r="I218" t="s">
        <v>355</v>
      </c>
    </row>
    <row r="219" spans="1:9" x14ac:dyDescent="0.45">
      <c r="A219" t="s">
        <v>72</v>
      </c>
      <c r="B219" t="s">
        <v>73</v>
      </c>
      <c r="C219" t="s">
        <v>39</v>
      </c>
      <c r="D219" t="s">
        <v>44</v>
      </c>
      <c r="E219" t="s">
        <v>59</v>
      </c>
      <c r="F219" t="s">
        <v>427</v>
      </c>
      <c r="G219" t="s">
        <v>428</v>
      </c>
      <c r="H219" t="s">
        <v>432</v>
      </c>
      <c r="I219" t="s">
        <v>429</v>
      </c>
    </row>
    <row r="220" spans="1:9" x14ac:dyDescent="0.45">
      <c r="A220" t="s">
        <v>72</v>
      </c>
      <c r="B220" t="s">
        <v>73</v>
      </c>
      <c r="C220" t="s">
        <v>39</v>
      </c>
      <c r="D220" t="s">
        <v>44</v>
      </c>
      <c r="E220" t="s">
        <v>59</v>
      </c>
      <c r="F220" t="s">
        <v>427</v>
      </c>
      <c r="G220" t="s">
        <v>486</v>
      </c>
      <c r="H220" t="s">
        <v>490</v>
      </c>
      <c r="I220" t="s">
        <v>487</v>
      </c>
    </row>
    <row r="221" spans="1:9" x14ac:dyDescent="0.45">
      <c r="A221" t="s">
        <v>72</v>
      </c>
      <c r="B221" t="s">
        <v>73</v>
      </c>
      <c r="C221" t="s">
        <v>39</v>
      </c>
      <c r="D221" t="s">
        <v>44</v>
      </c>
      <c r="E221" t="s">
        <v>59</v>
      </c>
      <c r="F221" t="s">
        <v>427</v>
      </c>
      <c r="G221" t="s">
        <v>441</v>
      </c>
      <c r="H221" t="s">
        <v>483</v>
      </c>
      <c r="I221" t="s">
        <v>442</v>
      </c>
    </row>
    <row r="222" spans="1:9" x14ac:dyDescent="0.45">
      <c r="A222" t="s">
        <v>72</v>
      </c>
      <c r="B222" t="s">
        <v>73</v>
      </c>
      <c r="C222" t="s">
        <v>39</v>
      </c>
      <c r="D222" t="s">
        <v>44</v>
      </c>
      <c r="E222" t="s">
        <v>59</v>
      </c>
      <c r="F222" t="s">
        <v>427</v>
      </c>
      <c r="G222" t="s">
        <v>445</v>
      </c>
      <c r="H222" t="s">
        <v>477</v>
      </c>
      <c r="I222" t="s">
        <v>446</v>
      </c>
    </row>
    <row r="223" spans="1:9" x14ac:dyDescent="0.45">
      <c r="A223" t="s">
        <v>74</v>
      </c>
      <c r="B223" t="s">
        <v>75</v>
      </c>
      <c r="C223" t="s">
        <v>39</v>
      </c>
      <c r="D223" t="s">
        <v>44</v>
      </c>
      <c r="E223" t="s">
        <v>62</v>
      </c>
      <c r="F223" t="s">
        <v>132</v>
      </c>
      <c r="G223" t="s">
        <v>21</v>
      </c>
      <c r="H223" t="s">
        <v>384</v>
      </c>
      <c r="I223" t="s">
        <v>380</v>
      </c>
    </row>
    <row r="224" spans="1:9" x14ac:dyDescent="0.45">
      <c r="A224" t="s">
        <v>74</v>
      </c>
      <c r="B224" t="s">
        <v>75</v>
      </c>
      <c r="C224" t="s">
        <v>39</v>
      </c>
      <c r="D224" t="s">
        <v>44</v>
      </c>
      <c r="E224" t="s">
        <v>62</v>
      </c>
      <c r="F224" t="s">
        <v>132</v>
      </c>
      <c r="G224" t="s">
        <v>20</v>
      </c>
      <c r="H224" t="s">
        <v>466</v>
      </c>
      <c r="I224" t="s">
        <v>385</v>
      </c>
    </row>
    <row r="225" spans="1:9" x14ac:dyDescent="0.45">
      <c r="A225" t="s">
        <v>74</v>
      </c>
      <c r="B225" t="s">
        <v>75</v>
      </c>
      <c r="C225" t="s">
        <v>39</v>
      </c>
      <c r="D225" t="s">
        <v>44</v>
      </c>
      <c r="E225" t="s">
        <v>62</v>
      </c>
      <c r="F225" t="s">
        <v>154</v>
      </c>
      <c r="G225" t="s">
        <v>182</v>
      </c>
      <c r="H225" t="s">
        <v>186</v>
      </c>
      <c r="I225" t="s">
        <v>183</v>
      </c>
    </row>
    <row r="226" spans="1:9" x14ac:dyDescent="0.45">
      <c r="A226" t="s">
        <v>74</v>
      </c>
      <c r="B226" t="s">
        <v>75</v>
      </c>
      <c r="C226" t="s">
        <v>39</v>
      </c>
      <c r="D226" t="s">
        <v>44</v>
      </c>
      <c r="E226" t="s">
        <v>62</v>
      </c>
      <c r="F226" t="s">
        <v>154</v>
      </c>
      <c r="G226" t="s">
        <v>207</v>
      </c>
      <c r="H226" t="s">
        <v>211</v>
      </c>
      <c r="I226" t="s">
        <v>208</v>
      </c>
    </row>
    <row r="227" spans="1:9" x14ac:dyDescent="0.45">
      <c r="A227" t="s">
        <v>74</v>
      </c>
      <c r="B227" t="s">
        <v>75</v>
      </c>
      <c r="C227" t="s">
        <v>39</v>
      </c>
      <c r="D227" t="s">
        <v>44</v>
      </c>
      <c r="E227" t="s">
        <v>62</v>
      </c>
      <c r="F227" t="s">
        <v>216</v>
      </c>
      <c r="G227" t="s">
        <v>261</v>
      </c>
      <c r="H227" t="s">
        <v>265</v>
      </c>
      <c r="I227" t="s">
        <v>262</v>
      </c>
    </row>
    <row r="228" spans="1:9" x14ac:dyDescent="0.45">
      <c r="A228" t="s">
        <v>74</v>
      </c>
      <c r="B228" t="s">
        <v>75</v>
      </c>
      <c r="C228" t="s">
        <v>39</v>
      </c>
      <c r="D228" t="s">
        <v>44</v>
      </c>
      <c r="E228" t="s">
        <v>62</v>
      </c>
      <c r="F228" t="s">
        <v>216</v>
      </c>
      <c r="G228" t="s">
        <v>266</v>
      </c>
      <c r="H228" t="s">
        <v>270</v>
      </c>
      <c r="I228" t="s">
        <v>267</v>
      </c>
    </row>
    <row r="229" spans="1:9" x14ac:dyDescent="0.45">
      <c r="A229" t="s">
        <v>74</v>
      </c>
      <c r="B229" t="s">
        <v>75</v>
      </c>
      <c r="C229" t="s">
        <v>39</v>
      </c>
      <c r="D229" t="s">
        <v>44</v>
      </c>
      <c r="E229" t="s">
        <v>62</v>
      </c>
      <c r="F229" t="s">
        <v>271</v>
      </c>
      <c r="G229" t="s">
        <v>272</v>
      </c>
      <c r="H229" t="s">
        <v>404</v>
      </c>
      <c r="I229" t="s">
        <v>273</v>
      </c>
    </row>
    <row r="230" spans="1:9" x14ac:dyDescent="0.45">
      <c r="A230" t="s">
        <v>74</v>
      </c>
      <c r="B230" t="s">
        <v>75</v>
      </c>
      <c r="C230" t="s">
        <v>39</v>
      </c>
      <c r="D230" t="s">
        <v>44</v>
      </c>
      <c r="E230" t="s">
        <v>62</v>
      </c>
      <c r="F230" t="s">
        <v>271</v>
      </c>
      <c r="G230" t="s">
        <v>277</v>
      </c>
      <c r="H230" t="s">
        <v>404</v>
      </c>
      <c r="I230" t="s">
        <v>273</v>
      </c>
    </row>
    <row r="231" spans="1:9" x14ac:dyDescent="0.45">
      <c r="A231" t="s">
        <v>74</v>
      </c>
      <c r="B231" t="s">
        <v>75</v>
      </c>
      <c r="C231" t="s">
        <v>39</v>
      </c>
      <c r="D231" t="s">
        <v>44</v>
      </c>
      <c r="E231" t="s">
        <v>62</v>
      </c>
      <c r="F231" t="s">
        <v>289</v>
      </c>
      <c r="G231" t="s">
        <v>306</v>
      </c>
      <c r="H231" t="s">
        <v>416</v>
      </c>
      <c r="I231" t="s">
        <v>308</v>
      </c>
    </row>
    <row r="232" spans="1:9" x14ac:dyDescent="0.45">
      <c r="A232" t="s">
        <v>74</v>
      </c>
      <c r="B232" t="s">
        <v>75</v>
      </c>
      <c r="C232" t="s">
        <v>39</v>
      </c>
      <c r="D232" t="s">
        <v>44</v>
      </c>
      <c r="E232" t="s">
        <v>62</v>
      </c>
      <c r="F232" t="s">
        <v>289</v>
      </c>
      <c r="G232" t="s">
        <v>317</v>
      </c>
      <c r="H232" t="s">
        <v>417</v>
      </c>
    </row>
    <row r="233" spans="1:9" x14ac:dyDescent="0.45">
      <c r="A233" t="s">
        <v>74</v>
      </c>
      <c r="B233" t="s">
        <v>75</v>
      </c>
      <c r="C233" t="s">
        <v>39</v>
      </c>
      <c r="D233" t="s">
        <v>44</v>
      </c>
      <c r="E233" t="s">
        <v>62</v>
      </c>
      <c r="F233" t="s">
        <v>329</v>
      </c>
      <c r="G233" t="s">
        <v>330</v>
      </c>
      <c r="H233" t="s">
        <v>419</v>
      </c>
      <c r="I233" t="s">
        <v>331</v>
      </c>
    </row>
    <row r="234" spans="1:9" x14ac:dyDescent="0.45">
      <c r="A234" t="s">
        <v>74</v>
      </c>
      <c r="B234" t="s">
        <v>75</v>
      </c>
      <c r="C234" t="s">
        <v>39</v>
      </c>
      <c r="D234" t="s">
        <v>44</v>
      </c>
      <c r="E234" t="s">
        <v>62</v>
      </c>
      <c r="F234" t="s">
        <v>329</v>
      </c>
      <c r="G234" t="s">
        <v>351</v>
      </c>
      <c r="H234" t="s">
        <v>421</v>
      </c>
      <c r="I234" t="s">
        <v>352</v>
      </c>
    </row>
    <row r="235" spans="1:9" x14ac:dyDescent="0.45">
      <c r="A235" t="s">
        <v>74</v>
      </c>
      <c r="B235" t="s">
        <v>75</v>
      </c>
      <c r="C235" t="s">
        <v>39</v>
      </c>
      <c r="D235" t="s">
        <v>44</v>
      </c>
      <c r="E235" t="s">
        <v>62</v>
      </c>
      <c r="F235" t="s">
        <v>329</v>
      </c>
      <c r="G235" t="s">
        <v>354</v>
      </c>
      <c r="H235" t="s">
        <v>357</v>
      </c>
      <c r="I235" t="s">
        <v>355</v>
      </c>
    </row>
    <row r="236" spans="1:9" x14ac:dyDescent="0.45">
      <c r="A236" t="s">
        <v>74</v>
      </c>
      <c r="B236" t="s">
        <v>75</v>
      </c>
      <c r="C236" t="s">
        <v>39</v>
      </c>
      <c r="D236" t="s">
        <v>44</v>
      </c>
      <c r="E236" t="s">
        <v>62</v>
      </c>
      <c r="F236" t="s">
        <v>427</v>
      </c>
      <c r="G236" t="s">
        <v>428</v>
      </c>
      <c r="H236" t="s">
        <v>432</v>
      </c>
      <c r="I236" t="s">
        <v>429</v>
      </c>
    </row>
    <row r="237" spans="1:9" x14ac:dyDescent="0.45">
      <c r="A237" t="s">
        <v>74</v>
      </c>
      <c r="B237" t="s">
        <v>75</v>
      </c>
      <c r="C237" t="s">
        <v>39</v>
      </c>
      <c r="D237" t="s">
        <v>44</v>
      </c>
      <c r="E237" t="s">
        <v>62</v>
      </c>
      <c r="F237" t="s">
        <v>427</v>
      </c>
      <c r="G237" t="s">
        <v>468</v>
      </c>
      <c r="H237" t="s">
        <v>502</v>
      </c>
      <c r="I237" t="s">
        <v>442</v>
      </c>
    </row>
    <row r="238" spans="1:9" x14ac:dyDescent="0.45">
      <c r="A238" t="s">
        <v>74</v>
      </c>
      <c r="B238" t="s">
        <v>75</v>
      </c>
      <c r="C238" t="s">
        <v>39</v>
      </c>
      <c r="D238" t="s">
        <v>44</v>
      </c>
      <c r="E238" t="s">
        <v>62</v>
      </c>
      <c r="F238" t="s">
        <v>427</v>
      </c>
      <c r="G238" t="s">
        <v>503</v>
      </c>
      <c r="H238" t="s">
        <v>505</v>
      </c>
      <c r="I238" t="s">
        <v>504</v>
      </c>
    </row>
    <row r="239" spans="1:9" x14ac:dyDescent="0.45">
      <c r="A239" t="s">
        <v>74</v>
      </c>
      <c r="B239" t="s">
        <v>75</v>
      </c>
      <c r="C239" t="s">
        <v>39</v>
      </c>
      <c r="D239" t="s">
        <v>44</v>
      </c>
      <c r="E239" t="s">
        <v>62</v>
      </c>
      <c r="F239" t="s">
        <v>427</v>
      </c>
      <c r="G239" t="s">
        <v>506</v>
      </c>
      <c r="H239" t="s">
        <v>502</v>
      </c>
      <c r="I239" t="s">
        <v>507</v>
      </c>
    </row>
    <row r="240" spans="1:9" x14ac:dyDescent="0.45">
      <c r="A240" t="s">
        <v>74</v>
      </c>
      <c r="B240" t="s">
        <v>75</v>
      </c>
      <c r="C240" t="s">
        <v>39</v>
      </c>
      <c r="D240" t="s">
        <v>44</v>
      </c>
      <c r="E240" t="s">
        <v>62</v>
      </c>
      <c r="F240" t="s">
        <v>427</v>
      </c>
      <c r="G240" t="s">
        <v>441</v>
      </c>
      <c r="H240" t="s">
        <v>476</v>
      </c>
    </row>
    <row r="241" spans="1:9" x14ac:dyDescent="0.45">
      <c r="A241" t="s">
        <v>76</v>
      </c>
      <c r="B241" t="s">
        <v>77</v>
      </c>
      <c r="C241" t="s">
        <v>39</v>
      </c>
      <c r="D241" t="s">
        <v>44</v>
      </c>
      <c r="E241" t="s">
        <v>78</v>
      </c>
      <c r="F241" t="s">
        <v>132</v>
      </c>
      <c r="G241" t="s">
        <v>21</v>
      </c>
      <c r="H241" t="s">
        <v>384</v>
      </c>
      <c r="I241" t="s">
        <v>380</v>
      </c>
    </row>
    <row r="242" spans="1:9" x14ac:dyDescent="0.45">
      <c r="A242" t="s">
        <v>76</v>
      </c>
      <c r="B242" t="s">
        <v>77</v>
      </c>
      <c r="C242" t="s">
        <v>39</v>
      </c>
      <c r="D242" t="s">
        <v>44</v>
      </c>
      <c r="E242" t="s">
        <v>78</v>
      </c>
      <c r="F242" t="s">
        <v>132</v>
      </c>
      <c r="G242" t="s">
        <v>20</v>
      </c>
      <c r="H242" t="s">
        <v>466</v>
      </c>
      <c r="I242" t="s">
        <v>385</v>
      </c>
    </row>
    <row r="243" spans="1:9" x14ac:dyDescent="0.45">
      <c r="A243" t="s">
        <v>76</v>
      </c>
      <c r="B243" t="s">
        <v>77</v>
      </c>
      <c r="C243" t="s">
        <v>39</v>
      </c>
      <c r="D243" t="s">
        <v>44</v>
      </c>
      <c r="E243" t="s">
        <v>78</v>
      </c>
      <c r="F243" t="s">
        <v>154</v>
      </c>
      <c r="G243" t="s">
        <v>182</v>
      </c>
      <c r="H243" t="s">
        <v>186</v>
      </c>
      <c r="I243" t="s">
        <v>183</v>
      </c>
    </row>
    <row r="244" spans="1:9" x14ac:dyDescent="0.45">
      <c r="A244" t="s">
        <v>76</v>
      </c>
      <c r="B244" t="s">
        <v>77</v>
      </c>
      <c r="C244" t="s">
        <v>39</v>
      </c>
      <c r="D244" t="s">
        <v>44</v>
      </c>
      <c r="E244" t="s">
        <v>78</v>
      </c>
      <c r="F244" t="s">
        <v>154</v>
      </c>
      <c r="G244" t="s">
        <v>207</v>
      </c>
      <c r="H244" t="s">
        <v>211</v>
      </c>
      <c r="I244" t="s">
        <v>208</v>
      </c>
    </row>
    <row r="245" spans="1:9" x14ac:dyDescent="0.45">
      <c r="A245" t="s">
        <v>76</v>
      </c>
      <c r="B245" t="s">
        <v>77</v>
      </c>
      <c r="C245" t="s">
        <v>39</v>
      </c>
      <c r="D245" t="s">
        <v>44</v>
      </c>
      <c r="E245" t="s">
        <v>78</v>
      </c>
      <c r="F245" t="s">
        <v>216</v>
      </c>
      <c r="G245" t="s">
        <v>261</v>
      </c>
      <c r="H245" t="s">
        <v>265</v>
      </c>
      <c r="I245" t="s">
        <v>262</v>
      </c>
    </row>
    <row r="246" spans="1:9" x14ac:dyDescent="0.45">
      <c r="A246" t="s">
        <v>76</v>
      </c>
      <c r="B246" t="s">
        <v>77</v>
      </c>
      <c r="C246" t="s">
        <v>39</v>
      </c>
      <c r="D246" t="s">
        <v>44</v>
      </c>
      <c r="E246" t="s">
        <v>78</v>
      </c>
      <c r="F246" t="s">
        <v>216</v>
      </c>
      <c r="G246" t="s">
        <v>266</v>
      </c>
      <c r="H246" t="s">
        <v>270</v>
      </c>
      <c r="I246" t="s">
        <v>267</v>
      </c>
    </row>
    <row r="247" spans="1:9" x14ac:dyDescent="0.45">
      <c r="A247" t="s">
        <v>76</v>
      </c>
      <c r="B247" t="s">
        <v>77</v>
      </c>
      <c r="C247" t="s">
        <v>39</v>
      </c>
      <c r="D247" t="s">
        <v>44</v>
      </c>
      <c r="E247" t="s">
        <v>78</v>
      </c>
      <c r="F247" t="s">
        <v>271</v>
      </c>
      <c r="G247" t="s">
        <v>272</v>
      </c>
      <c r="H247" t="s">
        <v>404</v>
      </c>
      <c r="I247" t="s">
        <v>273</v>
      </c>
    </row>
    <row r="248" spans="1:9" x14ac:dyDescent="0.45">
      <c r="A248" t="s">
        <v>76</v>
      </c>
      <c r="B248" t="s">
        <v>77</v>
      </c>
      <c r="C248" t="s">
        <v>39</v>
      </c>
      <c r="D248" t="s">
        <v>44</v>
      </c>
      <c r="E248" t="s">
        <v>78</v>
      </c>
      <c r="F248" t="s">
        <v>271</v>
      </c>
      <c r="G248" t="s">
        <v>277</v>
      </c>
      <c r="H248" t="s">
        <v>404</v>
      </c>
      <c r="I248" t="s">
        <v>273</v>
      </c>
    </row>
    <row r="249" spans="1:9" x14ac:dyDescent="0.45">
      <c r="A249" t="s">
        <v>76</v>
      </c>
      <c r="B249" t="s">
        <v>77</v>
      </c>
      <c r="C249" t="s">
        <v>39</v>
      </c>
      <c r="D249" t="s">
        <v>44</v>
      </c>
      <c r="E249" t="s">
        <v>78</v>
      </c>
      <c r="F249" t="s">
        <v>289</v>
      </c>
      <c r="G249" t="s">
        <v>306</v>
      </c>
      <c r="H249" t="s">
        <v>416</v>
      </c>
      <c r="I249" t="s">
        <v>308</v>
      </c>
    </row>
    <row r="250" spans="1:9" x14ac:dyDescent="0.45">
      <c r="A250" t="s">
        <v>76</v>
      </c>
      <c r="B250" t="s">
        <v>77</v>
      </c>
      <c r="C250" t="s">
        <v>39</v>
      </c>
      <c r="D250" t="s">
        <v>44</v>
      </c>
      <c r="E250" t="s">
        <v>78</v>
      </c>
      <c r="F250" t="s">
        <v>289</v>
      </c>
      <c r="G250" t="s">
        <v>317</v>
      </c>
      <c r="H250" t="s">
        <v>417</v>
      </c>
    </row>
    <row r="251" spans="1:9" x14ac:dyDescent="0.45">
      <c r="A251" t="s">
        <v>76</v>
      </c>
      <c r="B251" t="s">
        <v>77</v>
      </c>
      <c r="C251" t="s">
        <v>39</v>
      </c>
      <c r="D251" t="s">
        <v>44</v>
      </c>
      <c r="E251" t="s">
        <v>78</v>
      </c>
      <c r="F251" t="s">
        <v>329</v>
      </c>
      <c r="G251" t="s">
        <v>330</v>
      </c>
      <c r="H251" t="s">
        <v>419</v>
      </c>
      <c r="I251" t="s">
        <v>331</v>
      </c>
    </row>
    <row r="252" spans="1:9" x14ac:dyDescent="0.45">
      <c r="A252" t="s">
        <v>76</v>
      </c>
      <c r="B252" t="s">
        <v>77</v>
      </c>
      <c r="C252" t="s">
        <v>39</v>
      </c>
      <c r="D252" t="s">
        <v>44</v>
      </c>
      <c r="E252" t="s">
        <v>78</v>
      </c>
      <c r="F252" t="s">
        <v>329</v>
      </c>
      <c r="G252" t="s">
        <v>351</v>
      </c>
      <c r="H252" t="s">
        <v>421</v>
      </c>
      <c r="I252" t="s">
        <v>352</v>
      </c>
    </row>
    <row r="253" spans="1:9" x14ac:dyDescent="0.45">
      <c r="A253" t="s">
        <v>76</v>
      </c>
      <c r="B253" t="s">
        <v>77</v>
      </c>
      <c r="C253" t="s">
        <v>39</v>
      </c>
      <c r="D253" t="s">
        <v>44</v>
      </c>
      <c r="E253" t="s">
        <v>78</v>
      </c>
      <c r="F253" t="s">
        <v>329</v>
      </c>
      <c r="G253" t="s">
        <v>354</v>
      </c>
      <c r="H253" t="s">
        <v>357</v>
      </c>
      <c r="I253" t="s">
        <v>355</v>
      </c>
    </row>
    <row r="254" spans="1:9" x14ac:dyDescent="0.45">
      <c r="A254" t="s">
        <v>76</v>
      </c>
      <c r="B254" t="s">
        <v>77</v>
      </c>
      <c r="C254" t="s">
        <v>39</v>
      </c>
      <c r="D254" t="s">
        <v>44</v>
      </c>
      <c r="E254" t="s">
        <v>78</v>
      </c>
      <c r="F254" t="s">
        <v>427</v>
      </c>
      <c r="G254" t="s">
        <v>428</v>
      </c>
      <c r="H254" t="s">
        <v>432</v>
      </c>
      <c r="I254" t="s">
        <v>429</v>
      </c>
    </row>
    <row r="255" spans="1:9" x14ac:dyDescent="0.45">
      <c r="A255" t="s">
        <v>76</v>
      </c>
      <c r="B255" t="s">
        <v>77</v>
      </c>
      <c r="C255" t="s">
        <v>39</v>
      </c>
      <c r="D255" t="s">
        <v>44</v>
      </c>
      <c r="E255" t="s">
        <v>78</v>
      </c>
      <c r="F255" t="s">
        <v>427</v>
      </c>
      <c r="G255" t="s">
        <v>510</v>
      </c>
      <c r="H255" t="s">
        <v>546</v>
      </c>
      <c r="I255" t="s">
        <v>544</v>
      </c>
    </row>
    <row r="256" spans="1:9" x14ac:dyDescent="0.45">
      <c r="A256" t="s">
        <v>76</v>
      </c>
      <c r="B256" t="s">
        <v>77</v>
      </c>
      <c r="C256" t="s">
        <v>39</v>
      </c>
      <c r="D256" t="s">
        <v>44</v>
      </c>
      <c r="E256" t="s">
        <v>78</v>
      </c>
      <c r="F256" t="s">
        <v>427</v>
      </c>
      <c r="G256" t="s">
        <v>441</v>
      </c>
      <c r="H256" t="s">
        <v>483</v>
      </c>
      <c r="I256" t="s">
        <v>442</v>
      </c>
    </row>
    <row r="257" spans="1:9" x14ac:dyDescent="0.45">
      <c r="A257" t="s">
        <v>79</v>
      </c>
      <c r="B257" t="s">
        <v>80</v>
      </c>
      <c r="C257" t="s">
        <v>39</v>
      </c>
      <c r="D257" t="s">
        <v>81</v>
      </c>
      <c r="E257" t="s">
        <v>53</v>
      </c>
      <c r="F257" t="s">
        <v>132</v>
      </c>
      <c r="G257" t="s">
        <v>21</v>
      </c>
      <c r="H257" t="s">
        <v>384</v>
      </c>
      <c r="I257" t="s">
        <v>380</v>
      </c>
    </row>
    <row r="258" spans="1:9" x14ac:dyDescent="0.45">
      <c r="A258" t="s">
        <v>79</v>
      </c>
      <c r="B258" t="s">
        <v>80</v>
      </c>
      <c r="C258" t="s">
        <v>39</v>
      </c>
      <c r="D258" t="s">
        <v>81</v>
      </c>
      <c r="E258" t="s">
        <v>53</v>
      </c>
      <c r="F258" t="s">
        <v>132</v>
      </c>
      <c r="G258" t="s">
        <v>20</v>
      </c>
      <c r="H258" t="s">
        <v>466</v>
      </c>
      <c r="I258" t="s">
        <v>385</v>
      </c>
    </row>
    <row r="259" spans="1:9" x14ac:dyDescent="0.45">
      <c r="A259" t="s">
        <v>79</v>
      </c>
      <c r="B259" t="s">
        <v>80</v>
      </c>
      <c r="C259" t="s">
        <v>39</v>
      </c>
      <c r="D259" t="s">
        <v>81</v>
      </c>
      <c r="E259" t="s">
        <v>53</v>
      </c>
      <c r="F259" t="s">
        <v>154</v>
      </c>
      <c r="G259" t="s">
        <v>182</v>
      </c>
      <c r="H259" t="s">
        <v>186</v>
      </c>
      <c r="I259" t="s">
        <v>183</v>
      </c>
    </row>
    <row r="260" spans="1:9" x14ac:dyDescent="0.45">
      <c r="A260" t="s">
        <v>79</v>
      </c>
      <c r="B260" t="s">
        <v>80</v>
      </c>
      <c r="C260" t="s">
        <v>39</v>
      </c>
      <c r="D260" t="s">
        <v>81</v>
      </c>
      <c r="E260" t="s">
        <v>53</v>
      </c>
      <c r="F260" t="s">
        <v>154</v>
      </c>
      <c r="G260" t="s">
        <v>207</v>
      </c>
      <c r="H260" t="s">
        <v>211</v>
      </c>
      <c r="I260" t="s">
        <v>208</v>
      </c>
    </row>
    <row r="261" spans="1:9" x14ac:dyDescent="0.45">
      <c r="A261" t="s">
        <v>79</v>
      </c>
      <c r="B261" t="s">
        <v>80</v>
      </c>
      <c r="C261" t="s">
        <v>39</v>
      </c>
      <c r="D261" t="s">
        <v>81</v>
      </c>
      <c r="E261" t="s">
        <v>53</v>
      </c>
      <c r="F261" t="s">
        <v>216</v>
      </c>
      <c r="G261" t="s">
        <v>261</v>
      </c>
      <c r="H261" t="s">
        <v>265</v>
      </c>
      <c r="I261" t="s">
        <v>262</v>
      </c>
    </row>
    <row r="262" spans="1:9" x14ac:dyDescent="0.45">
      <c r="A262" t="s">
        <v>79</v>
      </c>
      <c r="B262" t="s">
        <v>80</v>
      </c>
      <c r="C262" t="s">
        <v>39</v>
      </c>
      <c r="D262" t="s">
        <v>81</v>
      </c>
      <c r="E262" t="s">
        <v>53</v>
      </c>
      <c r="F262" t="s">
        <v>216</v>
      </c>
      <c r="G262" t="s">
        <v>266</v>
      </c>
      <c r="H262" t="s">
        <v>270</v>
      </c>
      <c r="I262" t="s">
        <v>267</v>
      </c>
    </row>
    <row r="263" spans="1:9" x14ac:dyDescent="0.45">
      <c r="A263" t="s">
        <v>79</v>
      </c>
      <c r="B263" t="s">
        <v>80</v>
      </c>
      <c r="C263" t="s">
        <v>39</v>
      </c>
      <c r="D263" t="s">
        <v>81</v>
      </c>
      <c r="E263" t="s">
        <v>53</v>
      </c>
      <c r="F263" t="s">
        <v>271</v>
      </c>
      <c r="G263" t="s">
        <v>272</v>
      </c>
      <c r="H263" t="s">
        <v>404</v>
      </c>
      <c r="I263" t="s">
        <v>273</v>
      </c>
    </row>
    <row r="264" spans="1:9" x14ac:dyDescent="0.45">
      <c r="A264" t="s">
        <v>79</v>
      </c>
      <c r="B264" t="s">
        <v>80</v>
      </c>
      <c r="C264" t="s">
        <v>39</v>
      </c>
      <c r="D264" t="s">
        <v>81</v>
      </c>
      <c r="E264" t="s">
        <v>53</v>
      </c>
      <c r="F264" t="s">
        <v>271</v>
      </c>
      <c r="G264" t="s">
        <v>277</v>
      </c>
      <c r="H264" t="s">
        <v>404</v>
      </c>
      <c r="I264" t="s">
        <v>273</v>
      </c>
    </row>
    <row r="265" spans="1:9" x14ac:dyDescent="0.45">
      <c r="A265" t="s">
        <v>79</v>
      </c>
      <c r="B265" t="s">
        <v>80</v>
      </c>
      <c r="C265" t="s">
        <v>39</v>
      </c>
      <c r="D265" t="s">
        <v>81</v>
      </c>
      <c r="E265" t="s">
        <v>53</v>
      </c>
      <c r="F265" t="s">
        <v>289</v>
      </c>
      <c r="G265" t="s">
        <v>306</v>
      </c>
      <c r="H265" t="s">
        <v>416</v>
      </c>
      <c r="I265" t="s">
        <v>308</v>
      </c>
    </row>
    <row r="266" spans="1:9" x14ac:dyDescent="0.45">
      <c r="A266" t="s">
        <v>79</v>
      </c>
      <c r="B266" t="s">
        <v>80</v>
      </c>
      <c r="C266" t="s">
        <v>39</v>
      </c>
      <c r="D266" t="s">
        <v>81</v>
      </c>
      <c r="E266" t="s">
        <v>53</v>
      </c>
      <c r="F266" t="s">
        <v>289</v>
      </c>
      <c r="G266" t="s">
        <v>317</v>
      </c>
      <c r="H266" t="s">
        <v>417</v>
      </c>
    </row>
    <row r="267" spans="1:9" x14ac:dyDescent="0.45">
      <c r="A267" t="s">
        <v>79</v>
      </c>
      <c r="B267" t="s">
        <v>80</v>
      </c>
      <c r="C267" t="s">
        <v>39</v>
      </c>
      <c r="D267" t="s">
        <v>81</v>
      </c>
      <c r="E267" t="s">
        <v>53</v>
      </c>
      <c r="F267" t="s">
        <v>329</v>
      </c>
      <c r="G267" t="s">
        <v>330</v>
      </c>
      <c r="H267" t="s">
        <v>419</v>
      </c>
      <c r="I267" t="s">
        <v>331</v>
      </c>
    </row>
    <row r="268" spans="1:9" x14ac:dyDescent="0.45">
      <c r="A268" t="s">
        <v>79</v>
      </c>
      <c r="B268" t="s">
        <v>80</v>
      </c>
      <c r="C268" t="s">
        <v>39</v>
      </c>
      <c r="D268" t="s">
        <v>81</v>
      </c>
      <c r="E268" t="s">
        <v>53</v>
      </c>
      <c r="F268" t="s">
        <v>329</v>
      </c>
      <c r="G268" t="s">
        <v>351</v>
      </c>
      <c r="H268" t="s">
        <v>421</v>
      </c>
      <c r="I268" t="s">
        <v>352</v>
      </c>
    </row>
    <row r="269" spans="1:9" x14ac:dyDescent="0.45">
      <c r="A269" t="s">
        <v>79</v>
      </c>
      <c r="B269" t="s">
        <v>80</v>
      </c>
      <c r="C269" t="s">
        <v>39</v>
      </c>
      <c r="D269" t="s">
        <v>81</v>
      </c>
      <c r="E269" t="s">
        <v>53</v>
      </c>
      <c r="F269" t="s">
        <v>329</v>
      </c>
      <c r="G269" t="s">
        <v>354</v>
      </c>
      <c r="H269" t="s">
        <v>357</v>
      </c>
      <c r="I269" t="s">
        <v>355</v>
      </c>
    </row>
    <row r="270" spans="1:9" x14ac:dyDescent="0.45">
      <c r="A270" t="s">
        <v>79</v>
      </c>
      <c r="B270" t="s">
        <v>80</v>
      </c>
      <c r="C270" t="s">
        <v>39</v>
      </c>
      <c r="D270" t="s">
        <v>81</v>
      </c>
      <c r="E270" t="s">
        <v>53</v>
      </c>
      <c r="F270" t="s">
        <v>427</v>
      </c>
      <c r="G270" t="s">
        <v>428</v>
      </c>
      <c r="H270" t="s">
        <v>432</v>
      </c>
      <c r="I270" t="s">
        <v>429</v>
      </c>
    </row>
    <row r="271" spans="1:9" x14ac:dyDescent="0.45">
      <c r="A271" t="s">
        <v>79</v>
      </c>
      <c r="B271" t="s">
        <v>80</v>
      </c>
      <c r="C271" t="s">
        <v>39</v>
      </c>
      <c r="D271" t="s">
        <v>81</v>
      </c>
      <c r="E271" t="s">
        <v>53</v>
      </c>
      <c r="F271" t="s">
        <v>427</v>
      </c>
      <c r="G271" t="s">
        <v>472</v>
      </c>
      <c r="H271" t="s">
        <v>475</v>
      </c>
      <c r="I271" t="s">
        <v>473</v>
      </c>
    </row>
    <row r="272" spans="1:9" x14ac:dyDescent="0.45">
      <c r="A272" t="s">
        <v>79</v>
      </c>
      <c r="B272" t="s">
        <v>80</v>
      </c>
      <c r="C272" t="s">
        <v>39</v>
      </c>
      <c r="D272" t="s">
        <v>81</v>
      </c>
      <c r="E272" t="s">
        <v>53</v>
      </c>
      <c r="F272" t="s">
        <v>427</v>
      </c>
      <c r="G272" t="s">
        <v>441</v>
      </c>
      <c r="H272" t="s">
        <v>483</v>
      </c>
      <c r="I272" t="s">
        <v>442</v>
      </c>
    </row>
    <row r="273" spans="1:9" x14ac:dyDescent="0.45">
      <c r="A273" t="s">
        <v>79</v>
      </c>
      <c r="B273" t="s">
        <v>80</v>
      </c>
      <c r="C273" t="s">
        <v>39</v>
      </c>
      <c r="D273" t="s">
        <v>81</v>
      </c>
      <c r="E273" t="s">
        <v>53</v>
      </c>
      <c r="F273" t="s">
        <v>427</v>
      </c>
      <c r="G273" t="s">
        <v>445</v>
      </c>
      <c r="H273" t="s">
        <v>477</v>
      </c>
      <c r="I273" t="s">
        <v>446</v>
      </c>
    </row>
    <row r="274" spans="1:9" x14ac:dyDescent="0.45">
      <c r="A274" t="s">
        <v>82</v>
      </c>
      <c r="B274" t="s">
        <v>83</v>
      </c>
      <c r="C274" t="s">
        <v>39</v>
      </c>
      <c r="D274" t="s">
        <v>81</v>
      </c>
      <c r="E274" t="s">
        <v>59</v>
      </c>
      <c r="F274" t="s">
        <v>132</v>
      </c>
      <c r="G274" t="s">
        <v>21</v>
      </c>
      <c r="H274" t="s">
        <v>384</v>
      </c>
      <c r="I274" t="s">
        <v>380</v>
      </c>
    </row>
    <row r="275" spans="1:9" x14ac:dyDescent="0.45">
      <c r="A275" t="s">
        <v>82</v>
      </c>
      <c r="B275" t="s">
        <v>83</v>
      </c>
      <c r="C275" t="s">
        <v>39</v>
      </c>
      <c r="D275" t="s">
        <v>81</v>
      </c>
      <c r="E275" t="s">
        <v>59</v>
      </c>
      <c r="F275" t="s">
        <v>132</v>
      </c>
      <c r="G275" t="s">
        <v>20</v>
      </c>
      <c r="H275" t="s">
        <v>466</v>
      </c>
      <c r="I275" t="s">
        <v>385</v>
      </c>
    </row>
    <row r="276" spans="1:9" x14ac:dyDescent="0.45">
      <c r="A276" t="s">
        <v>82</v>
      </c>
      <c r="B276" t="s">
        <v>83</v>
      </c>
      <c r="C276" t="s">
        <v>39</v>
      </c>
      <c r="D276" t="s">
        <v>81</v>
      </c>
      <c r="E276" t="s">
        <v>59</v>
      </c>
      <c r="F276" t="s">
        <v>154</v>
      </c>
      <c r="G276" t="s">
        <v>182</v>
      </c>
      <c r="H276" t="s">
        <v>186</v>
      </c>
      <c r="I276" t="s">
        <v>183</v>
      </c>
    </row>
    <row r="277" spans="1:9" x14ac:dyDescent="0.45">
      <c r="A277" t="s">
        <v>82</v>
      </c>
      <c r="B277" t="s">
        <v>83</v>
      </c>
      <c r="C277" t="s">
        <v>39</v>
      </c>
      <c r="D277" t="s">
        <v>81</v>
      </c>
      <c r="E277" t="s">
        <v>59</v>
      </c>
      <c r="F277" t="s">
        <v>154</v>
      </c>
      <c r="G277" t="s">
        <v>207</v>
      </c>
      <c r="H277" t="s">
        <v>211</v>
      </c>
      <c r="I277" t="s">
        <v>208</v>
      </c>
    </row>
    <row r="278" spans="1:9" x14ac:dyDescent="0.45">
      <c r="A278" t="s">
        <v>82</v>
      </c>
      <c r="B278" t="s">
        <v>83</v>
      </c>
      <c r="C278" t="s">
        <v>39</v>
      </c>
      <c r="D278" t="s">
        <v>81</v>
      </c>
      <c r="E278" t="s">
        <v>59</v>
      </c>
      <c r="F278" t="s">
        <v>216</v>
      </c>
      <c r="G278" t="s">
        <v>261</v>
      </c>
      <c r="H278" t="s">
        <v>265</v>
      </c>
      <c r="I278" t="s">
        <v>262</v>
      </c>
    </row>
    <row r="279" spans="1:9" x14ac:dyDescent="0.45">
      <c r="A279" t="s">
        <v>82</v>
      </c>
      <c r="B279" t="s">
        <v>83</v>
      </c>
      <c r="C279" t="s">
        <v>39</v>
      </c>
      <c r="D279" t="s">
        <v>81</v>
      </c>
      <c r="E279" t="s">
        <v>59</v>
      </c>
      <c r="F279" t="s">
        <v>216</v>
      </c>
      <c r="G279" t="s">
        <v>266</v>
      </c>
      <c r="H279" t="s">
        <v>270</v>
      </c>
      <c r="I279" t="s">
        <v>267</v>
      </c>
    </row>
    <row r="280" spans="1:9" x14ac:dyDescent="0.45">
      <c r="A280" t="s">
        <v>82</v>
      </c>
      <c r="B280" t="s">
        <v>83</v>
      </c>
      <c r="C280" t="s">
        <v>39</v>
      </c>
      <c r="D280" t="s">
        <v>81</v>
      </c>
      <c r="E280" t="s">
        <v>59</v>
      </c>
      <c r="F280" t="s">
        <v>271</v>
      </c>
      <c r="G280" t="s">
        <v>272</v>
      </c>
      <c r="H280" t="s">
        <v>404</v>
      </c>
      <c r="I280" t="s">
        <v>273</v>
      </c>
    </row>
    <row r="281" spans="1:9" x14ac:dyDescent="0.45">
      <c r="A281" t="s">
        <v>82</v>
      </c>
      <c r="B281" t="s">
        <v>83</v>
      </c>
      <c r="C281" t="s">
        <v>39</v>
      </c>
      <c r="D281" t="s">
        <v>81</v>
      </c>
      <c r="E281" t="s">
        <v>59</v>
      </c>
      <c r="F281" t="s">
        <v>271</v>
      </c>
      <c r="G281" t="s">
        <v>277</v>
      </c>
      <c r="H281" t="s">
        <v>404</v>
      </c>
      <c r="I281" t="s">
        <v>273</v>
      </c>
    </row>
    <row r="282" spans="1:9" x14ac:dyDescent="0.45">
      <c r="A282" t="s">
        <v>82</v>
      </c>
      <c r="B282" t="s">
        <v>83</v>
      </c>
      <c r="C282" t="s">
        <v>39</v>
      </c>
      <c r="D282" t="s">
        <v>81</v>
      </c>
      <c r="E282" t="s">
        <v>59</v>
      </c>
      <c r="F282" t="s">
        <v>289</v>
      </c>
      <c r="G282" t="s">
        <v>306</v>
      </c>
      <c r="H282" t="s">
        <v>416</v>
      </c>
      <c r="I282" t="s">
        <v>308</v>
      </c>
    </row>
    <row r="283" spans="1:9" x14ac:dyDescent="0.45">
      <c r="A283" t="s">
        <v>82</v>
      </c>
      <c r="B283" t="s">
        <v>83</v>
      </c>
      <c r="C283" t="s">
        <v>39</v>
      </c>
      <c r="D283" t="s">
        <v>81</v>
      </c>
      <c r="E283" t="s">
        <v>59</v>
      </c>
      <c r="F283" t="s">
        <v>289</v>
      </c>
      <c r="G283" t="s">
        <v>317</v>
      </c>
      <c r="H283" t="s">
        <v>417</v>
      </c>
    </row>
    <row r="284" spans="1:9" x14ac:dyDescent="0.45">
      <c r="A284" t="s">
        <v>82</v>
      </c>
      <c r="B284" t="s">
        <v>83</v>
      </c>
      <c r="C284" t="s">
        <v>39</v>
      </c>
      <c r="D284" t="s">
        <v>81</v>
      </c>
      <c r="E284" t="s">
        <v>59</v>
      </c>
      <c r="F284" t="s">
        <v>329</v>
      </c>
      <c r="G284" t="s">
        <v>330</v>
      </c>
      <c r="H284" t="s">
        <v>419</v>
      </c>
      <c r="I284" t="s">
        <v>331</v>
      </c>
    </row>
    <row r="285" spans="1:9" x14ac:dyDescent="0.45">
      <c r="A285" t="s">
        <v>82</v>
      </c>
      <c r="B285" t="s">
        <v>83</v>
      </c>
      <c r="C285" t="s">
        <v>39</v>
      </c>
      <c r="D285" t="s">
        <v>81</v>
      </c>
      <c r="E285" t="s">
        <v>59</v>
      </c>
      <c r="F285" t="s">
        <v>329</v>
      </c>
      <c r="G285" t="s">
        <v>351</v>
      </c>
      <c r="H285" t="s">
        <v>421</v>
      </c>
      <c r="I285" t="s">
        <v>352</v>
      </c>
    </row>
    <row r="286" spans="1:9" x14ac:dyDescent="0.45">
      <c r="A286" t="s">
        <v>82</v>
      </c>
      <c r="B286" t="s">
        <v>83</v>
      </c>
      <c r="C286" t="s">
        <v>39</v>
      </c>
      <c r="D286" t="s">
        <v>81</v>
      </c>
      <c r="E286" t="s">
        <v>59</v>
      </c>
      <c r="F286" t="s">
        <v>329</v>
      </c>
      <c r="G286" t="s">
        <v>354</v>
      </c>
      <c r="H286" t="s">
        <v>357</v>
      </c>
      <c r="I286" t="s">
        <v>355</v>
      </c>
    </row>
    <row r="287" spans="1:9" x14ac:dyDescent="0.45">
      <c r="A287" t="s">
        <v>82</v>
      </c>
      <c r="B287" t="s">
        <v>83</v>
      </c>
      <c r="C287" t="s">
        <v>39</v>
      </c>
      <c r="D287" t="s">
        <v>81</v>
      </c>
      <c r="E287" t="s">
        <v>59</v>
      </c>
      <c r="F287" t="s">
        <v>427</v>
      </c>
      <c r="G287" t="s">
        <v>428</v>
      </c>
      <c r="H287" t="s">
        <v>432</v>
      </c>
      <c r="I287" t="s">
        <v>429</v>
      </c>
    </row>
    <row r="288" spans="1:9" x14ac:dyDescent="0.45">
      <c r="A288" t="s">
        <v>82</v>
      </c>
      <c r="B288" t="s">
        <v>83</v>
      </c>
      <c r="C288" t="s">
        <v>39</v>
      </c>
      <c r="D288" t="s">
        <v>81</v>
      </c>
      <c r="E288" t="s">
        <v>59</v>
      </c>
      <c r="F288" t="s">
        <v>427</v>
      </c>
      <c r="G288" t="s">
        <v>486</v>
      </c>
      <c r="H288" t="s">
        <v>490</v>
      </c>
      <c r="I288" t="s">
        <v>487</v>
      </c>
    </row>
    <row r="289" spans="1:9" x14ac:dyDescent="0.45">
      <c r="A289" t="s">
        <v>82</v>
      </c>
      <c r="B289" t="s">
        <v>83</v>
      </c>
      <c r="C289" t="s">
        <v>39</v>
      </c>
      <c r="D289" t="s">
        <v>81</v>
      </c>
      <c r="E289" t="s">
        <v>59</v>
      </c>
      <c r="F289" t="s">
        <v>427</v>
      </c>
      <c r="G289" t="s">
        <v>491</v>
      </c>
      <c r="H289" t="s">
        <v>496</v>
      </c>
      <c r="I289" t="s">
        <v>492</v>
      </c>
    </row>
    <row r="290" spans="1:9" x14ac:dyDescent="0.45">
      <c r="A290" t="s">
        <v>82</v>
      </c>
      <c r="B290" t="s">
        <v>83</v>
      </c>
      <c r="C290" t="s">
        <v>39</v>
      </c>
      <c r="D290" t="s">
        <v>81</v>
      </c>
      <c r="E290" t="s">
        <v>59</v>
      </c>
      <c r="F290" t="s">
        <v>427</v>
      </c>
      <c r="G290" t="s">
        <v>549</v>
      </c>
      <c r="H290" t="s">
        <v>490</v>
      </c>
      <c r="I290" t="s">
        <v>487</v>
      </c>
    </row>
    <row r="291" spans="1:9" x14ac:dyDescent="0.45">
      <c r="A291" t="s">
        <v>82</v>
      </c>
      <c r="B291" t="s">
        <v>83</v>
      </c>
      <c r="C291" t="s">
        <v>39</v>
      </c>
      <c r="D291" t="s">
        <v>81</v>
      </c>
      <c r="E291" t="s">
        <v>59</v>
      </c>
      <c r="F291" t="s">
        <v>427</v>
      </c>
      <c r="G291" t="s">
        <v>441</v>
      </c>
      <c r="H291" t="s">
        <v>483</v>
      </c>
      <c r="I291" t="s">
        <v>442</v>
      </c>
    </row>
    <row r="292" spans="1:9" x14ac:dyDescent="0.45">
      <c r="A292" t="s">
        <v>82</v>
      </c>
      <c r="B292" t="s">
        <v>83</v>
      </c>
      <c r="C292" t="s">
        <v>39</v>
      </c>
      <c r="D292" t="s">
        <v>81</v>
      </c>
      <c r="E292" t="s">
        <v>59</v>
      </c>
      <c r="F292" t="s">
        <v>427</v>
      </c>
      <c r="G292" t="s">
        <v>445</v>
      </c>
      <c r="H292" t="s">
        <v>477</v>
      </c>
      <c r="I292" t="s">
        <v>446</v>
      </c>
    </row>
    <row r="293" spans="1:9" x14ac:dyDescent="0.45">
      <c r="A293" t="s">
        <v>84</v>
      </c>
      <c r="B293" t="s">
        <v>85</v>
      </c>
      <c r="C293" t="s">
        <v>39</v>
      </c>
      <c r="D293" t="s">
        <v>81</v>
      </c>
      <c r="E293" t="s">
        <v>65</v>
      </c>
      <c r="F293" t="s">
        <v>132</v>
      </c>
      <c r="G293" t="s">
        <v>21</v>
      </c>
      <c r="H293" t="s">
        <v>384</v>
      </c>
      <c r="I293" t="s">
        <v>380</v>
      </c>
    </row>
    <row r="294" spans="1:9" x14ac:dyDescent="0.45">
      <c r="A294" t="s">
        <v>84</v>
      </c>
      <c r="B294" t="s">
        <v>85</v>
      </c>
      <c r="C294" t="s">
        <v>39</v>
      </c>
      <c r="D294" t="s">
        <v>81</v>
      </c>
      <c r="E294" t="s">
        <v>65</v>
      </c>
      <c r="F294" t="s">
        <v>132</v>
      </c>
      <c r="G294" t="s">
        <v>20</v>
      </c>
      <c r="H294" t="s">
        <v>466</v>
      </c>
      <c r="I294" t="s">
        <v>385</v>
      </c>
    </row>
    <row r="295" spans="1:9" x14ac:dyDescent="0.45">
      <c r="A295" t="s">
        <v>84</v>
      </c>
      <c r="B295" t="s">
        <v>85</v>
      </c>
      <c r="C295" t="s">
        <v>39</v>
      </c>
      <c r="D295" t="s">
        <v>81</v>
      </c>
      <c r="E295" t="s">
        <v>65</v>
      </c>
      <c r="F295" t="s">
        <v>154</v>
      </c>
      <c r="G295" t="s">
        <v>182</v>
      </c>
      <c r="H295" t="s">
        <v>186</v>
      </c>
      <c r="I295" t="s">
        <v>183</v>
      </c>
    </row>
    <row r="296" spans="1:9" x14ac:dyDescent="0.45">
      <c r="A296" t="s">
        <v>84</v>
      </c>
      <c r="B296" t="s">
        <v>85</v>
      </c>
      <c r="C296" t="s">
        <v>39</v>
      </c>
      <c r="D296" t="s">
        <v>81</v>
      </c>
      <c r="E296" t="s">
        <v>65</v>
      </c>
      <c r="F296" t="s">
        <v>154</v>
      </c>
      <c r="G296" t="s">
        <v>207</v>
      </c>
      <c r="H296" t="s">
        <v>211</v>
      </c>
      <c r="I296" t="s">
        <v>208</v>
      </c>
    </row>
    <row r="297" spans="1:9" x14ac:dyDescent="0.45">
      <c r="A297" t="s">
        <v>84</v>
      </c>
      <c r="B297" t="s">
        <v>85</v>
      </c>
      <c r="C297" t="s">
        <v>39</v>
      </c>
      <c r="D297" t="s">
        <v>81</v>
      </c>
      <c r="E297" t="s">
        <v>65</v>
      </c>
      <c r="F297" t="s">
        <v>216</v>
      </c>
      <c r="G297" t="s">
        <v>261</v>
      </c>
      <c r="H297" t="s">
        <v>265</v>
      </c>
      <c r="I297" t="s">
        <v>262</v>
      </c>
    </row>
    <row r="298" spans="1:9" x14ac:dyDescent="0.45">
      <c r="A298" t="s">
        <v>84</v>
      </c>
      <c r="B298" t="s">
        <v>85</v>
      </c>
      <c r="C298" t="s">
        <v>39</v>
      </c>
      <c r="D298" t="s">
        <v>81</v>
      </c>
      <c r="E298" t="s">
        <v>65</v>
      </c>
      <c r="F298" t="s">
        <v>216</v>
      </c>
      <c r="G298" t="s">
        <v>266</v>
      </c>
      <c r="H298" t="s">
        <v>270</v>
      </c>
      <c r="I298" t="s">
        <v>267</v>
      </c>
    </row>
    <row r="299" spans="1:9" x14ac:dyDescent="0.45">
      <c r="A299" t="s">
        <v>84</v>
      </c>
      <c r="B299" t="s">
        <v>85</v>
      </c>
      <c r="C299" t="s">
        <v>39</v>
      </c>
      <c r="D299" t="s">
        <v>81</v>
      </c>
      <c r="E299" t="s">
        <v>65</v>
      </c>
      <c r="F299" t="s">
        <v>271</v>
      </c>
      <c r="G299" t="s">
        <v>272</v>
      </c>
      <c r="H299" t="s">
        <v>404</v>
      </c>
      <c r="I299" t="s">
        <v>273</v>
      </c>
    </row>
    <row r="300" spans="1:9" x14ac:dyDescent="0.45">
      <c r="A300" t="s">
        <v>84</v>
      </c>
      <c r="B300" t="s">
        <v>85</v>
      </c>
      <c r="C300" t="s">
        <v>39</v>
      </c>
      <c r="D300" t="s">
        <v>81</v>
      </c>
      <c r="E300" t="s">
        <v>65</v>
      </c>
      <c r="F300" t="s">
        <v>271</v>
      </c>
      <c r="G300" t="s">
        <v>277</v>
      </c>
      <c r="H300" t="s">
        <v>404</v>
      </c>
      <c r="I300" t="s">
        <v>273</v>
      </c>
    </row>
    <row r="301" spans="1:9" x14ac:dyDescent="0.45">
      <c r="A301" t="s">
        <v>84</v>
      </c>
      <c r="B301" t="s">
        <v>85</v>
      </c>
      <c r="C301" t="s">
        <v>39</v>
      </c>
      <c r="D301" t="s">
        <v>81</v>
      </c>
      <c r="E301" t="s">
        <v>65</v>
      </c>
      <c r="F301" t="s">
        <v>289</v>
      </c>
      <c r="G301" t="s">
        <v>306</v>
      </c>
      <c r="H301" t="s">
        <v>416</v>
      </c>
      <c r="I301" t="s">
        <v>308</v>
      </c>
    </row>
    <row r="302" spans="1:9" x14ac:dyDescent="0.45">
      <c r="A302" t="s">
        <v>84</v>
      </c>
      <c r="B302" t="s">
        <v>85</v>
      </c>
      <c r="C302" t="s">
        <v>39</v>
      </c>
      <c r="D302" t="s">
        <v>81</v>
      </c>
      <c r="E302" t="s">
        <v>65</v>
      </c>
      <c r="F302" t="s">
        <v>289</v>
      </c>
      <c r="G302" t="s">
        <v>317</v>
      </c>
      <c r="H302" t="s">
        <v>417</v>
      </c>
    </row>
    <row r="303" spans="1:9" x14ac:dyDescent="0.45">
      <c r="A303" t="s">
        <v>84</v>
      </c>
      <c r="B303" t="s">
        <v>85</v>
      </c>
      <c r="C303" t="s">
        <v>39</v>
      </c>
      <c r="D303" t="s">
        <v>81</v>
      </c>
      <c r="E303" t="s">
        <v>65</v>
      </c>
      <c r="F303" t="s">
        <v>329</v>
      </c>
      <c r="G303" t="s">
        <v>330</v>
      </c>
      <c r="H303" t="s">
        <v>419</v>
      </c>
      <c r="I303" t="s">
        <v>331</v>
      </c>
    </row>
    <row r="304" spans="1:9" x14ac:dyDescent="0.45">
      <c r="A304" t="s">
        <v>84</v>
      </c>
      <c r="B304" t="s">
        <v>85</v>
      </c>
      <c r="C304" t="s">
        <v>39</v>
      </c>
      <c r="D304" t="s">
        <v>81</v>
      </c>
      <c r="E304" t="s">
        <v>65</v>
      </c>
      <c r="F304" t="s">
        <v>329</v>
      </c>
      <c r="G304" t="s">
        <v>351</v>
      </c>
      <c r="H304" t="s">
        <v>421</v>
      </c>
      <c r="I304" t="s">
        <v>352</v>
      </c>
    </row>
    <row r="305" spans="1:9" x14ac:dyDescent="0.45">
      <c r="A305" t="s">
        <v>84</v>
      </c>
      <c r="B305" t="s">
        <v>85</v>
      </c>
      <c r="C305" t="s">
        <v>39</v>
      </c>
      <c r="D305" t="s">
        <v>81</v>
      </c>
      <c r="E305" t="s">
        <v>65</v>
      </c>
      <c r="F305" t="s">
        <v>329</v>
      </c>
      <c r="G305" t="s">
        <v>354</v>
      </c>
      <c r="H305" t="s">
        <v>357</v>
      </c>
      <c r="I305" t="s">
        <v>355</v>
      </c>
    </row>
    <row r="306" spans="1:9" x14ac:dyDescent="0.45">
      <c r="A306" t="s">
        <v>84</v>
      </c>
      <c r="B306" t="s">
        <v>85</v>
      </c>
      <c r="C306" t="s">
        <v>39</v>
      </c>
      <c r="D306" t="s">
        <v>81</v>
      </c>
      <c r="E306" t="s">
        <v>65</v>
      </c>
      <c r="F306" t="s">
        <v>427</v>
      </c>
      <c r="G306" t="s">
        <v>428</v>
      </c>
      <c r="H306" t="s">
        <v>432</v>
      </c>
      <c r="I306" t="s">
        <v>429</v>
      </c>
    </row>
    <row r="307" spans="1:9" x14ac:dyDescent="0.45">
      <c r="A307" t="s">
        <v>84</v>
      </c>
      <c r="B307" t="s">
        <v>85</v>
      </c>
      <c r="C307" t="s">
        <v>39</v>
      </c>
      <c r="D307" t="s">
        <v>81</v>
      </c>
      <c r="E307" t="s">
        <v>65</v>
      </c>
      <c r="F307" t="s">
        <v>427</v>
      </c>
      <c r="G307" t="s">
        <v>510</v>
      </c>
      <c r="H307" t="s">
        <v>513</v>
      </c>
    </row>
    <row r="308" spans="1:9" x14ac:dyDescent="0.45">
      <c r="A308" t="s">
        <v>84</v>
      </c>
      <c r="B308" t="s">
        <v>85</v>
      </c>
      <c r="C308" t="s">
        <v>39</v>
      </c>
      <c r="D308" t="s">
        <v>81</v>
      </c>
      <c r="E308" t="s">
        <v>65</v>
      </c>
      <c r="F308" t="s">
        <v>427</v>
      </c>
      <c r="G308" t="s">
        <v>441</v>
      </c>
      <c r="H308" t="s">
        <v>483</v>
      </c>
      <c r="I308" t="s">
        <v>442</v>
      </c>
    </row>
    <row r="309" spans="1:9" x14ac:dyDescent="0.45">
      <c r="A309" t="s">
        <v>86</v>
      </c>
      <c r="B309" t="s">
        <v>87</v>
      </c>
      <c r="C309" t="s">
        <v>39</v>
      </c>
      <c r="D309" t="s">
        <v>50</v>
      </c>
      <c r="E309" t="s">
        <v>56</v>
      </c>
      <c r="F309" t="s">
        <v>132</v>
      </c>
      <c r="G309" t="s">
        <v>21</v>
      </c>
      <c r="H309" t="s">
        <v>384</v>
      </c>
      <c r="I309" t="s">
        <v>380</v>
      </c>
    </row>
    <row r="310" spans="1:9" x14ac:dyDescent="0.45">
      <c r="A310" t="s">
        <v>86</v>
      </c>
      <c r="B310" t="s">
        <v>87</v>
      </c>
      <c r="C310" t="s">
        <v>39</v>
      </c>
      <c r="D310" t="s">
        <v>50</v>
      </c>
      <c r="E310" t="s">
        <v>56</v>
      </c>
      <c r="F310" t="s">
        <v>132</v>
      </c>
      <c r="G310" t="s">
        <v>20</v>
      </c>
      <c r="H310" t="s">
        <v>466</v>
      </c>
      <c r="I310" t="s">
        <v>385</v>
      </c>
    </row>
    <row r="311" spans="1:9" x14ac:dyDescent="0.45">
      <c r="A311" t="s">
        <v>86</v>
      </c>
      <c r="B311" t="s">
        <v>87</v>
      </c>
      <c r="C311" t="s">
        <v>39</v>
      </c>
      <c r="D311" t="s">
        <v>50</v>
      </c>
      <c r="E311" t="s">
        <v>56</v>
      </c>
      <c r="F311" t="s">
        <v>154</v>
      </c>
      <c r="G311" t="s">
        <v>182</v>
      </c>
      <c r="H311" t="s">
        <v>186</v>
      </c>
      <c r="I311" t="s">
        <v>183</v>
      </c>
    </row>
    <row r="312" spans="1:9" x14ac:dyDescent="0.45">
      <c r="A312" t="s">
        <v>86</v>
      </c>
      <c r="B312" t="s">
        <v>87</v>
      </c>
      <c r="C312" t="s">
        <v>39</v>
      </c>
      <c r="D312" t="s">
        <v>50</v>
      </c>
      <c r="E312" t="s">
        <v>56</v>
      </c>
      <c r="F312" t="s">
        <v>154</v>
      </c>
      <c r="G312" t="s">
        <v>207</v>
      </c>
      <c r="H312" t="s">
        <v>211</v>
      </c>
      <c r="I312" t="s">
        <v>208</v>
      </c>
    </row>
    <row r="313" spans="1:9" x14ac:dyDescent="0.45">
      <c r="A313" t="s">
        <v>86</v>
      </c>
      <c r="B313" t="s">
        <v>87</v>
      </c>
      <c r="C313" t="s">
        <v>39</v>
      </c>
      <c r="D313" t="s">
        <v>50</v>
      </c>
      <c r="E313" t="s">
        <v>56</v>
      </c>
      <c r="F313" t="s">
        <v>216</v>
      </c>
      <c r="G313" t="s">
        <v>261</v>
      </c>
      <c r="H313" t="s">
        <v>265</v>
      </c>
      <c r="I313" t="s">
        <v>262</v>
      </c>
    </row>
    <row r="314" spans="1:9" x14ac:dyDescent="0.45">
      <c r="A314" t="s">
        <v>86</v>
      </c>
      <c r="B314" t="s">
        <v>87</v>
      </c>
      <c r="C314" t="s">
        <v>39</v>
      </c>
      <c r="D314" t="s">
        <v>50</v>
      </c>
      <c r="E314" t="s">
        <v>56</v>
      </c>
      <c r="F314" t="s">
        <v>216</v>
      </c>
      <c r="G314" t="s">
        <v>266</v>
      </c>
      <c r="H314" t="s">
        <v>270</v>
      </c>
      <c r="I314" t="s">
        <v>267</v>
      </c>
    </row>
    <row r="315" spans="1:9" x14ac:dyDescent="0.45">
      <c r="A315" t="s">
        <v>86</v>
      </c>
      <c r="B315" t="s">
        <v>87</v>
      </c>
      <c r="C315" t="s">
        <v>39</v>
      </c>
      <c r="D315" t="s">
        <v>50</v>
      </c>
      <c r="E315" t="s">
        <v>56</v>
      </c>
      <c r="F315" t="s">
        <v>271</v>
      </c>
      <c r="G315" t="s">
        <v>272</v>
      </c>
      <c r="H315" t="s">
        <v>404</v>
      </c>
      <c r="I315" t="s">
        <v>273</v>
      </c>
    </row>
    <row r="316" spans="1:9" x14ac:dyDescent="0.45">
      <c r="A316" t="s">
        <v>86</v>
      </c>
      <c r="B316" t="s">
        <v>87</v>
      </c>
      <c r="C316" t="s">
        <v>39</v>
      </c>
      <c r="D316" t="s">
        <v>50</v>
      </c>
      <c r="E316" t="s">
        <v>56</v>
      </c>
      <c r="F316" t="s">
        <v>271</v>
      </c>
      <c r="G316" t="s">
        <v>277</v>
      </c>
      <c r="H316" t="s">
        <v>404</v>
      </c>
      <c r="I316" t="s">
        <v>273</v>
      </c>
    </row>
    <row r="317" spans="1:9" x14ac:dyDescent="0.45">
      <c r="A317" t="s">
        <v>86</v>
      </c>
      <c r="B317" t="s">
        <v>87</v>
      </c>
      <c r="C317" t="s">
        <v>39</v>
      </c>
      <c r="D317" t="s">
        <v>50</v>
      </c>
      <c r="E317" t="s">
        <v>56</v>
      </c>
      <c r="F317" t="s">
        <v>289</v>
      </c>
      <c r="G317" t="s">
        <v>306</v>
      </c>
      <c r="H317" t="s">
        <v>458</v>
      </c>
      <c r="I317" t="s">
        <v>308</v>
      </c>
    </row>
    <row r="318" spans="1:9" x14ac:dyDescent="0.45">
      <c r="A318" t="s">
        <v>86</v>
      </c>
      <c r="B318" t="s">
        <v>87</v>
      </c>
      <c r="C318" t="s">
        <v>39</v>
      </c>
      <c r="D318" t="s">
        <v>50</v>
      </c>
      <c r="E318" t="s">
        <v>56</v>
      </c>
      <c r="F318" t="s">
        <v>289</v>
      </c>
      <c r="G318" t="s">
        <v>317</v>
      </c>
      <c r="H318" t="s">
        <v>553</v>
      </c>
      <c r="I318" t="s">
        <v>459</v>
      </c>
    </row>
    <row r="319" spans="1:9" x14ac:dyDescent="0.45">
      <c r="A319" t="s">
        <v>86</v>
      </c>
      <c r="B319" t="s">
        <v>87</v>
      </c>
      <c r="C319" t="s">
        <v>39</v>
      </c>
      <c r="D319" t="s">
        <v>50</v>
      </c>
      <c r="E319" t="s">
        <v>56</v>
      </c>
      <c r="F319" t="s">
        <v>329</v>
      </c>
      <c r="G319" t="s">
        <v>330</v>
      </c>
      <c r="H319" t="s">
        <v>460</v>
      </c>
      <c r="I319" t="s">
        <v>331</v>
      </c>
    </row>
    <row r="320" spans="1:9" x14ac:dyDescent="0.45">
      <c r="A320" t="s">
        <v>86</v>
      </c>
      <c r="B320" t="s">
        <v>87</v>
      </c>
      <c r="C320" t="s">
        <v>39</v>
      </c>
      <c r="D320" t="s">
        <v>50</v>
      </c>
      <c r="E320" t="s">
        <v>56</v>
      </c>
      <c r="F320" t="s">
        <v>329</v>
      </c>
      <c r="G320" t="s">
        <v>351</v>
      </c>
      <c r="H320" t="s">
        <v>461</v>
      </c>
      <c r="I320" t="s">
        <v>352</v>
      </c>
    </row>
    <row r="321" spans="1:9" x14ac:dyDescent="0.45">
      <c r="A321" t="s">
        <v>86</v>
      </c>
      <c r="B321" t="s">
        <v>87</v>
      </c>
      <c r="C321" t="s">
        <v>39</v>
      </c>
      <c r="D321" t="s">
        <v>50</v>
      </c>
      <c r="E321" t="s">
        <v>56</v>
      </c>
      <c r="F321" t="s">
        <v>329</v>
      </c>
      <c r="G321" t="s">
        <v>354</v>
      </c>
      <c r="H321" t="s">
        <v>357</v>
      </c>
      <c r="I321" t="s">
        <v>355</v>
      </c>
    </row>
    <row r="322" spans="1:9" x14ac:dyDescent="0.45">
      <c r="A322" t="s">
        <v>86</v>
      </c>
      <c r="B322" t="s">
        <v>87</v>
      </c>
      <c r="C322" t="s">
        <v>39</v>
      </c>
      <c r="D322" t="s">
        <v>50</v>
      </c>
      <c r="E322" t="s">
        <v>56</v>
      </c>
      <c r="F322" t="s">
        <v>427</v>
      </c>
      <c r="G322" t="s">
        <v>428</v>
      </c>
      <c r="H322" t="s">
        <v>556</v>
      </c>
      <c r="I322" t="s">
        <v>554</v>
      </c>
    </row>
    <row r="323" spans="1:9" x14ac:dyDescent="0.45">
      <c r="A323" t="s">
        <v>86</v>
      </c>
      <c r="B323" t="s">
        <v>87</v>
      </c>
      <c r="C323" t="s">
        <v>39</v>
      </c>
      <c r="D323" t="s">
        <v>50</v>
      </c>
      <c r="E323" t="s">
        <v>56</v>
      </c>
      <c r="F323" t="s">
        <v>427</v>
      </c>
      <c r="G323" t="s">
        <v>433</v>
      </c>
      <c r="H323" t="s">
        <v>556</v>
      </c>
      <c r="I323" t="s">
        <v>434</v>
      </c>
    </row>
    <row r="324" spans="1:9" x14ac:dyDescent="0.45">
      <c r="A324" t="s">
        <v>86</v>
      </c>
      <c r="B324" t="s">
        <v>87</v>
      </c>
      <c r="C324" t="s">
        <v>39</v>
      </c>
      <c r="D324" t="s">
        <v>50</v>
      </c>
      <c r="E324" t="s">
        <v>56</v>
      </c>
      <c r="F324" t="s">
        <v>427</v>
      </c>
      <c r="G324" t="s">
        <v>468</v>
      </c>
      <c r="H324" t="s">
        <v>556</v>
      </c>
      <c r="I324" t="s">
        <v>442</v>
      </c>
    </row>
    <row r="325" spans="1:9" x14ac:dyDescent="0.45">
      <c r="A325" t="s">
        <v>86</v>
      </c>
      <c r="B325" t="s">
        <v>87</v>
      </c>
      <c r="C325" t="s">
        <v>39</v>
      </c>
      <c r="D325" t="s">
        <v>50</v>
      </c>
      <c r="E325" t="s">
        <v>56</v>
      </c>
      <c r="F325" t="s">
        <v>427</v>
      </c>
      <c r="G325" t="s">
        <v>558</v>
      </c>
      <c r="H325" t="s">
        <v>556</v>
      </c>
      <c r="I325" t="s">
        <v>559</v>
      </c>
    </row>
    <row r="326" spans="1:9" x14ac:dyDescent="0.45">
      <c r="A326" t="s">
        <v>86</v>
      </c>
      <c r="B326" t="s">
        <v>87</v>
      </c>
      <c r="C326" t="s">
        <v>39</v>
      </c>
      <c r="D326" t="s">
        <v>50</v>
      </c>
      <c r="E326" t="s">
        <v>56</v>
      </c>
      <c r="F326" t="s">
        <v>358</v>
      </c>
      <c r="G326" t="s">
        <v>563</v>
      </c>
      <c r="H326" t="s">
        <v>566</v>
      </c>
      <c r="I326" t="s">
        <v>564</v>
      </c>
    </row>
    <row r="327" spans="1:9" x14ac:dyDescent="0.45">
      <c r="A327" t="s">
        <v>86</v>
      </c>
      <c r="B327" t="s">
        <v>87</v>
      </c>
      <c r="C327" t="s">
        <v>39</v>
      </c>
      <c r="D327" t="s">
        <v>50</v>
      </c>
      <c r="E327" t="s">
        <v>56</v>
      </c>
      <c r="F327" t="s">
        <v>358</v>
      </c>
      <c r="G327" t="s">
        <v>441</v>
      </c>
      <c r="H327" t="s">
        <v>463</v>
      </c>
      <c r="I327" t="s">
        <v>442</v>
      </c>
    </row>
    <row r="328" spans="1:9" x14ac:dyDescent="0.45">
      <c r="A328" t="s">
        <v>88</v>
      </c>
      <c r="B328" t="s">
        <v>89</v>
      </c>
      <c r="C328" t="s">
        <v>39</v>
      </c>
      <c r="D328" t="s">
        <v>50</v>
      </c>
      <c r="E328" t="s">
        <v>90</v>
      </c>
      <c r="F328" t="s">
        <v>132</v>
      </c>
      <c r="G328" t="s">
        <v>21</v>
      </c>
      <c r="H328" t="s">
        <v>384</v>
      </c>
      <c r="I328" t="s">
        <v>380</v>
      </c>
    </row>
    <row r="329" spans="1:9" x14ac:dyDescent="0.45">
      <c r="A329" t="s">
        <v>88</v>
      </c>
      <c r="B329" t="s">
        <v>89</v>
      </c>
      <c r="C329" t="s">
        <v>39</v>
      </c>
      <c r="D329" t="s">
        <v>50</v>
      </c>
      <c r="E329" t="s">
        <v>90</v>
      </c>
      <c r="F329" t="s">
        <v>132</v>
      </c>
      <c r="G329" t="s">
        <v>20</v>
      </c>
      <c r="H329" t="s">
        <v>466</v>
      </c>
      <c r="I329" t="s">
        <v>385</v>
      </c>
    </row>
    <row r="330" spans="1:9" x14ac:dyDescent="0.45">
      <c r="A330" t="s">
        <v>88</v>
      </c>
      <c r="B330" t="s">
        <v>89</v>
      </c>
      <c r="C330" t="s">
        <v>39</v>
      </c>
      <c r="D330" t="s">
        <v>50</v>
      </c>
      <c r="E330" t="s">
        <v>90</v>
      </c>
      <c r="F330" t="s">
        <v>154</v>
      </c>
      <c r="G330" t="s">
        <v>182</v>
      </c>
      <c r="H330" t="s">
        <v>186</v>
      </c>
      <c r="I330" t="s">
        <v>183</v>
      </c>
    </row>
    <row r="331" spans="1:9" x14ac:dyDescent="0.45">
      <c r="A331" t="s">
        <v>88</v>
      </c>
      <c r="B331" t="s">
        <v>89</v>
      </c>
      <c r="C331" t="s">
        <v>39</v>
      </c>
      <c r="D331" t="s">
        <v>50</v>
      </c>
      <c r="E331" t="s">
        <v>90</v>
      </c>
      <c r="F331" t="s">
        <v>154</v>
      </c>
      <c r="G331" t="s">
        <v>207</v>
      </c>
      <c r="H331" t="s">
        <v>211</v>
      </c>
      <c r="I331" t="s">
        <v>208</v>
      </c>
    </row>
    <row r="332" spans="1:9" x14ac:dyDescent="0.45">
      <c r="A332" t="s">
        <v>88</v>
      </c>
      <c r="B332" t="s">
        <v>89</v>
      </c>
      <c r="C332" t="s">
        <v>39</v>
      </c>
      <c r="D332" t="s">
        <v>50</v>
      </c>
      <c r="E332" t="s">
        <v>90</v>
      </c>
      <c r="F332" t="s">
        <v>216</v>
      </c>
      <c r="G332" t="s">
        <v>261</v>
      </c>
      <c r="H332" t="s">
        <v>265</v>
      </c>
      <c r="I332" t="s">
        <v>262</v>
      </c>
    </row>
    <row r="333" spans="1:9" x14ac:dyDescent="0.45">
      <c r="A333" t="s">
        <v>88</v>
      </c>
      <c r="B333" t="s">
        <v>89</v>
      </c>
      <c r="C333" t="s">
        <v>39</v>
      </c>
      <c r="D333" t="s">
        <v>50</v>
      </c>
      <c r="E333" t="s">
        <v>90</v>
      </c>
      <c r="F333" t="s">
        <v>216</v>
      </c>
      <c r="G333" t="s">
        <v>266</v>
      </c>
      <c r="H333" t="s">
        <v>270</v>
      </c>
      <c r="I333" t="s">
        <v>267</v>
      </c>
    </row>
    <row r="334" spans="1:9" x14ac:dyDescent="0.45">
      <c r="A334" t="s">
        <v>88</v>
      </c>
      <c r="B334" t="s">
        <v>89</v>
      </c>
      <c r="C334" t="s">
        <v>39</v>
      </c>
      <c r="D334" t="s">
        <v>50</v>
      </c>
      <c r="E334" t="s">
        <v>90</v>
      </c>
      <c r="F334" t="s">
        <v>271</v>
      </c>
      <c r="G334" t="s">
        <v>272</v>
      </c>
      <c r="H334" t="s">
        <v>404</v>
      </c>
      <c r="I334" t="s">
        <v>273</v>
      </c>
    </row>
    <row r="335" spans="1:9" x14ac:dyDescent="0.45">
      <c r="A335" t="s">
        <v>88</v>
      </c>
      <c r="B335" t="s">
        <v>89</v>
      </c>
      <c r="C335" t="s">
        <v>39</v>
      </c>
      <c r="D335" t="s">
        <v>50</v>
      </c>
      <c r="E335" t="s">
        <v>90</v>
      </c>
      <c r="F335" t="s">
        <v>271</v>
      </c>
      <c r="G335" t="s">
        <v>277</v>
      </c>
      <c r="H335" t="s">
        <v>404</v>
      </c>
      <c r="I335" t="s">
        <v>273</v>
      </c>
    </row>
    <row r="336" spans="1:9" x14ac:dyDescent="0.45">
      <c r="A336" t="s">
        <v>88</v>
      </c>
      <c r="B336" t="s">
        <v>89</v>
      </c>
      <c r="C336" t="s">
        <v>39</v>
      </c>
      <c r="D336" t="s">
        <v>50</v>
      </c>
      <c r="E336" t="s">
        <v>90</v>
      </c>
      <c r="F336" t="s">
        <v>289</v>
      </c>
      <c r="G336" t="s">
        <v>306</v>
      </c>
      <c r="H336" t="s">
        <v>458</v>
      </c>
      <c r="I336" t="s">
        <v>308</v>
      </c>
    </row>
    <row r="337" spans="1:9" x14ac:dyDescent="0.45">
      <c r="A337" t="s">
        <v>88</v>
      </c>
      <c r="B337" t="s">
        <v>89</v>
      </c>
      <c r="C337" t="s">
        <v>39</v>
      </c>
      <c r="D337" t="s">
        <v>50</v>
      </c>
      <c r="E337" t="s">
        <v>90</v>
      </c>
      <c r="F337" t="s">
        <v>289</v>
      </c>
      <c r="G337" t="s">
        <v>317</v>
      </c>
      <c r="H337" t="s">
        <v>553</v>
      </c>
      <c r="I337" t="s">
        <v>459</v>
      </c>
    </row>
    <row r="338" spans="1:9" x14ac:dyDescent="0.45">
      <c r="A338" t="s">
        <v>88</v>
      </c>
      <c r="B338" t="s">
        <v>89</v>
      </c>
      <c r="C338" t="s">
        <v>39</v>
      </c>
      <c r="D338" t="s">
        <v>50</v>
      </c>
      <c r="E338" t="s">
        <v>90</v>
      </c>
      <c r="F338" t="s">
        <v>329</v>
      </c>
      <c r="G338" t="s">
        <v>330</v>
      </c>
      <c r="H338" t="s">
        <v>460</v>
      </c>
      <c r="I338" t="s">
        <v>331</v>
      </c>
    </row>
    <row r="339" spans="1:9" x14ac:dyDescent="0.45">
      <c r="A339" t="s">
        <v>88</v>
      </c>
      <c r="B339" t="s">
        <v>89</v>
      </c>
      <c r="C339" t="s">
        <v>39</v>
      </c>
      <c r="D339" t="s">
        <v>50</v>
      </c>
      <c r="E339" t="s">
        <v>90</v>
      </c>
      <c r="F339" t="s">
        <v>329</v>
      </c>
      <c r="G339" t="s">
        <v>351</v>
      </c>
      <c r="H339" t="s">
        <v>461</v>
      </c>
      <c r="I339" t="s">
        <v>352</v>
      </c>
    </row>
    <row r="340" spans="1:9" x14ac:dyDescent="0.45">
      <c r="A340" t="s">
        <v>88</v>
      </c>
      <c r="B340" t="s">
        <v>89</v>
      </c>
      <c r="C340" t="s">
        <v>39</v>
      </c>
      <c r="D340" t="s">
        <v>50</v>
      </c>
      <c r="E340" t="s">
        <v>90</v>
      </c>
      <c r="F340" t="s">
        <v>329</v>
      </c>
      <c r="G340" t="s">
        <v>354</v>
      </c>
      <c r="H340" t="s">
        <v>357</v>
      </c>
      <c r="I340" t="s">
        <v>355</v>
      </c>
    </row>
    <row r="341" spans="1:9" x14ac:dyDescent="0.45">
      <c r="A341" t="s">
        <v>88</v>
      </c>
      <c r="B341" t="s">
        <v>89</v>
      </c>
      <c r="C341" t="s">
        <v>39</v>
      </c>
      <c r="D341" t="s">
        <v>50</v>
      </c>
      <c r="E341" t="s">
        <v>90</v>
      </c>
      <c r="F341" t="s">
        <v>427</v>
      </c>
      <c r="G341" t="s">
        <v>428</v>
      </c>
      <c r="H341" t="s">
        <v>556</v>
      </c>
      <c r="I341" t="s">
        <v>554</v>
      </c>
    </row>
    <row r="342" spans="1:9" x14ac:dyDescent="0.45">
      <c r="A342" t="s">
        <v>88</v>
      </c>
      <c r="B342" t="s">
        <v>89</v>
      </c>
      <c r="C342" t="s">
        <v>39</v>
      </c>
      <c r="D342" t="s">
        <v>50</v>
      </c>
      <c r="E342" t="s">
        <v>90</v>
      </c>
      <c r="F342" t="s">
        <v>427</v>
      </c>
      <c r="G342" t="s">
        <v>433</v>
      </c>
      <c r="H342" t="s">
        <v>556</v>
      </c>
      <c r="I342" t="s">
        <v>434</v>
      </c>
    </row>
    <row r="343" spans="1:9" x14ac:dyDescent="0.45">
      <c r="A343" t="s">
        <v>88</v>
      </c>
      <c r="B343" t="s">
        <v>89</v>
      </c>
      <c r="C343" t="s">
        <v>39</v>
      </c>
      <c r="D343" t="s">
        <v>50</v>
      </c>
      <c r="E343" t="s">
        <v>90</v>
      </c>
      <c r="F343" t="s">
        <v>427</v>
      </c>
      <c r="G343" t="s">
        <v>468</v>
      </c>
      <c r="H343" t="s">
        <v>556</v>
      </c>
      <c r="I343" t="s">
        <v>442</v>
      </c>
    </row>
    <row r="344" spans="1:9" x14ac:dyDescent="0.45">
      <c r="A344" t="s">
        <v>88</v>
      </c>
      <c r="B344" t="s">
        <v>89</v>
      </c>
      <c r="C344" t="s">
        <v>39</v>
      </c>
      <c r="D344" t="s">
        <v>50</v>
      </c>
      <c r="E344" t="s">
        <v>90</v>
      </c>
      <c r="F344" t="s">
        <v>358</v>
      </c>
      <c r="G344" t="s">
        <v>569</v>
      </c>
      <c r="H344" t="s">
        <v>566</v>
      </c>
      <c r="I344" t="s">
        <v>570</v>
      </c>
    </row>
    <row r="345" spans="1:9" x14ac:dyDescent="0.45">
      <c r="A345" t="s">
        <v>88</v>
      </c>
      <c r="B345" t="s">
        <v>89</v>
      </c>
      <c r="C345" t="s">
        <v>39</v>
      </c>
      <c r="D345" t="s">
        <v>50</v>
      </c>
      <c r="E345" t="s">
        <v>90</v>
      </c>
      <c r="F345" t="s">
        <v>358</v>
      </c>
      <c r="G345" t="s">
        <v>441</v>
      </c>
      <c r="H345" t="s">
        <v>463</v>
      </c>
      <c r="I345" t="s">
        <v>442</v>
      </c>
    </row>
    <row r="346" spans="1:9" x14ac:dyDescent="0.45">
      <c r="A346" t="s">
        <v>91</v>
      </c>
      <c r="B346" t="s">
        <v>92</v>
      </c>
      <c r="C346" t="s">
        <v>39</v>
      </c>
      <c r="D346" t="s">
        <v>50</v>
      </c>
      <c r="E346" t="s">
        <v>65</v>
      </c>
      <c r="F346" t="s">
        <v>132</v>
      </c>
      <c r="G346" t="s">
        <v>21</v>
      </c>
      <c r="H346" t="s">
        <v>384</v>
      </c>
      <c r="I346" t="s">
        <v>380</v>
      </c>
    </row>
    <row r="347" spans="1:9" x14ac:dyDescent="0.45">
      <c r="A347" t="s">
        <v>91</v>
      </c>
      <c r="B347" t="s">
        <v>92</v>
      </c>
      <c r="C347" t="s">
        <v>39</v>
      </c>
      <c r="D347" t="s">
        <v>50</v>
      </c>
      <c r="E347" t="s">
        <v>65</v>
      </c>
      <c r="F347" t="s">
        <v>132</v>
      </c>
      <c r="G347" t="s">
        <v>20</v>
      </c>
      <c r="H347" t="s">
        <v>466</v>
      </c>
      <c r="I347" t="s">
        <v>385</v>
      </c>
    </row>
    <row r="348" spans="1:9" x14ac:dyDescent="0.45">
      <c r="A348" t="s">
        <v>91</v>
      </c>
      <c r="B348" t="s">
        <v>92</v>
      </c>
      <c r="C348" t="s">
        <v>39</v>
      </c>
      <c r="D348" t="s">
        <v>50</v>
      </c>
      <c r="E348" t="s">
        <v>65</v>
      </c>
      <c r="F348" t="s">
        <v>154</v>
      </c>
      <c r="G348" t="s">
        <v>182</v>
      </c>
      <c r="H348" t="s">
        <v>186</v>
      </c>
      <c r="I348" t="s">
        <v>183</v>
      </c>
    </row>
    <row r="349" spans="1:9" x14ac:dyDescent="0.45">
      <c r="A349" t="s">
        <v>91</v>
      </c>
      <c r="B349" t="s">
        <v>92</v>
      </c>
      <c r="C349" t="s">
        <v>39</v>
      </c>
      <c r="D349" t="s">
        <v>50</v>
      </c>
      <c r="E349" t="s">
        <v>65</v>
      </c>
      <c r="F349" t="s">
        <v>154</v>
      </c>
      <c r="G349" t="s">
        <v>207</v>
      </c>
      <c r="H349" t="s">
        <v>211</v>
      </c>
      <c r="I349" t="s">
        <v>208</v>
      </c>
    </row>
    <row r="350" spans="1:9" x14ac:dyDescent="0.45">
      <c r="A350" t="s">
        <v>91</v>
      </c>
      <c r="B350" t="s">
        <v>92</v>
      </c>
      <c r="C350" t="s">
        <v>39</v>
      </c>
      <c r="D350" t="s">
        <v>50</v>
      </c>
      <c r="E350" t="s">
        <v>65</v>
      </c>
      <c r="F350" t="s">
        <v>216</v>
      </c>
      <c r="G350" t="s">
        <v>261</v>
      </c>
      <c r="H350" t="s">
        <v>265</v>
      </c>
      <c r="I350" t="s">
        <v>262</v>
      </c>
    </row>
    <row r="351" spans="1:9" x14ac:dyDescent="0.45">
      <c r="A351" t="s">
        <v>91</v>
      </c>
      <c r="B351" t="s">
        <v>92</v>
      </c>
      <c r="C351" t="s">
        <v>39</v>
      </c>
      <c r="D351" t="s">
        <v>50</v>
      </c>
      <c r="E351" t="s">
        <v>65</v>
      </c>
      <c r="F351" t="s">
        <v>271</v>
      </c>
      <c r="G351" t="s">
        <v>272</v>
      </c>
      <c r="H351" t="s">
        <v>404</v>
      </c>
      <c r="I351" t="s">
        <v>273</v>
      </c>
    </row>
    <row r="352" spans="1:9" x14ac:dyDescent="0.45">
      <c r="A352" t="s">
        <v>91</v>
      </c>
      <c r="B352" t="s">
        <v>92</v>
      </c>
      <c r="C352" t="s">
        <v>39</v>
      </c>
      <c r="D352" t="s">
        <v>50</v>
      </c>
      <c r="E352" t="s">
        <v>65</v>
      </c>
      <c r="F352" t="s">
        <v>271</v>
      </c>
      <c r="G352" t="s">
        <v>277</v>
      </c>
      <c r="H352" t="s">
        <v>404</v>
      </c>
      <c r="I352" t="s">
        <v>273</v>
      </c>
    </row>
    <row r="353" spans="1:9" x14ac:dyDescent="0.45">
      <c r="A353" t="s">
        <v>91</v>
      </c>
      <c r="B353" t="s">
        <v>92</v>
      </c>
      <c r="C353" t="s">
        <v>39</v>
      </c>
      <c r="D353" t="s">
        <v>50</v>
      </c>
      <c r="E353" t="s">
        <v>65</v>
      </c>
      <c r="F353" t="s">
        <v>289</v>
      </c>
      <c r="G353" t="s">
        <v>306</v>
      </c>
      <c r="H353" t="s">
        <v>458</v>
      </c>
      <c r="I353" t="s">
        <v>308</v>
      </c>
    </row>
    <row r="354" spans="1:9" x14ac:dyDescent="0.45">
      <c r="A354" t="s">
        <v>91</v>
      </c>
      <c r="B354" t="s">
        <v>92</v>
      </c>
      <c r="C354" t="s">
        <v>39</v>
      </c>
      <c r="D354" t="s">
        <v>50</v>
      </c>
      <c r="E354" t="s">
        <v>65</v>
      </c>
      <c r="F354" t="s">
        <v>289</v>
      </c>
      <c r="G354" t="s">
        <v>317</v>
      </c>
      <c r="H354" t="s">
        <v>553</v>
      </c>
      <c r="I354" t="s">
        <v>459</v>
      </c>
    </row>
    <row r="355" spans="1:9" x14ac:dyDescent="0.45">
      <c r="A355" t="s">
        <v>91</v>
      </c>
      <c r="B355" t="s">
        <v>92</v>
      </c>
      <c r="C355" t="s">
        <v>39</v>
      </c>
      <c r="D355" t="s">
        <v>50</v>
      </c>
      <c r="E355" t="s">
        <v>65</v>
      </c>
      <c r="F355" t="s">
        <v>329</v>
      </c>
      <c r="G355" t="s">
        <v>330</v>
      </c>
      <c r="H355" t="s">
        <v>460</v>
      </c>
      <c r="I355" t="s">
        <v>331</v>
      </c>
    </row>
    <row r="356" spans="1:9" x14ac:dyDescent="0.45">
      <c r="A356" t="s">
        <v>91</v>
      </c>
      <c r="B356" t="s">
        <v>92</v>
      </c>
      <c r="C356" t="s">
        <v>39</v>
      </c>
      <c r="D356" t="s">
        <v>50</v>
      </c>
      <c r="E356" t="s">
        <v>65</v>
      </c>
      <c r="F356" t="s">
        <v>329</v>
      </c>
      <c r="G356" t="s">
        <v>351</v>
      </c>
      <c r="H356" t="s">
        <v>461</v>
      </c>
      <c r="I356" t="s">
        <v>352</v>
      </c>
    </row>
    <row r="357" spans="1:9" x14ac:dyDescent="0.45">
      <c r="A357" t="s">
        <v>91</v>
      </c>
      <c r="B357" t="s">
        <v>92</v>
      </c>
      <c r="C357" t="s">
        <v>39</v>
      </c>
      <c r="D357" t="s">
        <v>50</v>
      </c>
      <c r="E357" t="s">
        <v>65</v>
      </c>
      <c r="F357" t="s">
        <v>329</v>
      </c>
      <c r="G357" t="s">
        <v>354</v>
      </c>
      <c r="H357" t="s">
        <v>357</v>
      </c>
      <c r="I357" t="s">
        <v>355</v>
      </c>
    </row>
    <row r="358" spans="1:9" x14ac:dyDescent="0.45">
      <c r="A358" t="s">
        <v>91</v>
      </c>
      <c r="B358" t="s">
        <v>92</v>
      </c>
      <c r="C358" t="s">
        <v>39</v>
      </c>
      <c r="D358" t="s">
        <v>50</v>
      </c>
      <c r="E358" t="s">
        <v>65</v>
      </c>
      <c r="F358" t="s">
        <v>427</v>
      </c>
      <c r="G358" t="s">
        <v>428</v>
      </c>
      <c r="H358" t="s">
        <v>556</v>
      </c>
      <c r="I358" t="s">
        <v>554</v>
      </c>
    </row>
    <row r="359" spans="1:9" x14ac:dyDescent="0.45">
      <c r="A359" t="s">
        <v>91</v>
      </c>
      <c r="B359" t="s">
        <v>92</v>
      </c>
      <c r="C359" t="s">
        <v>39</v>
      </c>
      <c r="D359" t="s">
        <v>50</v>
      </c>
      <c r="E359" t="s">
        <v>65</v>
      </c>
      <c r="F359" t="s">
        <v>427</v>
      </c>
      <c r="G359" t="s">
        <v>433</v>
      </c>
      <c r="H359" t="s">
        <v>556</v>
      </c>
      <c r="I359" t="s">
        <v>434</v>
      </c>
    </row>
    <row r="360" spans="1:9" x14ac:dyDescent="0.45">
      <c r="A360" t="s">
        <v>91</v>
      </c>
      <c r="B360" t="s">
        <v>92</v>
      </c>
      <c r="C360" t="s">
        <v>39</v>
      </c>
      <c r="D360" t="s">
        <v>50</v>
      </c>
      <c r="E360" t="s">
        <v>65</v>
      </c>
      <c r="F360" t="s">
        <v>358</v>
      </c>
      <c r="G360" t="s">
        <v>441</v>
      </c>
      <c r="H360" t="s">
        <v>463</v>
      </c>
      <c r="I360" t="s">
        <v>442</v>
      </c>
    </row>
    <row r="361" spans="1:9" x14ac:dyDescent="0.45">
      <c r="A361" t="s">
        <v>93</v>
      </c>
      <c r="B361" t="s">
        <v>94</v>
      </c>
      <c r="C361" t="s">
        <v>95</v>
      </c>
      <c r="D361" t="s">
        <v>96</v>
      </c>
      <c r="E361" t="s">
        <v>31</v>
      </c>
      <c r="F361" t="s">
        <v>154</v>
      </c>
      <c r="G361" t="s">
        <v>182</v>
      </c>
      <c r="H361" t="s">
        <v>186</v>
      </c>
      <c r="I361" t="s">
        <v>183</v>
      </c>
    </row>
    <row r="362" spans="1:9" x14ac:dyDescent="0.45">
      <c r="A362" t="s">
        <v>93</v>
      </c>
      <c r="B362" t="s">
        <v>94</v>
      </c>
      <c r="C362" t="s">
        <v>95</v>
      </c>
      <c r="D362" t="s">
        <v>96</v>
      </c>
      <c r="E362" t="s">
        <v>31</v>
      </c>
      <c r="F362" t="s">
        <v>154</v>
      </c>
      <c r="G362" t="s">
        <v>207</v>
      </c>
      <c r="H362" t="s">
        <v>211</v>
      </c>
      <c r="I362" t="s">
        <v>208</v>
      </c>
    </row>
    <row r="363" spans="1:9" x14ac:dyDescent="0.45">
      <c r="A363" t="s">
        <v>93</v>
      </c>
      <c r="B363" t="s">
        <v>94</v>
      </c>
      <c r="C363" t="s">
        <v>95</v>
      </c>
      <c r="D363" t="s">
        <v>96</v>
      </c>
      <c r="E363" t="s">
        <v>31</v>
      </c>
      <c r="F363" t="s">
        <v>216</v>
      </c>
      <c r="G363" t="s">
        <v>261</v>
      </c>
      <c r="H363" t="s">
        <v>265</v>
      </c>
      <c r="I363" t="s">
        <v>262</v>
      </c>
    </row>
    <row r="364" spans="1:9" x14ac:dyDescent="0.45">
      <c r="A364" t="s">
        <v>93</v>
      </c>
      <c r="B364" t="s">
        <v>94</v>
      </c>
      <c r="C364" t="s">
        <v>95</v>
      </c>
      <c r="D364" t="s">
        <v>96</v>
      </c>
      <c r="E364" t="s">
        <v>31</v>
      </c>
      <c r="F364" t="s">
        <v>216</v>
      </c>
      <c r="G364" t="s">
        <v>266</v>
      </c>
      <c r="H364" t="s">
        <v>270</v>
      </c>
      <c r="I364" t="s">
        <v>267</v>
      </c>
    </row>
    <row r="365" spans="1:9" x14ac:dyDescent="0.45">
      <c r="A365" t="s">
        <v>93</v>
      </c>
      <c r="B365" t="s">
        <v>94</v>
      </c>
      <c r="C365" t="s">
        <v>95</v>
      </c>
      <c r="D365" t="s">
        <v>96</v>
      </c>
      <c r="E365" t="s">
        <v>31</v>
      </c>
      <c r="F365" t="s">
        <v>329</v>
      </c>
      <c r="G365" t="s">
        <v>354</v>
      </c>
      <c r="H365" t="s">
        <v>357</v>
      </c>
      <c r="I365" t="s">
        <v>355</v>
      </c>
    </row>
    <row r="366" spans="1:9" x14ac:dyDescent="0.45">
      <c r="A366" t="s">
        <v>93</v>
      </c>
      <c r="B366" t="s">
        <v>94</v>
      </c>
      <c r="C366" t="s">
        <v>95</v>
      </c>
      <c r="D366" t="s">
        <v>96</v>
      </c>
      <c r="E366" t="s">
        <v>31</v>
      </c>
      <c r="F366" t="s">
        <v>427</v>
      </c>
      <c r="G366" t="s">
        <v>428</v>
      </c>
      <c r="H366" t="s">
        <v>432</v>
      </c>
      <c r="I366" t="s">
        <v>631</v>
      </c>
    </row>
    <row r="367" spans="1:9" x14ac:dyDescent="0.45">
      <c r="A367" t="s">
        <v>97</v>
      </c>
      <c r="B367" t="s">
        <v>98</v>
      </c>
      <c r="C367" t="s">
        <v>95</v>
      </c>
      <c r="D367" t="s">
        <v>99</v>
      </c>
      <c r="E367" t="s">
        <v>31</v>
      </c>
      <c r="F367" t="s">
        <v>154</v>
      </c>
      <c r="G367" t="s">
        <v>182</v>
      </c>
      <c r="H367" t="s">
        <v>186</v>
      </c>
      <c r="I367" t="s">
        <v>183</v>
      </c>
    </row>
    <row r="368" spans="1:9" x14ac:dyDescent="0.45">
      <c r="A368" t="s">
        <v>97</v>
      </c>
      <c r="B368" t="s">
        <v>98</v>
      </c>
      <c r="C368" t="s">
        <v>95</v>
      </c>
      <c r="D368" t="s">
        <v>99</v>
      </c>
      <c r="E368" t="s">
        <v>31</v>
      </c>
      <c r="F368" t="s">
        <v>154</v>
      </c>
      <c r="G368" t="s">
        <v>207</v>
      </c>
      <c r="H368" t="s">
        <v>211</v>
      </c>
      <c r="I368" t="s">
        <v>208</v>
      </c>
    </row>
    <row r="369" spans="1:9" x14ac:dyDescent="0.45">
      <c r="A369" t="s">
        <v>97</v>
      </c>
      <c r="B369" t="s">
        <v>98</v>
      </c>
      <c r="C369" t="s">
        <v>95</v>
      </c>
      <c r="D369" t="s">
        <v>99</v>
      </c>
      <c r="E369" t="s">
        <v>31</v>
      </c>
      <c r="F369" t="s">
        <v>216</v>
      </c>
      <c r="G369" t="s">
        <v>261</v>
      </c>
      <c r="H369" t="s">
        <v>265</v>
      </c>
      <c r="I369" t="s">
        <v>262</v>
      </c>
    </row>
    <row r="370" spans="1:9" x14ac:dyDescent="0.45">
      <c r="A370" t="s">
        <v>97</v>
      </c>
      <c r="B370" t="s">
        <v>98</v>
      </c>
      <c r="C370" t="s">
        <v>95</v>
      </c>
      <c r="D370" t="s">
        <v>99</v>
      </c>
      <c r="E370" t="s">
        <v>31</v>
      </c>
      <c r="F370" t="s">
        <v>216</v>
      </c>
      <c r="G370" t="s">
        <v>266</v>
      </c>
      <c r="H370" t="s">
        <v>270</v>
      </c>
      <c r="I370" t="s">
        <v>267</v>
      </c>
    </row>
    <row r="371" spans="1:9" x14ac:dyDescent="0.45">
      <c r="A371" t="s">
        <v>97</v>
      </c>
      <c r="B371" t="s">
        <v>98</v>
      </c>
      <c r="C371" t="s">
        <v>95</v>
      </c>
      <c r="D371" t="s">
        <v>99</v>
      </c>
      <c r="E371" t="s">
        <v>31</v>
      </c>
      <c r="F371" t="s">
        <v>329</v>
      </c>
      <c r="G371" t="s">
        <v>354</v>
      </c>
      <c r="H371" t="s">
        <v>357</v>
      </c>
      <c r="I371" t="s">
        <v>355</v>
      </c>
    </row>
    <row r="372" spans="1:9" x14ac:dyDescent="0.45">
      <c r="A372" t="s">
        <v>102</v>
      </c>
      <c r="B372" t="s">
        <v>103</v>
      </c>
      <c r="C372" t="s">
        <v>95</v>
      </c>
      <c r="D372" t="s">
        <v>104</v>
      </c>
      <c r="E372" t="s">
        <v>31</v>
      </c>
      <c r="F372" t="s">
        <v>329</v>
      </c>
      <c r="G372" t="s">
        <v>354</v>
      </c>
      <c r="H372" t="s">
        <v>357</v>
      </c>
      <c r="I372" t="s">
        <v>355</v>
      </c>
    </row>
    <row r="373" spans="1:9" x14ac:dyDescent="0.45">
      <c r="A373" t="s">
        <v>105</v>
      </c>
      <c r="B373" t="s">
        <v>106</v>
      </c>
      <c r="C373" t="s">
        <v>95</v>
      </c>
      <c r="D373" t="s">
        <v>107</v>
      </c>
      <c r="E373" t="s">
        <v>31</v>
      </c>
      <c r="F373" t="s">
        <v>154</v>
      </c>
      <c r="G373" t="s">
        <v>182</v>
      </c>
      <c r="H373" t="s">
        <v>186</v>
      </c>
      <c r="I373" t="s">
        <v>183</v>
      </c>
    </row>
    <row r="374" spans="1:9" x14ac:dyDescent="0.45">
      <c r="A374" t="s">
        <v>105</v>
      </c>
      <c r="B374" t="s">
        <v>106</v>
      </c>
      <c r="C374" t="s">
        <v>95</v>
      </c>
      <c r="D374" t="s">
        <v>107</v>
      </c>
      <c r="E374" t="s">
        <v>31</v>
      </c>
      <c r="F374" t="s">
        <v>154</v>
      </c>
      <c r="G374" t="s">
        <v>207</v>
      </c>
      <c r="H374" t="s">
        <v>211</v>
      </c>
      <c r="I374" t="s">
        <v>208</v>
      </c>
    </row>
    <row r="375" spans="1:9" x14ac:dyDescent="0.45">
      <c r="A375" t="s">
        <v>105</v>
      </c>
      <c r="B375" t="s">
        <v>106</v>
      </c>
      <c r="C375" t="s">
        <v>95</v>
      </c>
      <c r="D375" t="s">
        <v>107</v>
      </c>
      <c r="E375" t="s">
        <v>31</v>
      </c>
      <c r="F375" t="s">
        <v>216</v>
      </c>
      <c r="G375" t="s">
        <v>261</v>
      </c>
      <c r="H375" t="s">
        <v>265</v>
      </c>
      <c r="I375" t="s">
        <v>262</v>
      </c>
    </row>
    <row r="376" spans="1:9" x14ac:dyDescent="0.45">
      <c r="A376" t="s">
        <v>105</v>
      </c>
      <c r="B376" t="s">
        <v>106</v>
      </c>
      <c r="C376" t="s">
        <v>95</v>
      </c>
      <c r="D376" t="s">
        <v>107</v>
      </c>
      <c r="E376" t="s">
        <v>31</v>
      </c>
      <c r="F376" t="s">
        <v>216</v>
      </c>
      <c r="G376" t="s">
        <v>266</v>
      </c>
      <c r="H376" t="s">
        <v>270</v>
      </c>
      <c r="I376" t="s">
        <v>267</v>
      </c>
    </row>
    <row r="377" spans="1:9" x14ac:dyDescent="0.45">
      <c r="A377" t="s">
        <v>108</v>
      </c>
      <c r="B377" t="s">
        <v>109</v>
      </c>
      <c r="C377" t="s">
        <v>95</v>
      </c>
      <c r="D377" t="s">
        <v>110</v>
      </c>
      <c r="E377" t="s">
        <v>31</v>
      </c>
      <c r="F377" t="s">
        <v>154</v>
      </c>
      <c r="G377" t="s">
        <v>182</v>
      </c>
      <c r="H377" t="s">
        <v>186</v>
      </c>
      <c r="I377" t="s">
        <v>183</v>
      </c>
    </row>
    <row r="378" spans="1:9" x14ac:dyDescent="0.45">
      <c r="A378" t="s">
        <v>108</v>
      </c>
      <c r="B378" t="s">
        <v>109</v>
      </c>
      <c r="C378" t="s">
        <v>95</v>
      </c>
      <c r="D378" t="s">
        <v>110</v>
      </c>
      <c r="E378" t="s">
        <v>31</v>
      </c>
      <c r="F378" t="s">
        <v>154</v>
      </c>
      <c r="G378" t="s">
        <v>207</v>
      </c>
      <c r="H378" t="s">
        <v>211</v>
      </c>
      <c r="I378" t="s">
        <v>208</v>
      </c>
    </row>
    <row r="379" spans="1:9" x14ac:dyDescent="0.45">
      <c r="A379" t="s">
        <v>108</v>
      </c>
      <c r="B379" t="s">
        <v>109</v>
      </c>
      <c r="C379" t="s">
        <v>95</v>
      </c>
      <c r="D379" t="s">
        <v>110</v>
      </c>
      <c r="E379" t="s">
        <v>31</v>
      </c>
      <c r="F379" t="s">
        <v>216</v>
      </c>
      <c r="G379" t="s">
        <v>261</v>
      </c>
      <c r="H379" t="s">
        <v>265</v>
      </c>
      <c r="I379" t="s">
        <v>262</v>
      </c>
    </row>
    <row r="380" spans="1:9" x14ac:dyDescent="0.45">
      <c r="A380" t="s">
        <v>108</v>
      </c>
      <c r="B380" t="s">
        <v>109</v>
      </c>
      <c r="C380" t="s">
        <v>95</v>
      </c>
      <c r="D380" t="s">
        <v>110</v>
      </c>
      <c r="E380" t="s">
        <v>31</v>
      </c>
      <c r="F380" t="s">
        <v>216</v>
      </c>
      <c r="G380" t="s">
        <v>266</v>
      </c>
      <c r="H380" t="s">
        <v>270</v>
      </c>
      <c r="I380" t="s">
        <v>267</v>
      </c>
    </row>
    <row r="381" spans="1:9" x14ac:dyDescent="0.45">
      <c r="A381" t="s">
        <v>108</v>
      </c>
      <c r="B381" t="s">
        <v>109</v>
      </c>
      <c r="C381" t="s">
        <v>95</v>
      </c>
      <c r="D381" t="s">
        <v>110</v>
      </c>
      <c r="E381" t="s">
        <v>31</v>
      </c>
      <c r="F381" t="s">
        <v>329</v>
      </c>
      <c r="G381" t="s">
        <v>354</v>
      </c>
      <c r="H381" t="s">
        <v>357</v>
      </c>
      <c r="I381" t="s">
        <v>355</v>
      </c>
    </row>
    <row r="382" spans="1:9" x14ac:dyDescent="0.45">
      <c r="A382" t="s">
        <v>111</v>
      </c>
      <c r="B382" t="s">
        <v>112</v>
      </c>
      <c r="C382" t="s">
        <v>95</v>
      </c>
      <c r="D382" t="s">
        <v>113</v>
      </c>
      <c r="E382" t="s">
        <v>31</v>
      </c>
      <c r="F382" t="s">
        <v>154</v>
      </c>
      <c r="G382" t="s">
        <v>182</v>
      </c>
      <c r="H382" t="s">
        <v>186</v>
      </c>
      <c r="I382" t="s">
        <v>183</v>
      </c>
    </row>
    <row r="383" spans="1:9" x14ac:dyDescent="0.45">
      <c r="A383" t="s">
        <v>111</v>
      </c>
      <c r="B383" t="s">
        <v>112</v>
      </c>
      <c r="C383" t="s">
        <v>95</v>
      </c>
      <c r="D383" t="s">
        <v>113</v>
      </c>
      <c r="E383" t="s">
        <v>31</v>
      </c>
      <c r="F383" t="s">
        <v>154</v>
      </c>
      <c r="G383" t="s">
        <v>207</v>
      </c>
      <c r="H383" t="s">
        <v>211</v>
      </c>
      <c r="I383" t="s">
        <v>208</v>
      </c>
    </row>
    <row r="384" spans="1:9" x14ac:dyDescent="0.45">
      <c r="A384" t="s">
        <v>111</v>
      </c>
      <c r="B384" t="s">
        <v>112</v>
      </c>
      <c r="C384" t="s">
        <v>95</v>
      </c>
      <c r="D384" t="s">
        <v>113</v>
      </c>
      <c r="E384" t="s">
        <v>31</v>
      </c>
      <c r="F384" t="s">
        <v>216</v>
      </c>
      <c r="G384" t="s">
        <v>261</v>
      </c>
      <c r="H384" t="s">
        <v>265</v>
      </c>
      <c r="I384" t="s">
        <v>262</v>
      </c>
    </row>
    <row r="385" spans="1:9" x14ac:dyDescent="0.45">
      <c r="A385" t="s">
        <v>111</v>
      </c>
      <c r="B385" t="s">
        <v>112</v>
      </c>
      <c r="C385" t="s">
        <v>95</v>
      </c>
      <c r="D385" t="s">
        <v>113</v>
      </c>
      <c r="E385" t="s">
        <v>31</v>
      </c>
      <c r="F385" t="s">
        <v>216</v>
      </c>
      <c r="G385" t="s">
        <v>266</v>
      </c>
      <c r="H385" t="s">
        <v>270</v>
      </c>
      <c r="I385" t="s">
        <v>267</v>
      </c>
    </row>
    <row r="386" spans="1:9" x14ac:dyDescent="0.45">
      <c r="A386" t="s">
        <v>114</v>
      </c>
      <c r="B386" t="s">
        <v>115</v>
      </c>
      <c r="C386" t="s">
        <v>95</v>
      </c>
      <c r="D386" t="s">
        <v>116</v>
      </c>
      <c r="E386" t="s">
        <v>31</v>
      </c>
      <c r="F386" t="s">
        <v>329</v>
      </c>
      <c r="G386" t="s">
        <v>354</v>
      </c>
      <c r="H386" t="s">
        <v>357</v>
      </c>
      <c r="I386" t="s">
        <v>355</v>
      </c>
    </row>
  </sheetData>
  <autoFilter ref="A1:J386" xr:uid="{00000000-0009-0000-0000-000022000000}"/>
  <dataValidations count="1">
    <dataValidation type="list" allowBlank="1" errorTitle="Invalid Review Status" error="Choose a review status from the list." sqref="J2:J386" xr:uid="{00000000-0002-0000-2200-000000000000}">
      <formula1>"Confirmed,In Review,Blocked,Not Applicable"</formula1>
    </dataValidation>
  </dataValidations>
  <pageMargins left="0.75" right="0.75" top="1" bottom="1" header="0.5" footer="0.5"/>
  <headerFooter>
    <oddFooter>&amp;R_x000D_&amp;1#&amp;"Aptos"&amp;8&amp;K000000 Cisco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4E837C0C014154FB2B15D89EFA54B38" ma:contentTypeVersion="13" ma:contentTypeDescription="Create a new document." ma:contentTypeScope="" ma:versionID="d0030ed5fda7b73ec25d50671f929e41">
  <xsd:schema xmlns:xsd="http://www.w3.org/2001/XMLSchema" xmlns:xs="http://www.w3.org/2001/XMLSchema" xmlns:p="http://schemas.microsoft.com/office/2006/metadata/properties" xmlns:ns2="8f2b5035-1e63-4e0d-a1f8-6c8d73ef4eb4" xmlns:ns3="b5f16604-4fb8-433a-b8c7-95fecaa47cb7" targetNamespace="http://schemas.microsoft.com/office/2006/metadata/properties" ma:root="true" ma:fieldsID="4d4b8f11fdac4ee6c547e2512a2a515f" ns2:_="" ns3:_="">
    <xsd:import namespace="8f2b5035-1e63-4e0d-a1f8-6c8d73ef4eb4"/>
    <xsd:import namespace="b5f16604-4fb8-433a-b8c7-95fecaa47cb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FolderDescrip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f2b5035-1e63-4e0d-a1f8-6c8d73ef4eb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710261dd-85c0-4e16-8580-30375acfae1f"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FolderDescription" ma:index="20" nillable="true" ma:displayName="Folder Description" ma:description="Full Description of this folder" ma:format="Dropdown" ma:internalName="FolderDescription">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f16604-4fb8-433a-b8c7-95fecaa47cb7"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2b2ac4a-8ca1-4ed9-bfbf-3a99f160e351}" ma:internalName="TaxCatchAll" ma:showField="CatchAllData" ma:web="b5f16604-4fb8-433a-b8c7-95fecaa47cb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FolderDescription xmlns="8f2b5035-1e63-4e0d-a1f8-6c8d73ef4eb4" xsi:nil="true"/>
    <lcf76f155ced4ddcb4097134ff3c332f xmlns="8f2b5035-1e63-4e0d-a1f8-6c8d73ef4eb4">
      <Terms xmlns="http://schemas.microsoft.com/office/infopath/2007/PartnerControls"/>
    </lcf76f155ced4ddcb4097134ff3c332f>
    <TaxCatchAll xmlns="b5f16604-4fb8-433a-b8c7-95fecaa47cb7"/>
  </documentManagement>
</p:properties>
</file>

<file path=customXml/itemProps1.xml><?xml version="1.0" encoding="utf-8"?>
<ds:datastoreItem xmlns:ds="http://schemas.openxmlformats.org/officeDocument/2006/customXml" ds:itemID="{AD8FF0E3-90B0-434E-95ED-00F0DD0DC1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f2b5035-1e63-4e0d-a1f8-6c8d73ef4eb4"/>
    <ds:schemaRef ds:uri="b5f16604-4fb8-433a-b8c7-95fecaa47cb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433E9E6-2C25-483A-BFB3-0D3F8F44521E}">
  <ds:schemaRefs>
    <ds:schemaRef ds:uri="http://schemas.microsoft.com/sharepoint/v3/contenttype/forms"/>
  </ds:schemaRefs>
</ds:datastoreItem>
</file>

<file path=customXml/itemProps3.xml><?xml version="1.0" encoding="utf-8"?>
<ds:datastoreItem xmlns:ds="http://schemas.openxmlformats.org/officeDocument/2006/customXml" ds:itemID="{1F8500DA-D06D-40E4-A945-6CAC9E2E7790}">
  <ds:schemaRefs>
    <ds:schemaRef ds:uri="http://www.w3.org/XML/1998/namespace"/>
    <ds:schemaRef ds:uri="http://schemas.openxmlformats.org/package/2006/metadata/core-properties"/>
    <ds:schemaRef ds:uri="b5f16604-4fb8-433a-b8c7-95fecaa47cb7"/>
    <ds:schemaRef ds:uri="http://purl.org/dc/dcmitype/"/>
    <ds:schemaRef ds:uri="http://schemas.microsoft.com/office/2006/documentManagement/types"/>
    <ds:schemaRef ds:uri="http://purl.org/dc/terms/"/>
    <ds:schemaRef ds:uri="http://purl.org/dc/elements/1.1/"/>
    <ds:schemaRef ds:uri="http://schemas.microsoft.com/office/infopath/2007/PartnerControls"/>
    <ds:schemaRef ds:uri="8f2b5035-1e63-4e0d-a1f8-6c8d73ef4eb4"/>
    <ds:schemaRef ds:uri="http://schemas.microsoft.com/office/2006/metadata/properties"/>
  </ds:schemaRefs>
</ds:datastoreItem>
</file>

<file path=docMetadata/LabelInfo.xml><?xml version="1.0" encoding="utf-8"?>
<clbl:labelList xmlns:clbl="http://schemas.microsoft.com/office/2020/mipLabelMetadata">
  <clbl:label id="{c8f49a32-fde3-48a5-9266-b5b0972a22dc}" enabled="1" method="Standard" siteId="{5ae1af62-9505-4097-a69a-c1553ef7840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README</vt:lpstr>
      <vt:lpstr>Data Element Matrix</vt:lpstr>
      <vt:lpstr>Ref - Master Schema</vt:lpstr>
      <vt:lpstr>Use Case Index</vt:lpstr>
      <vt:lpstr>UC01 Content Syndication Attend</vt:lpstr>
      <vt:lpstr>UC02 Content Syndication Form S</vt:lpstr>
      <vt:lpstr>UC03 Content Syndication Attend</vt:lpstr>
      <vt:lpstr>UC04 Content Syndication Form S</vt:lpstr>
      <vt:lpstr>UC05 1st Party Events Follow-Up</vt:lpstr>
      <vt:lpstr>UC06 3rd Party Events Follow-Up</vt:lpstr>
      <vt:lpstr>UC07 Paid Leads Follow-Up Reque</vt:lpstr>
      <vt:lpstr>UC08 Webinars Follow-Up Request</vt:lpstr>
      <vt:lpstr>UC09 1st Party Events Attended </vt:lpstr>
      <vt:lpstr>UC10 1st Party Events Attended </vt:lpstr>
      <vt:lpstr>UC11 1st Party Events Attended </vt:lpstr>
      <vt:lpstr>UC12 1st Party Events Booth Sca</vt:lpstr>
      <vt:lpstr>UC13 1st Party Events Registere</vt:lpstr>
      <vt:lpstr>UC14 3rd Party Events Attended </vt:lpstr>
      <vt:lpstr>UC15 3rd Party Events Attended </vt:lpstr>
      <vt:lpstr>UC16 3rd Party Events Attended </vt:lpstr>
      <vt:lpstr>UC17 3rd Party Events Booth Sca</vt:lpstr>
      <vt:lpstr>UC18 3rd Party Events Contact R</vt:lpstr>
      <vt:lpstr>UC19 Event Sponsorships Attende</vt:lpstr>
      <vt:lpstr>UC20 Event Sponsorships Attende</vt:lpstr>
      <vt:lpstr>UC21 Event Sponsorships Registe</vt:lpstr>
      <vt:lpstr>UC22 Webinars Attended Live Vir</vt:lpstr>
      <vt:lpstr>UC23 Webinars Attended On-Deman</vt:lpstr>
      <vt:lpstr>UC24 Webinars Registered</vt:lpstr>
      <vt:lpstr>UC25 Offers - Contact Us Form S</vt:lpstr>
      <vt:lpstr>UC26 Offers - Demo Form Submit</vt:lpstr>
      <vt:lpstr>UC27 Offers - Offer Form Submit</vt:lpstr>
      <vt:lpstr>UC28 Offers - Other Form Submit</vt:lpstr>
      <vt:lpstr>UC29 Offers - Others Form Submi</vt:lpstr>
      <vt:lpstr>UC30 Offers - Promotion Form Su</vt:lpstr>
      <vt:lpstr>UC31 Offers - Trial Form Submit</vt:lpstr>
      <vt:lpstr>UC32 Offers - Trials Form Submi</vt:lpstr>
      <vt:lpstr>Open 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Amanda Chenery (achenery)</cp:lastModifiedBy>
  <dcterms:created xsi:type="dcterms:W3CDTF">2026-07-20T12:21:46Z</dcterms:created>
  <dcterms:modified xsi:type="dcterms:W3CDTF">2026-07-20T16:59:10Z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0x010100C4E837C0C014154FB2B15D89EFA54B38</vt:lpwstr>
  </property>
</Properties>
</file>