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600" firstSheet="3" activeTab="5" autoFilterDateGrouping="1"/>
  </bookViews>
  <sheets>
    <sheet name="README" sheetId="1" state="visible" r:id="rId1"/>
    <sheet name="Data Element Matrix" sheetId="2" state="visible" r:id="rId2"/>
    <sheet name="Ref - Master Schema" sheetId="3" state="hidden" r:id="rId3"/>
    <sheet name="Use Case Index" sheetId="4" state="visible" r:id="rId4"/>
    <sheet name="UC01 Content Syndication Attend" sheetId="5" state="visible" r:id="rId5"/>
    <sheet name="UC02 Content Syndication Form S" sheetId="6" state="visible" r:id="rId6"/>
    <sheet name="UC03 Content Syndication Attend" sheetId="7" state="visible" r:id="rId7"/>
    <sheet name="UC04 Content Syndication Form S" sheetId="8" state="visible" r:id="rId8"/>
    <sheet name="UC05 1st Party Events Follow-Up" sheetId="9" state="visible" r:id="rId9"/>
    <sheet name="UC06 3rd Party Events Follow-Up" sheetId="10" state="visible" r:id="rId10"/>
    <sheet name="UC07 Paid Leads Follow-Up Reque" sheetId="11" state="visible" r:id="rId11"/>
    <sheet name="UC08 Webinars Follow-Up Request" sheetId="12" state="visible" r:id="rId12"/>
    <sheet name="UC09 1st Party Events Attended " sheetId="13" state="visible" r:id="rId13"/>
    <sheet name="UC10 1st Party Events Attended " sheetId="14" state="visible" r:id="rId14"/>
    <sheet name="UC11 1st Party Events Attended " sheetId="15" state="visible" r:id="rId15"/>
    <sheet name="UC12 1st Party Events Booth Sca" sheetId="16" state="visible" r:id="rId16"/>
    <sheet name="UC13 1st Party Events Registere" sheetId="17" state="visible" r:id="rId17"/>
    <sheet name="UC14 3rd Party Events Attended " sheetId="18" state="visible" r:id="rId18"/>
    <sheet name="UC15 3rd Party Events Attended " sheetId="19" state="visible" r:id="rId19"/>
    <sheet name="UC16 3rd Party Events Attended " sheetId="20" state="visible" r:id="rId20"/>
    <sheet name="UC17 3rd Party Events Booth Sca" sheetId="21" state="visible" r:id="rId21"/>
    <sheet name="UC18 3rd Party Events Contact R" sheetId="22" state="visible" r:id="rId22"/>
    <sheet name="UC19 Event Sponsorships Attende" sheetId="23" state="visible" r:id="rId23"/>
    <sheet name="UC20 Event Sponsorships Attende" sheetId="24" state="visible" r:id="rId24"/>
    <sheet name="UC21 Event Sponsorships Registe" sheetId="25" state="visible" r:id="rId25"/>
    <sheet name="UC22 Webinars Attended Live Vir" sheetId="26" state="visible" r:id="rId26"/>
    <sheet name="UC23 Webinars Attended On-Deman" sheetId="27" state="visible" r:id="rId27"/>
    <sheet name="UC24 Webinars Registered" sheetId="28" state="visible" r:id="rId28"/>
    <sheet name="UC25 Offers - Contact Us Form S" sheetId="29" state="visible" r:id="rId29"/>
    <sheet name="UC26 Offers - Demo Form Submit" sheetId="30" state="visible" r:id="rId30"/>
    <sheet name="UC27 Offers - Offer Form Submit" sheetId="31" state="visible" r:id="rId31"/>
    <sheet name="UC28 Offers - Other Form Submit" sheetId="32" state="visible" r:id="rId32"/>
    <sheet name="UC29 Offers - Others Form Submi" sheetId="33" state="visible" r:id="rId33"/>
    <sheet name="UC30 Offers - Promotion Form Su" sheetId="34" state="visible" r:id="rId34"/>
    <sheet name="UC31 Offers - Trial Form Submit" sheetId="35" state="visible" r:id="rId35"/>
    <sheet name="UC32 Offers - Trials Form Submi" sheetId="36" state="visible" r:id="rId36"/>
    <sheet name="Open Questions" sheetId="37" state="visible" r:id="rId37"/>
  </sheets>
  <definedNames>
    <definedName name="_xlnm._FilterDatabase" localSheetId="3" hidden="1">'Use Case Index'!$A$1:$H$33</definedName>
    <definedName name="_xlnm._FilterDatabase" localSheetId="36" hidden="1">'Open Questions'!$A$1:$J$386</definedName>
  </definedNames>
  <calcPr calcId="19102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sz val="11"/>
    </font>
    <font>
      <name val="Calibri"/>
      <b val="1"/>
      <color rgb="FFFFFFFF"/>
      <sz val="11"/>
    </font>
    <font>
      <name val="Calibri"/>
      <family val="2"/>
      <b val="1"/>
      <sz val="11"/>
    </font>
    <font>
      <name val="Calibri"/>
      <family val="2"/>
      <b val="1"/>
      <color rgb="FFFFFFFF"/>
      <sz val="11"/>
    </font>
    <font>
      <color rgb="000563C1"/>
      <u val="single"/>
    </font>
    <font>
      <b val="1"/>
      <sz val="14"/>
    </font>
    <font>
      <b val="1"/>
      <sz val="11"/>
    </font>
  </fonts>
  <fills count="7">
    <fill>
      <patternFill/>
    </fill>
    <fill>
      <patternFill patternType="gray125"/>
    </fill>
    <fill>
      <patternFill patternType="solid">
        <fgColor rgb="FF1F4E79"/>
        <bgColor rgb="FF1F4E79"/>
      </patternFill>
    </fill>
    <fill>
      <patternFill patternType="solid">
        <fgColor rgb="FF2F5496"/>
        <bgColor rgb="FF2F5496"/>
      </patternFill>
    </fill>
    <fill>
      <patternFill patternType="solid">
        <fgColor rgb="FFE7E6E6"/>
        <bgColor rgb="FFE7E6E6"/>
      </patternFill>
    </fill>
    <fill>
      <patternFill patternType="solid">
        <fgColor rgb="FFD6DCE4"/>
        <bgColor rgb="FFD6DCE4"/>
      </patternFill>
    </fill>
    <fill>
      <patternFill patternType="solid">
        <fgColor rgb="FFF2F2F2"/>
        <bgColor rgb="FFF2F2F2"/>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2" fillId="4" borderId="0" pivotButton="0" quotePrefix="0" xfId="0"/>
    <xf numFmtId="0" fontId="0" fillId="6" borderId="0" pivotButton="0" quotePrefix="0" xfId="0"/>
    <xf numFmtId="0" fontId="2" fillId="5" borderId="0" pivotButton="0" quotePrefix="0" xfId="0"/>
    <xf numFmtId="0" fontId="0" fillId="0" borderId="0" pivotButton="0" quotePrefix="0" xfId="0"/>
    <xf numFmtId="0" fontId="3" fillId="3" borderId="0" applyAlignment="1" pivotButton="0" quotePrefix="0" xfId="0">
      <alignment vertical="center" wrapText="1"/>
    </xf>
    <xf numFmtId="0" fontId="0" fillId="0" borderId="0" applyAlignment="1" pivotButton="0" quotePrefix="0" xfId="0">
      <alignment textRotation="46"/>
    </xf>
    <xf numFmtId="0" fontId="4" fillId="5" borderId="0" pivotButton="0" quotePrefix="0" xfId="0"/>
    <xf numFmtId="0" fontId="5" fillId="2" borderId="0" applyAlignment="1" pivotButton="0" quotePrefix="0" xfId="0">
      <alignment vertical="top" wrapText="1"/>
    </xf>
    <xf numFmtId="0" fontId="7" fillId="0" borderId="0" pivotButton="0" quotePrefix="0" xfId="0"/>
    <xf numFmtId="0" fontId="8" fillId="0" borderId="0" pivotButton="0" quotePrefix="0" xfId="0"/>
    <xf numFmtId="0" fontId="6" fillId="0" borderId="0" pivotButton="0" quotePrefix="0" xfId="0"/>
  </cellXfs>
  <cellStyles count="1">
    <cellStyle name="Normal" xfId="0" builtinId="0"/>
  </cellStyles>
  <dxfs count="264">
    <dxf>
      <font>
        <b val="1"/>
        <strike val="0"/>
        <color rgb="FF00B050"/>
      </font>
    </dxf>
    <dxf>
      <font>
        <color theme="0" tint="-0.1499679555650502"/>
      </font>
      <fill>
        <patternFill>
          <bgColor theme="0" tint="-0.0499893185216834"/>
        </patternFill>
      </fill>
    </dxf>
    <dxf>
      <fill>
        <patternFill>
          <bgColor theme="6"/>
        </patternFill>
      </fill>
    </dxf>
    <dxf>
      <fill>
        <patternFill>
          <bgColor theme="4"/>
        </patternFill>
      </fill>
    </dxf>
    <dxf>
      <fill>
        <patternFill>
          <bgColor theme="6"/>
        </patternFill>
      </fill>
    </dxf>
    <dxf>
      <fill>
        <patternFill>
          <bgColor theme="7"/>
        </patternFill>
      </fill>
    </dxf>
    <dxf>
      <fill>
        <patternFill>
          <bgColor theme="5"/>
        </patternFill>
      </fill>
    </dxf>
    <dxf>
      <fill>
        <patternFill>
          <bgColor theme="4"/>
        </patternFill>
      </fill>
    </dxf>
    <dxf>
      <fill>
        <patternFill>
          <bgColor theme="6"/>
        </patternFill>
      </fill>
    </dxf>
    <dxf>
      <fill>
        <patternFill>
          <bgColor theme="7"/>
        </patternFill>
      </fill>
    </dxf>
    <dxf>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b val="1"/>
        <strike val="0"/>
        <color rgb="FF00B050"/>
      </font>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b val="1"/>
        <color theme="2" tint="0.7999816888943144"/>
      </font>
      <fill>
        <patternFill patternType="solid">
          <bgColor theme="0" tint="-0.249946592608417"/>
        </patternFill>
      </fill>
    </dxf>
    <dxf>
      <font>
        <b val="1"/>
        <color rgb="FF00B050"/>
      </font>
      <fill>
        <patternFill>
          <bgColor auto="1"/>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b val="1"/>
        <color theme="2" tint="0.7999816888943144"/>
      </font>
      <fill>
        <patternFill patternType="solid">
          <bgColor theme="0" tint="-0.249946592608417"/>
        </patternFill>
      </fill>
    </dxf>
    <dxf>
      <font>
        <b val="1"/>
        <color rgb="FF00B050"/>
      </font>
      <fill>
        <patternFill>
          <bgColor auto="1"/>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b val="1"/>
        <color theme="2" tint="0.7999816888943144"/>
      </font>
      <fill>
        <patternFill patternType="solid">
          <bgColor theme="0" tint="-0.249946592608417"/>
        </patternFill>
      </fill>
    </dxf>
    <dxf>
      <font>
        <b val="1"/>
        <color rgb="FF00B050"/>
      </font>
      <fill>
        <patternFill>
          <bgColor auto="1"/>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b val="1"/>
        <color theme="2" tint="0.7999816888943144"/>
      </font>
      <fill>
        <patternFill patternType="solid">
          <bgColor theme="0" tint="-0.249946592608417"/>
        </patternFill>
      </fill>
    </dxf>
    <dxf>
      <font>
        <b val="1"/>
        <color rgb="FF00B050"/>
      </font>
      <fill>
        <patternFill>
          <bgColor auto="1"/>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b val="1"/>
        <color theme="2" tint="0.7999816888943144"/>
      </font>
      <fill>
        <patternFill patternType="solid">
          <bgColor theme="0" tint="-0.249946592608417"/>
        </patternFill>
      </fill>
    </dxf>
    <dxf>
      <font>
        <b val="1"/>
        <color rgb="FF00B050"/>
      </font>
      <fill>
        <patternFill>
          <bgColor auto="1"/>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b val="1"/>
        <color theme="2" tint="0.7999816888943144"/>
      </font>
      <fill>
        <patternFill patternType="solid">
          <bgColor theme="0" tint="-0.249946592608417"/>
        </patternFill>
      </fill>
    </dxf>
    <dxf>
      <font>
        <b val="1"/>
        <color rgb="FF00B050"/>
      </font>
      <fill>
        <patternFill>
          <bgColor auto="1"/>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b val="1"/>
        <color rgb="FF00B050"/>
      </font>
      <fill>
        <patternFill>
          <bgColor auto="1"/>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b val="1"/>
        <color rgb="FF00B050"/>
      </font>
      <fill>
        <patternFill>
          <bgColor auto="1"/>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b val="1"/>
        <color rgb="FF00B050"/>
      </font>
      <fill>
        <patternFill>
          <bgColor auto="1"/>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b val="1"/>
        <color rgb="FF00B050"/>
      </font>
      <fill>
        <patternFill>
          <bgColor auto="1"/>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7"/>
        </patternFill>
      </fill>
    </dxf>
    <dxf>
      <font>
        <color theme="0"/>
      </font>
      <fill>
        <patternFill>
          <bgColor theme="6"/>
        </patternFill>
      </fill>
    </dxf>
    <dxf>
      <font>
        <color theme="0"/>
      </font>
      <fill>
        <patternFill>
          <bgColor theme="4"/>
        </patternFill>
      </fill>
    </dxf>
    <dxf>
      <font>
        <color theme="0"/>
      </font>
      <fill>
        <patternFill>
          <bgColor theme="8"/>
        </patternFill>
      </fill>
    </dxf>
    <dxf>
      <font>
        <color theme="0"/>
      </font>
      <fill>
        <patternFill>
          <bgColor theme="8"/>
        </patternFill>
      </fill>
    </dxf>
    <dxf>
      <font>
        <color theme="0"/>
      </font>
      <fill>
        <patternFill>
          <bgColor theme="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styles" Target="styles.xml" Id="rId38" /><Relationship Type="http://schemas.openxmlformats.org/officeDocument/2006/relationships/theme" Target="theme/theme1.xml" Id="rId39" /></Relationships>
</file>

<file path=xl/theme/theme1.xml><?xml version="1.0" encoding="utf-8"?>
<a:theme xmlns:a="http://schemas.openxmlformats.org/drawingml/2006/main" name="Office Theme">
  <a:themeElements>
    <a:clrScheme name="Cisco FY26">
      <a:dk1>
        <a:srgbClr val="07182D"/>
      </a:dk1>
      <a:lt1>
        <a:srgbClr val="FFFFFF"/>
      </a:lt1>
      <a:dk2>
        <a:srgbClr val="525E6C"/>
      </a:dk2>
      <a:lt2>
        <a:srgbClr val="B4B9C0"/>
      </a:lt2>
      <a:accent1>
        <a:srgbClr val="02C8FF"/>
      </a:accent1>
      <a:accent2>
        <a:srgbClr val="0A60FF"/>
      </a:accent2>
      <a:accent3>
        <a:srgbClr val="FF007F"/>
      </a:accent3>
      <a:accent4>
        <a:srgbClr val="FF9000"/>
      </a:accent4>
      <a:accent5>
        <a:srgbClr val="D6D6D6"/>
      </a:accent5>
      <a:accent6>
        <a:srgbClr val="6B6B6B"/>
      </a:accent6>
      <a:hlink>
        <a:srgbClr val="07182D"/>
      </a:hlink>
      <a:folHlink>
        <a:srgbClr val="C0C0C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UC01 Content Syndication Attend'!A1" TargetMode="External" Id="rId1" /><Relationship Type="http://schemas.openxmlformats.org/officeDocument/2006/relationships/hyperlink" Target="#'UC02 Content Syndication Form S'!A1" TargetMode="External" Id="rId2" /><Relationship Type="http://schemas.openxmlformats.org/officeDocument/2006/relationships/hyperlink" Target="#'UC03 Content Syndication Attend'!A1" TargetMode="External" Id="rId3" /><Relationship Type="http://schemas.openxmlformats.org/officeDocument/2006/relationships/hyperlink" Target="#'UC04 Content Syndication Form S'!A1" TargetMode="External" Id="rId4" /><Relationship Type="http://schemas.openxmlformats.org/officeDocument/2006/relationships/hyperlink" Target="#'UC05 1st Party Events Follow-Up'!A1" TargetMode="External" Id="rId5" /><Relationship Type="http://schemas.openxmlformats.org/officeDocument/2006/relationships/hyperlink" Target="#'UC06 3rd Party Events Follow-Up'!A1" TargetMode="External" Id="rId6" /><Relationship Type="http://schemas.openxmlformats.org/officeDocument/2006/relationships/hyperlink" Target="#'UC07 Paid Leads Follow-Up Reque'!A1" TargetMode="External" Id="rId7" /><Relationship Type="http://schemas.openxmlformats.org/officeDocument/2006/relationships/hyperlink" Target="#'UC08 Webinars Follow-Up Request'!A1" TargetMode="External" Id="rId8" /><Relationship Type="http://schemas.openxmlformats.org/officeDocument/2006/relationships/hyperlink" Target="#'UC09 1st Party Events Attended '!A1" TargetMode="External" Id="rId9" /><Relationship Type="http://schemas.openxmlformats.org/officeDocument/2006/relationships/hyperlink" Target="#'UC10 1st Party Events Attended '!A1" TargetMode="External" Id="rId10" /><Relationship Type="http://schemas.openxmlformats.org/officeDocument/2006/relationships/hyperlink" Target="#'UC11 1st Party Events Attended '!A1" TargetMode="External" Id="rId11" /><Relationship Type="http://schemas.openxmlformats.org/officeDocument/2006/relationships/hyperlink" Target="#'UC12 1st Party Events Booth Sca'!A1" TargetMode="External" Id="rId12" /><Relationship Type="http://schemas.openxmlformats.org/officeDocument/2006/relationships/hyperlink" Target="#'UC13 1st Party Events Registere'!A1" TargetMode="External" Id="rId13" /><Relationship Type="http://schemas.openxmlformats.org/officeDocument/2006/relationships/hyperlink" Target="#'UC14 3rd Party Events Attended '!A1" TargetMode="External" Id="rId14" /><Relationship Type="http://schemas.openxmlformats.org/officeDocument/2006/relationships/hyperlink" Target="#'UC15 3rd Party Events Attended '!A1" TargetMode="External" Id="rId15" /><Relationship Type="http://schemas.openxmlformats.org/officeDocument/2006/relationships/hyperlink" Target="#'UC16 3rd Party Events Attended '!A1" TargetMode="External" Id="rId16" /><Relationship Type="http://schemas.openxmlformats.org/officeDocument/2006/relationships/hyperlink" Target="#'UC17 3rd Party Events Booth Sca'!A1" TargetMode="External" Id="rId17" /><Relationship Type="http://schemas.openxmlformats.org/officeDocument/2006/relationships/hyperlink" Target="#'UC18 3rd Party Events Contact R'!A1" TargetMode="External" Id="rId18" /><Relationship Type="http://schemas.openxmlformats.org/officeDocument/2006/relationships/hyperlink" Target="#'UC19 Event Sponsorships Attende'!A1" TargetMode="External" Id="rId19" /><Relationship Type="http://schemas.openxmlformats.org/officeDocument/2006/relationships/hyperlink" Target="#'UC20 Event Sponsorships Attende'!A1" TargetMode="External" Id="rId20" /><Relationship Type="http://schemas.openxmlformats.org/officeDocument/2006/relationships/hyperlink" Target="#'UC21 Event Sponsorships Registe'!A1" TargetMode="External" Id="rId21" /><Relationship Type="http://schemas.openxmlformats.org/officeDocument/2006/relationships/hyperlink" Target="#'UC22 Webinars Attended Live Vir'!A1" TargetMode="External" Id="rId22" /><Relationship Type="http://schemas.openxmlformats.org/officeDocument/2006/relationships/hyperlink" Target="#'UC23 Webinars Attended On-Deman'!A1" TargetMode="External" Id="rId23" /><Relationship Type="http://schemas.openxmlformats.org/officeDocument/2006/relationships/hyperlink" Target="#'UC24 Webinars Registered'!A1" TargetMode="External" Id="rId24" /><Relationship Type="http://schemas.openxmlformats.org/officeDocument/2006/relationships/hyperlink" Target="#'UC25 Offers - Contact Us Form S'!A1" TargetMode="External" Id="rId25" /><Relationship Type="http://schemas.openxmlformats.org/officeDocument/2006/relationships/hyperlink" Target="#'UC26 Offers - Demo Form Submit'!A1" TargetMode="External" Id="rId26" /><Relationship Type="http://schemas.openxmlformats.org/officeDocument/2006/relationships/hyperlink" Target="#'UC27 Offers - Offer Form Submit'!A1" TargetMode="External" Id="rId27" /><Relationship Type="http://schemas.openxmlformats.org/officeDocument/2006/relationships/hyperlink" Target="#'UC28 Offers - Other Form Submit'!A1" TargetMode="External" Id="rId28" /><Relationship Type="http://schemas.openxmlformats.org/officeDocument/2006/relationships/hyperlink" Target="#'UC29 Offers - Others Form Submi'!A1" TargetMode="External" Id="rId29" /><Relationship Type="http://schemas.openxmlformats.org/officeDocument/2006/relationships/hyperlink" Target="#'UC30 Offers - Promotion Form Su'!A1" TargetMode="External" Id="rId30" /><Relationship Type="http://schemas.openxmlformats.org/officeDocument/2006/relationships/hyperlink" Target="#'UC31 Offers - Trial Form Submit'!A1" TargetMode="External" Id="rId31" /><Relationship Type="http://schemas.openxmlformats.org/officeDocument/2006/relationships/hyperlink" Target="#'UC32 Offers - Trials Form Submi'!A1" TargetMode="External" Id="rId32" /></Relationships>
</file>

<file path=xl/worksheets/_rels/sheet5.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6.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7.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8.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9.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10.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11.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12.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13.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14.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15.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16.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17.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18.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19.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20.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21.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22.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23.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24.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25.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26.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27.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28.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29.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30.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31.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32.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33.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34.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35.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36.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5" sqref="A5"/>
    </sheetView>
  </sheetViews>
  <sheetFormatPr baseColWidth="8" defaultRowHeight="14.25"/>
  <cols>
    <col width="105" customWidth="1" style="7" min="1" max="1"/>
  </cols>
  <sheetData>
    <row r="1" ht="18" customHeight="1" s="7">
      <c r="A1" s="12" t="inlineStr">
        <is>
          <t>Baseline Data Use Case Alignment — Day 20 V2</t>
        </is>
      </c>
    </row>
    <row r="2">
      <c r="A2" t="inlineStr"/>
    </row>
    <row r="3">
      <c r="A3" s="13" t="inlineStr">
        <is>
          <t>Purpose</t>
        </is>
      </c>
    </row>
    <row r="4">
      <c r="A4" t="inlineStr">
        <is>
          <t>One sheet per use case to review required data elements, why each is needed, and outstanding questions. Dynamic counts on the Use Case Index and Data Element Matrix are driven by formulas — do not change them.</t>
        </is>
      </c>
    </row>
    <row r="5">
      <c r="A5" t="inlineStr"/>
    </row>
    <row r="6">
      <c r="A6" s="13" t="inlineStr">
        <is>
          <t>Team review rules (audit)</t>
        </is>
      </c>
    </row>
    <row r="7">
      <c r="A7" s="2" t="inlineStr">
        <is>
          <t>• Do NOT edit formulas, structured fields, or cells outside your comment column.</t>
        </is>
      </c>
    </row>
    <row r="8">
      <c r="A8" t="inlineStr">
        <is>
          <t>• Do NOT change another reviewer’s comments.</t>
        </is>
      </c>
    </row>
    <row r="9">
      <c r="A9" t="inlineStr">
        <is>
          <t>• Add all feedback only in the column with your name: Kim Comments, Stephanie Comments, or Briana Comments (on each use case tab, before Review Status).</t>
        </is>
      </c>
    </row>
    <row r="10">
      <c r="A10" t="inlineStr">
        <is>
          <t>• Use Review Status only when confirming overall status for that data element row.</t>
        </is>
      </c>
    </row>
    <row r="11">
      <c r="A11" t="inlineStr"/>
    </row>
    <row r="12">
      <c r="A12" s="13" t="inlineStr">
        <is>
          <t>Navigation</t>
        </is>
      </c>
    </row>
    <row r="13">
      <c r="A13" t="inlineStr">
        <is>
          <t>• Use Case Index — Sheet Name links open the matching use case tab.</t>
        </is>
      </c>
    </row>
    <row r="14">
      <c r="A14" t="inlineStr">
        <is>
          <t>• Each use case tab row 2 links back to Use Case Index and Data Element Matrix.</t>
        </is>
      </c>
    </row>
    <row r="15">
      <c r="A15" t="inlineStr"/>
    </row>
    <row r="16">
      <c r="A16" s="13" t="inlineStr">
        <is>
          <t>Sheets</t>
        </is>
      </c>
    </row>
    <row r="17">
      <c r="A17" t="inlineStr">
        <is>
          <t>• Data Element Matrix — cross-use-case field presence (formula-driven).</t>
        </is>
      </c>
    </row>
    <row r="18">
      <c r="A18" t="inlineStr">
        <is>
          <t>• Ref - Master Schema — reference definitions.</t>
        </is>
      </c>
    </row>
    <row r="19">
      <c r="A19" t="inlineStr">
        <is>
          <t>• UC01–UC32 — one tab per use case.</t>
        </is>
      </c>
    </row>
    <row r="20">
      <c r="A20" t="inlineStr">
        <is>
          <t>• Open Questions — consolidated follow-ups.</t>
        </is>
      </c>
    </row>
  </sheetData>
  <pageMargins left="0.75" right="0.75" top="1" bottom="1" header="0.5" footer="0.5"/>
  <headerFooter>
    <oddHeader/>
    <oddFooter>&amp;R&amp;"Aptos"&amp;8 &amp;K000000_x000d_# Cisco Confidential</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2:AG158"/>
  <sheetViews>
    <sheetView workbookViewId="0">
      <selection activeCell="K2" sqref="K2"/>
    </sheetView>
  </sheetViews>
  <sheetFormatPr baseColWidth="8" defaultRowHeight="14.25"/>
  <cols>
    <col width="70" bestFit="1" customWidth="1" style="7" min="1" max="1"/>
    <col width="4.9296875" bestFit="1" customWidth="1" style="7" min="2" max="2"/>
    <col width="3.19921875" bestFit="1" customWidth="1" style="7" min="3" max="33"/>
  </cols>
  <sheetData>
    <row r="2" ht="119.25" customHeight="1" s="7">
      <c r="B2" s="9">
        <f>'Use Case Index'!$B2</f>
        <v/>
      </c>
      <c r="C2" s="9">
        <f>'Use Case Index'!$B3</f>
        <v/>
      </c>
      <c r="D2" s="9">
        <f>'Use Case Index'!$B3</f>
        <v/>
      </c>
      <c r="E2" s="9">
        <f>'Use Case Index'!$B4</f>
        <v/>
      </c>
      <c r="F2" s="9">
        <f>'Use Case Index'!$B5</f>
        <v/>
      </c>
      <c r="G2" s="9">
        <f>'Use Case Index'!$B6</f>
        <v/>
      </c>
      <c r="H2" s="9">
        <f>'Use Case Index'!$B7</f>
        <v/>
      </c>
      <c r="I2" s="9">
        <f>'Use Case Index'!$B8</f>
        <v/>
      </c>
      <c r="J2" s="9">
        <f>'Use Case Index'!$B9</f>
        <v/>
      </c>
      <c r="K2" s="9">
        <f>'Use Case Index'!$B10</f>
        <v/>
      </c>
      <c r="L2" s="9">
        <f>'Use Case Index'!$B11</f>
        <v/>
      </c>
      <c r="M2" s="9">
        <f>'Use Case Index'!$B12</f>
        <v/>
      </c>
      <c r="N2" s="9">
        <f>'Use Case Index'!$B13</f>
        <v/>
      </c>
      <c r="O2" s="9">
        <f>'Use Case Index'!$B14</f>
        <v/>
      </c>
      <c r="P2" s="9">
        <f>'Use Case Index'!$B15</f>
        <v/>
      </c>
      <c r="Q2" s="9">
        <f>'Use Case Index'!$B16</f>
        <v/>
      </c>
      <c r="R2" s="9">
        <f>'Use Case Index'!$B17</f>
        <v/>
      </c>
      <c r="S2" s="9">
        <f>'Use Case Index'!$B18</f>
        <v/>
      </c>
      <c r="T2" s="9">
        <f>'Use Case Index'!$B19</f>
        <v/>
      </c>
      <c r="U2" s="9">
        <f>'Use Case Index'!$B20</f>
        <v/>
      </c>
      <c r="V2" s="9">
        <f>'Use Case Index'!$B21</f>
        <v/>
      </c>
      <c r="W2" s="9">
        <f>'Use Case Index'!$B22</f>
        <v/>
      </c>
      <c r="X2" s="9">
        <f>'Use Case Index'!$B23</f>
        <v/>
      </c>
      <c r="Y2" s="9">
        <f>'Use Case Index'!$B24</f>
        <v/>
      </c>
      <c r="Z2" s="9">
        <f>'Use Case Index'!$B25</f>
        <v/>
      </c>
      <c r="AA2" s="9">
        <f>'Use Case Index'!$B6</f>
        <v/>
      </c>
      <c r="AB2" s="9">
        <f>'Use Case Index'!$B27</f>
        <v/>
      </c>
      <c r="AC2" s="9">
        <f>'Use Case Index'!$B28</f>
        <v/>
      </c>
      <c r="AD2" s="9">
        <f>'Use Case Index'!$B29</f>
        <v/>
      </c>
      <c r="AE2" s="9">
        <f>'Use Case Index'!$B30</f>
        <v/>
      </c>
      <c r="AF2" s="9">
        <f>'Use Case Index'!$B31</f>
        <v/>
      </c>
      <c r="AG2" s="9">
        <f>'Use Case Index'!$B32</f>
        <v/>
      </c>
    </row>
    <row r="3">
      <c r="A3">
        <f t="array" ref="A3:A91">_xlfn.LET(
    _xlpm.RawElements, _xlfn.UNIQUE(_xlfn._xlws.FILTER(
        _xlfn.VSTACK(
            'UC01 Content Syndication Attend'!$A$7:$A$100, 'UC02 Content Syndication Form S'!$A$7:$A$100,
            'UC03 Content Syndication Attend'!$A$7:$A$100, 'UC04 Content Syndication Form S'!$A$7:$A$100,
            'UC05 1st Party Events Follow-Up'!$A$7:$A$100, 'UC06 3rd Party Events Follow-Up'!$A$7:$A$100
        ),
        (_xlfn.VSTACK(
            'UC01 Content Syndication Attend'!$A$7:$A$100, 'UC02 Content Syndication Form S'!$A$7:$A$100,
            'UC03 Content Syndication Attend'!$A$7:$A$100, 'UC04 Content Syndication Form S'!$A$7:$A$100,
            'UC05 1st Party Events Follow-Up'!$A$7:$A$100, 'UC06 3rd Party Events Follow-Up'!$A$7:$A$100
        )&lt;&gt;"")
    )),
    _xlpm.DataElementsOnly, _xlfn._xlws.FILTER(_xlpm.RawElements, ISERROR(VALUE(LEFT(_xlpm.RawElements, 1)))),
    _xlpm.ElementSections, _xlfn.XLOOKUP(_xlpm.DataElementsOnly, 'Ref - Master Schema'!$A:$A, 'Ref - Master Schema'!$B:$B, "Unassigned"),
    _xlpm.SortedElements, _xlfn.SORTBY(_xlpm.DataElementsOnly, LEFT(_xlpm.ElementSections, 1), 1, _xlpm.DataElementsOnly, 1),
    _xlpm.SectionsOnly, _xlfn.UNIQUE(_xlfn._xlws.FILTER('Ref - Master Schema'!$B:$B, 'Ref - Master Schema'!$B:$B&lt;&gt;"")),
    _xlfn.SORTBY(_xlfn.VSTACK(_xlpm.SectionsOnly, _xlpm.DataElementsOnly), LEFT(IFERROR(_xlfn.XLOOKUP(_xlfn.VSTACK(_xlpm.SectionsOnly, _xlpm.DataElementsOnly), 'Ref - Master Schema'!$A:$A, 'Ref - Master Schema'!$B:$B), _xlfn.VSTACK(_xlpm.SectionsOnly, _xlpm.DataElementsOnly)), 1), 1)
)</f>
        <v/>
      </c>
      <c r="B3">
        <f t="array" ref="B3">IF(
    ISNUMBER(VALUE(LEFT($A3, 1))),
    "",
    IFERROR(IF(_xlfn.XLOOKUP($A3, INDIRECT("'" &amp; B$2 &amp; "'!$A:$A"), INDIRECT("'" &amp; B$2 &amp; "'!$B:$B"), "")&lt;&gt;"", "✓", "✗"), "✗")
)</f>
        <v/>
      </c>
      <c r="C3">
        <f t="array" ref="C3">IF(
    ISNUMBER(VALUE(LEFT($A3, 1))),
    "",
    IFERROR(IF(_xlfn.XLOOKUP($A3, INDIRECT("'" &amp; C$2 &amp; "'!$A:$A"), INDIRECT("'" &amp; C$2 &amp; "'!$B:$B"), "")&lt;&gt;"", "✓", "✗"), "✗")
)</f>
        <v/>
      </c>
      <c r="D3">
        <f t="array" ref="D3">IF(
    ISNUMBER(VALUE(LEFT($A3, 1))),
    "",
    IFERROR(IF(_xlfn.XLOOKUP($A3, INDIRECT("'" &amp; D$2 &amp; "'!$A:$A"), INDIRECT("'" &amp; D$2 &amp; "'!$B:$B"), "")&lt;&gt;"", "✓", "✗"), "✗")
)</f>
        <v/>
      </c>
      <c r="E3">
        <f t="array" ref="E3">IF(
    ISNUMBER(VALUE(LEFT($A3, 1))),
    "",
    IFERROR(IF(_xlfn.XLOOKUP($A3, INDIRECT("'" &amp; E$2 &amp; "'!$A:$A"), INDIRECT("'" &amp; E$2 &amp; "'!$B:$B"), "")&lt;&gt;"", "✓", "✗"), "✗")
)</f>
        <v/>
      </c>
      <c r="F3">
        <f t="array" ref="F3">IF(
    ISNUMBER(VALUE(LEFT($A3, 1))),
    "",
    IFERROR(IF(_xlfn.XLOOKUP($A3, INDIRECT("'" &amp; F$2 &amp; "'!$A:$A"), INDIRECT("'" &amp; F$2 &amp; "'!$B:$B"), "")&lt;&gt;"", "✓", "✗"), "✗")
)</f>
        <v/>
      </c>
      <c r="G3">
        <f t="array" ref="G3">IF(
    ISNUMBER(VALUE(LEFT($A3, 1))),
    "",
    IFERROR(IF(_xlfn.XLOOKUP($A3, INDIRECT("'" &amp; G$2 &amp; "'!$A:$A"), INDIRECT("'" &amp; G$2 &amp; "'!$B:$B"), "")&lt;&gt;"", "✓", "✗"), "✗")
)</f>
        <v/>
      </c>
      <c r="H3">
        <f t="array" ref="H3">IF(
    ISNUMBER(VALUE(LEFT($A3, 1))),
    "",
    IFERROR(IF(_xlfn.XLOOKUP($A3, INDIRECT("'" &amp; H$2 &amp; "'!$A:$A"), INDIRECT("'" &amp; H$2 &amp; "'!$B:$B"), "")&lt;&gt;"", "✓", "✗"), "✗")
)</f>
        <v/>
      </c>
      <c r="I3">
        <f t="array" ref="I3">IF(
    ISNUMBER(VALUE(LEFT($A3, 1))),
    "",
    IFERROR(IF(_xlfn.XLOOKUP($A3, INDIRECT("'" &amp; I$2 &amp; "'!$A:$A"), INDIRECT("'" &amp; I$2 &amp; "'!$B:$B"), "")&lt;&gt;"", "✓", "✗"), "✗")
)</f>
        <v/>
      </c>
      <c r="J3">
        <f t="array" ref="J3">IF(
    ISNUMBER(VALUE(LEFT($A3, 1))),
    "",
    IFERROR(IF(_xlfn.XLOOKUP($A3, INDIRECT("'" &amp; J$2 &amp; "'!$A:$A"), INDIRECT("'" &amp; J$2 &amp; "'!$B:$B"), "")&lt;&gt;"", "✓", "✗"), "✗")
)</f>
        <v/>
      </c>
      <c r="K3">
        <f t="array" ref="K3">IF(
    ISNUMBER(VALUE(LEFT($A3, 1))),
    "",
    IFERROR(IF(_xlfn.XLOOKUP($A3, INDIRECT("'" &amp; K$2 &amp; "'!$A:$A"), INDIRECT("'" &amp; K$2 &amp; "'!$B:$B"), "")&lt;&gt;"", "✓", "✗"), "✗")
)</f>
        <v/>
      </c>
      <c r="L3">
        <f t="array" ref="L3">IF(
    ISNUMBER(VALUE(LEFT($A3, 1))),
    "",
    IFERROR(IF(_xlfn.XLOOKUP($A3, INDIRECT("'" &amp; L$2 &amp; "'!$A:$A"), INDIRECT("'" &amp; L$2 &amp; "'!$B:$B"), "")&lt;&gt;"", "✓", "✗"), "✗")
)</f>
        <v/>
      </c>
      <c r="M3">
        <f t="array" ref="M3">IF(
    ISNUMBER(VALUE(LEFT($A3, 1))),
    "",
    IFERROR(IF(_xlfn.XLOOKUP($A3, INDIRECT("'" &amp; M$2 &amp; "'!$A:$A"), INDIRECT("'" &amp; M$2 &amp; "'!$B:$B"), "")&lt;&gt;"", "✓", "✗"), "✗")
)</f>
        <v/>
      </c>
      <c r="N3">
        <f t="array" ref="N3">IF(
    ISNUMBER(VALUE(LEFT($A3, 1))),
    "",
    IFERROR(IF(_xlfn.XLOOKUP($A3, INDIRECT("'" &amp; N$2 &amp; "'!$A:$A"), INDIRECT("'" &amp; N$2 &amp; "'!$B:$B"), "")&lt;&gt;"", "✓", "✗"), "✗")
)</f>
        <v/>
      </c>
      <c r="O3">
        <f t="array" ref="O3">IF(
    ISNUMBER(VALUE(LEFT($A3, 1))),
    "",
    IFERROR(IF(_xlfn.XLOOKUP($A3, INDIRECT("'" &amp; O$2 &amp; "'!$A:$A"), INDIRECT("'" &amp; O$2 &amp; "'!$B:$B"), "")&lt;&gt;"", "✓", "✗"), "✗")
)</f>
        <v/>
      </c>
      <c r="P3">
        <f t="array" ref="P3">IF(
    ISNUMBER(VALUE(LEFT($A3, 1))),
    "",
    IFERROR(IF(_xlfn.XLOOKUP($A3, INDIRECT("'" &amp; P$2 &amp; "'!$A:$A"), INDIRECT("'" &amp; P$2 &amp; "'!$B:$B"), "")&lt;&gt;"", "✓", "✗"), "✗")
)</f>
        <v/>
      </c>
      <c r="Q3">
        <f t="array" ref="Q3">IF(
    ISNUMBER(VALUE(LEFT($A3, 1))),
    "",
    IFERROR(IF(_xlfn.XLOOKUP($A3, INDIRECT("'" &amp; Q$2 &amp; "'!$A:$A"), INDIRECT("'" &amp; Q$2 &amp; "'!$B:$B"), "")&lt;&gt;"", "✓", "✗"), "✗")
)</f>
        <v/>
      </c>
      <c r="R3">
        <f t="array" ref="R3">IF(
    ISNUMBER(VALUE(LEFT($A3, 1))),
    "",
    IFERROR(IF(_xlfn.XLOOKUP($A3, INDIRECT("'" &amp; R$2 &amp; "'!$A:$A"), INDIRECT("'" &amp; R$2 &amp; "'!$B:$B"), "")&lt;&gt;"", "✓", "✗"), "✗")
)</f>
        <v/>
      </c>
      <c r="S3">
        <f t="array" ref="S3">IF(
    ISNUMBER(VALUE(LEFT($A3, 1))),
    "",
    IFERROR(IF(_xlfn.XLOOKUP($A3, INDIRECT("'" &amp; S$2 &amp; "'!$A:$A"), INDIRECT("'" &amp; S$2 &amp; "'!$B:$B"), "")&lt;&gt;"", "✓", "✗"), "✗")
)</f>
        <v/>
      </c>
      <c r="T3">
        <f t="array" ref="T3">IF(
    ISNUMBER(VALUE(LEFT($A3, 1))),
    "",
    IFERROR(IF(_xlfn.XLOOKUP($A3, INDIRECT("'" &amp; T$2 &amp; "'!$A:$A"), INDIRECT("'" &amp; T$2 &amp; "'!$B:$B"), "")&lt;&gt;"", "✓", "✗"), "✗")
)</f>
        <v/>
      </c>
      <c r="U3">
        <f t="array" ref="U3">IF(
    ISNUMBER(VALUE(LEFT($A3, 1))),
    "",
    IFERROR(IF(_xlfn.XLOOKUP($A3, INDIRECT("'" &amp; U$2 &amp; "'!$A:$A"), INDIRECT("'" &amp; U$2 &amp; "'!$B:$B"), "")&lt;&gt;"", "✓", "✗"), "✗")
)</f>
        <v/>
      </c>
      <c r="V3">
        <f t="array" ref="V3">IF(
    ISNUMBER(VALUE(LEFT($A3, 1))),
    "",
    IFERROR(IF(_xlfn.XLOOKUP($A3, INDIRECT("'" &amp; V$2 &amp; "'!$A:$A"), INDIRECT("'" &amp; V$2 &amp; "'!$B:$B"), "")&lt;&gt;"", "✓", "✗"), "✗")
)</f>
        <v/>
      </c>
      <c r="W3">
        <f t="array" ref="W3">IF(
    ISNUMBER(VALUE(LEFT($A3, 1))),
    "",
    IFERROR(IF(_xlfn.XLOOKUP($A3, INDIRECT("'" &amp; W$2 &amp; "'!$A:$A"), INDIRECT("'" &amp; W$2 &amp; "'!$B:$B"), "")&lt;&gt;"", "✓", "✗"), "✗")
)</f>
        <v/>
      </c>
      <c r="X3">
        <f t="array" ref="X3">IF(
    ISNUMBER(VALUE(LEFT($A3, 1))),
    "",
    IFERROR(IF(_xlfn.XLOOKUP($A3, INDIRECT("'" &amp; X$2 &amp; "'!$A:$A"), INDIRECT("'" &amp; X$2 &amp; "'!$B:$B"), "")&lt;&gt;"", "✓", "✗"), "✗")
)</f>
        <v/>
      </c>
      <c r="Y3">
        <f t="array" ref="Y3">IF(
    ISNUMBER(VALUE(LEFT($A3, 1))),
    "",
    IFERROR(IF(_xlfn.XLOOKUP($A3, INDIRECT("'" &amp; Y$2 &amp; "'!$A:$A"), INDIRECT("'" &amp; Y$2 &amp; "'!$B:$B"), "")&lt;&gt;"", "✓", "✗"), "✗")
)</f>
        <v/>
      </c>
      <c r="Z3">
        <f t="array" ref="Z3">IF(
    ISNUMBER(VALUE(LEFT($A3, 1))),
    "",
    IFERROR(IF(_xlfn.XLOOKUP($A3, INDIRECT("'" &amp; Z$2 &amp; "'!$A:$A"), INDIRECT("'" &amp; Z$2 &amp; "'!$B:$B"), "")&lt;&gt;"", "✓", "✗"), "✗")
)</f>
        <v/>
      </c>
      <c r="AA3">
        <f t="array" ref="AA3">IF(
    ISNUMBER(VALUE(LEFT($A3, 1))),
    "",
    IFERROR(IF(_xlfn.XLOOKUP($A3, INDIRECT("'" &amp; AA$2 &amp; "'!$A:$A"), INDIRECT("'" &amp; AA$2 &amp; "'!$B:$B"), "")&lt;&gt;"", "✓", "✗"), "✗")
)</f>
        <v/>
      </c>
      <c r="AB3">
        <f t="array" ref="AB3">IF(
    ISNUMBER(VALUE(LEFT($A3, 1))),
    "",
    IFERROR(IF(_xlfn.XLOOKUP($A3, INDIRECT("'" &amp; AB$2 &amp; "'!$A:$A"), INDIRECT("'" &amp; AB$2 &amp; "'!$B:$B"), "")&lt;&gt;"", "✓", "✗"), "✗")
)</f>
        <v/>
      </c>
      <c r="AC3">
        <f t="array" ref="AC3">IF(
    ISNUMBER(VALUE(LEFT($A3, 1))),
    "",
    IFERROR(IF(_xlfn.XLOOKUP($A3, INDIRECT("'" &amp; AC$2 &amp; "'!$A:$A"), INDIRECT("'" &amp; AC$2 &amp; "'!$B:$B"), "")&lt;&gt;"", "✓", "✗"), "✗")
)</f>
        <v/>
      </c>
      <c r="AD3">
        <f t="array" ref="AD3">IF(
    ISNUMBER(VALUE(LEFT($A3, 1))),
    "",
    IFERROR(IF(_xlfn.XLOOKUP($A3, INDIRECT("'" &amp; AD$2 &amp; "'!$A:$A"), INDIRECT("'" &amp; AD$2 &amp; "'!$B:$B"), "")&lt;&gt;"", "✓", "✗"), "✗")
)</f>
        <v/>
      </c>
      <c r="AE3">
        <f t="array" ref="AE3">IF(
    ISNUMBER(VALUE(LEFT($A3, 1))),
    "",
    IFERROR(IF(_xlfn.XLOOKUP($A3, INDIRECT("'" &amp; AE$2 &amp; "'!$A:$A"), INDIRECT("'" &amp; AE$2 &amp; "'!$B:$B"), "")&lt;&gt;"", "✓", "✗"), "✗")
)</f>
        <v/>
      </c>
      <c r="AF3">
        <f t="array" ref="AF3">IF(
    ISNUMBER(VALUE(LEFT($A3, 1))),
    "",
    IFERROR(IF(_xlfn.XLOOKUP($A3, INDIRECT("'" &amp; AF$2 &amp; "'!$A:$A"), INDIRECT("'" &amp; AF$2 &amp; "'!$B:$B"), "")&lt;&gt;"", "✓", "✗"), "✗")
)</f>
        <v/>
      </c>
      <c r="AG3">
        <f t="array" ref="AG3">IF(
    ISNUMBER(VALUE(LEFT($A3, 1))),
    "",
    IFERROR(IF(_xlfn.XLOOKUP($A3, INDIRECT("'" &amp; AG$2 &amp; "'!$A:$A"), INDIRECT("'" &amp; AG$2 &amp; "'!$B:$B"), "")&lt;&gt;"", "✓", "✗"), "✗")
)</f>
        <v/>
      </c>
    </row>
    <row r="4">
      <c r="A4" t="inlineStr">
        <is>
          <t>Activity Type</t>
        </is>
      </c>
      <c r="B4">
        <f t="array" ref="B4">IF(
    ISNUMBER(VALUE(LEFT($A4, 1))),
    "",
    IFERROR(IF(_xlfn.XLOOKUP($A4, INDIRECT("'" &amp; B$2 &amp; "'!$A:$A"), INDIRECT("'" &amp; B$2 &amp; "'!$B:$B"), "")&lt;&gt;"", "✓", "✗"), "✗")
)</f>
        <v/>
      </c>
      <c r="C4">
        <f t="array" ref="C4">IF(
    ISNUMBER(VALUE(LEFT($A4, 1))),
    "",
    IFERROR(IF(_xlfn.XLOOKUP($A4, INDIRECT("'" &amp; C$2 &amp; "'!$A:$A"), INDIRECT("'" &amp; C$2 &amp; "'!$B:$B"), "")&lt;&gt;"", "✓", "✗"), "✗")
)</f>
        <v/>
      </c>
      <c r="D4">
        <f t="array" ref="D4">IF(
    ISNUMBER(VALUE(LEFT($A4, 1))),
    "",
    IFERROR(IF(_xlfn.XLOOKUP($A4, INDIRECT("'" &amp; D$2 &amp; "'!$A:$A"), INDIRECT("'" &amp; D$2 &amp; "'!$B:$B"), "")&lt;&gt;"", "✓", "✗"), "✗")
)</f>
        <v/>
      </c>
      <c r="E4">
        <f t="array" ref="E4">IF(
    ISNUMBER(VALUE(LEFT($A4, 1))),
    "",
    IFERROR(IF(_xlfn.XLOOKUP($A4, INDIRECT("'" &amp; E$2 &amp; "'!$A:$A"), INDIRECT("'" &amp; E$2 &amp; "'!$B:$B"), "")&lt;&gt;"", "✓", "✗"), "✗")
)</f>
        <v/>
      </c>
      <c r="F4">
        <f t="array" ref="F4">IF(
    ISNUMBER(VALUE(LEFT($A4, 1))),
    "",
    IFERROR(IF(_xlfn.XLOOKUP($A4, INDIRECT("'" &amp; F$2 &amp; "'!$A:$A"), INDIRECT("'" &amp; F$2 &amp; "'!$B:$B"), "")&lt;&gt;"", "✓", "✗"), "✗")
)</f>
        <v/>
      </c>
      <c r="G4">
        <f t="array" ref="G4">IF(
    ISNUMBER(VALUE(LEFT($A4, 1))),
    "",
    IFERROR(IF(_xlfn.XLOOKUP($A4, INDIRECT("'" &amp; G$2 &amp; "'!$A:$A"), INDIRECT("'" &amp; G$2 &amp; "'!$B:$B"), "")&lt;&gt;"", "✓", "✗"), "✗")
)</f>
        <v/>
      </c>
      <c r="H4">
        <f t="array" ref="H4">IF(
    ISNUMBER(VALUE(LEFT($A4, 1))),
    "",
    IFERROR(IF(_xlfn.XLOOKUP($A4, INDIRECT("'" &amp; H$2 &amp; "'!$A:$A"), INDIRECT("'" &amp; H$2 &amp; "'!$B:$B"), "")&lt;&gt;"", "✓", "✗"), "✗")
)</f>
        <v/>
      </c>
      <c r="I4">
        <f t="array" ref="I4">IF(
    ISNUMBER(VALUE(LEFT($A4, 1))),
    "",
    IFERROR(IF(_xlfn.XLOOKUP($A4, INDIRECT("'" &amp; I$2 &amp; "'!$A:$A"), INDIRECT("'" &amp; I$2 &amp; "'!$B:$B"), "")&lt;&gt;"", "✓", "✗"), "✗")
)</f>
        <v/>
      </c>
      <c r="J4">
        <f t="array" ref="J4">IF(
    ISNUMBER(VALUE(LEFT($A4, 1))),
    "",
    IFERROR(IF(_xlfn.XLOOKUP($A4, INDIRECT("'" &amp; J$2 &amp; "'!$A:$A"), INDIRECT("'" &amp; J$2 &amp; "'!$B:$B"), "")&lt;&gt;"", "✓", "✗"), "✗")
)</f>
        <v/>
      </c>
      <c r="K4">
        <f t="array" ref="K4">IF(
    ISNUMBER(VALUE(LEFT($A4, 1))),
    "",
    IFERROR(IF(_xlfn.XLOOKUP($A4, INDIRECT("'" &amp; K$2 &amp; "'!$A:$A"), INDIRECT("'" &amp; K$2 &amp; "'!$B:$B"), "")&lt;&gt;"", "✓", "✗"), "✗")
)</f>
        <v/>
      </c>
      <c r="L4">
        <f t="array" ref="L4">IF(
    ISNUMBER(VALUE(LEFT($A4, 1))),
    "",
    IFERROR(IF(_xlfn.XLOOKUP($A4, INDIRECT("'" &amp; L$2 &amp; "'!$A:$A"), INDIRECT("'" &amp; L$2 &amp; "'!$B:$B"), "")&lt;&gt;"", "✓", "✗"), "✗")
)</f>
        <v/>
      </c>
      <c r="M4">
        <f t="array" ref="M4">IF(
    ISNUMBER(VALUE(LEFT($A4, 1))),
    "",
    IFERROR(IF(_xlfn.XLOOKUP($A4, INDIRECT("'" &amp; M$2 &amp; "'!$A:$A"), INDIRECT("'" &amp; M$2 &amp; "'!$B:$B"), "")&lt;&gt;"", "✓", "✗"), "✗")
)</f>
        <v/>
      </c>
      <c r="N4">
        <f t="array" ref="N4">IF(
    ISNUMBER(VALUE(LEFT($A4, 1))),
    "",
    IFERROR(IF(_xlfn.XLOOKUP($A4, INDIRECT("'" &amp; N$2 &amp; "'!$A:$A"), INDIRECT("'" &amp; N$2 &amp; "'!$B:$B"), "")&lt;&gt;"", "✓", "✗"), "✗")
)</f>
        <v/>
      </c>
      <c r="O4">
        <f t="array" ref="O4">IF(
    ISNUMBER(VALUE(LEFT($A4, 1))),
    "",
    IFERROR(IF(_xlfn.XLOOKUP($A4, INDIRECT("'" &amp; O$2 &amp; "'!$A:$A"), INDIRECT("'" &amp; O$2 &amp; "'!$B:$B"), "")&lt;&gt;"", "✓", "✗"), "✗")
)</f>
        <v/>
      </c>
      <c r="P4">
        <f t="array" ref="P4">IF(
    ISNUMBER(VALUE(LEFT($A4, 1))),
    "",
    IFERROR(IF(_xlfn.XLOOKUP($A4, INDIRECT("'" &amp; P$2 &amp; "'!$A:$A"), INDIRECT("'" &amp; P$2 &amp; "'!$B:$B"), "")&lt;&gt;"", "✓", "✗"), "✗")
)</f>
        <v/>
      </c>
      <c r="Q4">
        <f t="array" ref="Q4">IF(
    ISNUMBER(VALUE(LEFT($A4, 1))),
    "",
    IFERROR(IF(_xlfn.XLOOKUP($A4, INDIRECT("'" &amp; Q$2 &amp; "'!$A:$A"), INDIRECT("'" &amp; Q$2 &amp; "'!$B:$B"), "")&lt;&gt;"", "✓", "✗"), "✗")
)</f>
        <v/>
      </c>
      <c r="R4">
        <f t="array" ref="R4">IF(
    ISNUMBER(VALUE(LEFT($A4, 1))),
    "",
    IFERROR(IF(_xlfn.XLOOKUP($A4, INDIRECT("'" &amp; R$2 &amp; "'!$A:$A"), INDIRECT("'" &amp; R$2 &amp; "'!$B:$B"), "")&lt;&gt;"", "✓", "✗"), "✗")
)</f>
        <v/>
      </c>
      <c r="S4">
        <f t="array" ref="S4">IF(
    ISNUMBER(VALUE(LEFT($A4, 1))),
    "",
    IFERROR(IF(_xlfn.XLOOKUP($A4, INDIRECT("'" &amp; S$2 &amp; "'!$A:$A"), INDIRECT("'" &amp; S$2 &amp; "'!$B:$B"), "")&lt;&gt;"", "✓", "✗"), "✗")
)</f>
        <v/>
      </c>
      <c r="T4">
        <f t="array" ref="T4">IF(
    ISNUMBER(VALUE(LEFT($A4, 1))),
    "",
    IFERROR(IF(_xlfn.XLOOKUP($A4, INDIRECT("'" &amp; T$2 &amp; "'!$A:$A"), INDIRECT("'" &amp; T$2 &amp; "'!$B:$B"), "")&lt;&gt;"", "✓", "✗"), "✗")
)</f>
        <v/>
      </c>
      <c r="U4">
        <f t="array" ref="U4">IF(
    ISNUMBER(VALUE(LEFT($A4, 1))),
    "",
    IFERROR(IF(_xlfn.XLOOKUP($A4, INDIRECT("'" &amp; U$2 &amp; "'!$A:$A"), INDIRECT("'" &amp; U$2 &amp; "'!$B:$B"), "")&lt;&gt;"", "✓", "✗"), "✗")
)</f>
        <v/>
      </c>
      <c r="V4">
        <f t="array" ref="V4">IF(
    ISNUMBER(VALUE(LEFT($A4, 1))),
    "",
    IFERROR(IF(_xlfn.XLOOKUP($A4, INDIRECT("'" &amp; V$2 &amp; "'!$A:$A"), INDIRECT("'" &amp; V$2 &amp; "'!$B:$B"), "")&lt;&gt;"", "✓", "✗"), "✗")
)</f>
        <v/>
      </c>
      <c r="W4">
        <f t="array" ref="W4">IF(
    ISNUMBER(VALUE(LEFT($A4, 1))),
    "",
    IFERROR(IF(_xlfn.XLOOKUP($A4, INDIRECT("'" &amp; W$2 &amp; "'!$A:$A"), INDIRECT("'" &amp; W$2 &amp; "'!$B:$B"), "")&lt;&gt;"", "✓", "✗"), "✗")
)</f>
        <v/>
      </c>
      <c r="X4">
        <f t="array" ref="X4">IF(
    ISNUMBER(VALUE(LEFT($A4, 1))),
    "",
    IFERROR(IF(_xlfn.XLOOKUP($A4, INDIRECT("'" &amp; X$2 &amp; "'!$A:$A"), INDIRECT("'" &amp; X$2 &amp; "'!$B:$B"), "")&lt;&gt;"", "✓", "✗"), "✗")
)</f>
        <v/>
      </c>
      <c r="Y4">
        <f t="array" ref="Y4">IF(
    ISNUMBER(VALUE(LEFT($A4, 1))),
    "",
    IFERROR(IF(_xlfn.XLOOKUP($A4, INDIRECT("'" &amp; Y$2 &amp; "'!$A:$A"), INDIRECT("'" &amp; Y$2 &amp; "'!$B:$B"), "")&lt;&gt;"", "✓", "✗"), "✗")
)</f>
        <v/>
      </c>
      <c r="Z4">
        <f t="array" ref="Z4">IF(
    ISNUMBER(VALUE(LEFT($A4, 1))),
    "",
    IFERROR(IF(_xlfn.XLOOKUP($A4, INDIRECT("'" &amp; Z$2 &amp; "'!$A:$A"), INDIRECT("'" &amp; Z$2 &amp; "'!$B:$B"), "")&lt;&gt;"", "✓", "✗"), "✗")
)</f>
        <v/>
      </c>
      <c r="AA4">
        <f t="array" ref="AA4">IF(
    ISNUMBER(VALUE(LEFT($A4, 1))),
    "",
    IFERROR(IF(_xlfn.XLOOKUP($A4, INDIRECT("'" &amp; AA$2 &amp; "'!$A:$A"), INDIRECT("'" &amp; AA$2 &amp; "'!$B:$B"), "")&lt;&gt;"", "✓", "✗"), "✗")
)</f>
        <v/>
      </c>
      <c r="AB4">
        <f t="array" ref="AB4">IF(
    ISNUMBER(VALUE(LEFT($A4, 1))),
    "",
    IFERROR(IF(_xlfn.XLOOKUP($A4, INDIRECT("'" &amp; AB$2 &amp; "'!$A:$A"), INDIRECT("'" &amp; AB$2 &amp; "'!$B:$B"), "")&lt;&gt;"", "✓", "✗"), "✗")
)</f>
        <v/>
      </c>
      <c r="AC4">
        <f t="array" ref="AC4">IF(
    ISNUMBER(VALUE(LEFT($A4, 1))),
    "",
    IFERROR(IF(_xlfn.XLOOKUP($A4, INDIRECT("'" &amp; AC$2 &amp; "'!$A:$A"), INDIRECT("'" &amp; AC$2 &amp; "'!$B:$B"), "")&lt;&gt;"", "✓", "✗"), "✗")
)</f>
        <v/>
      </c>
      <c r="AD4">
        <f t="array" ref="AD4">IF(
    ISNUMBER(VALUE(LEFT($A4, 1))),
    "",
    IFERROR(IF(_xlfn.XLOOKUP($A4, INDIRECT("'" &amp; AD$2 &amp; "'!$A:$A"), INDIRECT("'" &amp; AD$2 &amp; "'!$B:$B"), "")&lt;&gt;"", "✓", "✗"), "✗")
)</f>
        <v/>
      </c>
      <c r="AE4">
        <f t="array" ref="AE4">IF(
    ISNUMBER(VALUE(LEFT($A4, 1))),
    "",
    IFERROR(IF(_xlfn.XLOOKUP($A4, INDIRECT("'" &amp; AE$2 &amp; "'!$A:$A"), INDIRECT("'" &amp; AE$2 &amp; "'!$B:$B"), "")&lt;&gt;"", "✓", "✗"), "✗")
)</f>
        <v/>
      </c>
      <c r="AF4">
        <f t="array" ref="AF4">IF(
    ISNUMBER(VALUE(LEFT($A4, 1))),
    "",
    IFERROR(IF(_xlfn.XLOOKUP($A4, INDIRECT("'" &amp; AF$2 &amp; "'!$A:$A"), INDIRECT("'" &amp; AF$2 &amp; "'!$B:$B"), "")&lt;&gt;"", "✓", "✗"), "✗")
)</f>
        <v/>
      </c>
      <c r="AG4">
        <f t="array" ref="AG4">IF(
    ISNUMBER(VALUE(LEFT($A4, 1))),
    "",
    IFERROR(IF(_xlfn.XLOOKUP($A4, INDIRECT("'" &amp; AG$2 &amp; "'!$A:$A"), INDIRECT("'" &amp; AG$2 &amp; "'!$B:$B"), "")&lt;&gt;"", "✓", "✗"), "✗")
)</f>
        <v/>
      </c>
    </row>
    <row r="5">
      <c r="A5" t="inlineStr">
        <is>
          <t>Use Case</t>
        </is>
      </c>
      <c r="B5">
        <f t="array" ref="B5">IF(
    ISNUMBER(VALUE(LEFT($A5, 1))),
    "",
    IFERROR(IF(_xlfn.XLOOKUP($A5, INDIRECT("'" &amp; B$2 &amp; "'!$A:$A"), INDIRECT("'" &amp; B$2 &amp; "'!$B:$B"), "")&lt;&gt;"", "✓", "✗"), "✗")
)</f>
        <v/>
      </c>
      <c r="C5">
        <f t="array" ref="C5">IF(
    ISNUMBER(VALUE(LEFT($A5, 1))),
    "",
    IFERROR(IF(_xlfn.XLOOKUP($A5, INDIRECT("'" &amp; C$2 &amp; "'!$A:$A"), INDIRECT("'" &amp; C$2 &amp; "'!$B:$B"), "")&lt;&gt;"", "✓", "✗"), "✗")
)</f>
        <v/>
      </c>
      <c r="D5">
        <f t="array" ref="D5">IF(
    ISNUMBER(VALUE(LEFT($A5, 1))),
    "",
    IFERROR(IF(_xlfn.XLOOKUP($A5, INDIRECT("'" &amp; D$2 &amp; "'!$A:$A"), INDIRECT("'" &amp; D$2 &amp; "'!$B:$B"), "")&lt;&gt;"", "✓", "✗"), "✗")
)</f>
        <v/>
      </c>
      <c r="E5">
        <f t="array" ref="E5">IF(
    ISNUMBER(VALUE(LEFT($A5, 1))),
    "",
    IFERROR(IF(_xlfn.XLOOKUP($A5, INDIRECT("'" &amp; E$2 &amp; "'!$A:$A"), INDIRECT("'" &amp; E$2 &amp; "'!$B:$B"), "")&lt;&gt;"", "✓", "✗"), "✗")
)</f>
        <v/>
      </c>
      <c r="F5">
        <f t="array" ref="F5">IF(
    ISNUMBER(VALUE(LEFT($A5, 1))),
    "",
    IFERROR(IF(_xlfn.XLOOKUP($A5, INDIRECT("'" &amp; F$2 &amp; "'!$A:$A"), INDIRECT("'" &amp; F$2 &amp; "'!$B:$B"), "")&lt;&gt;"", "✓", "✗"), "✗")
)</f>
        <v/>
      </c>
      <c r="G5">
        <f t="array" ref="G5">IF(
    ISNUMBER(VALUE(LEFT($A5, 1))),
    "",
    IFERROR(IF(_xlfn.XLOOKUP($A5, INDIRECT("'" &amp; G$2 &amp; "'!$A:$A"), INDIRECT("'" &amp; G$2 &amp; "'!$B:$B"), "")&lt;&gt;"", "✓", "✗"), "✗")
)</f>
        <v/>
      </c>
      <c r="H5">
        <f t="array" ref="H5">IF(
    ISNUMBER(VALUE(LEFT($A5, 1))),
    "",
    IFERROR(IF(_xlfn.XLOOKUP($A5, INDIRECT("'" &amp; H$2 &amp; "'!$A:$A"), INDIRECT("'" &amp; H$2 &amp; "'!$B:$B"), "")&lt;&gt;"", "✓", "✗"), "✗")
)</f>
        <v/>
      </c>
      <c r="I5">
        <f t="array" ref="I5">IF(
    ISNUMBER(VALUE(LEFT($A5, 1))),
    "",
    IFERROR(IF(_xlfn.XLOOKUP($A5, INDIRECT("'" &amp; I$2 &amp; "'!$A:$A"), INDIRECT("'" &amp; I$2 &amp; "'!$B:$B"), "")&lt;&gt;"", "✓", "✗"), "✗")
)</f>
        <v/>
      </c>
      <c r="J5">
        <f t="array" ref="J5">IF(
    ISNUMBER(VALUE(LEFT($A5, 1))),
    "",
    IFERROR(IF(_xlfn.XLOOKUP($A5, INDIRECT("'" &amp; J$2 &amp; "'!$A:$A"), INDIRECT("'" &amp; J$2 &amp; "'!$B:$B"), "")&lt;&gt;"", "✓", "✗"), "✗")
)</f>
        <v/>
      </c>
      <c r="K5">
        <f t="array" ref="K5">IF(
    ISNUMBER(VALUE(LEFT($A5, 1))),
    "",
    IFERROR(IF(_xlfn.XLOOKUP($A5, INDIRECT("'" &amp; K$2 &amp; "'!$A:$A"), INDIRECT("'" &amp; K$2 &amp; "'!$B:$B"), "")&lt;&gt;"", "✓", "✗"), "✗")
)</f>
        <v/>
      </c>
      <c r="L5">
        <f t="array" ref="L5">IF(
    ISNUMBER(VALUE(LEFT($A5, 1))),
    "",
    IFERROR(IF(_xlfn.XLOOKUP($A5, INDIRECT("'" &amp; L$2 &amp; "'!$A:$A"), INDIRECT("'" &amp; L$2 &amp; "'!$B:$B"), "")&lt;&gt;"", "✓", "✗"), "✗")
)</f>
        <v/>
      </c>
      <c r="M5">
        <f t="array" ref="M5">IF(
    ISNUMBER(VALUE(LEFT($A5, 1))),
    "",
    IFERROR(IF(_xlfn.XLOOKUP($A5, INDIRECT("'" &amp; M$2 &amp; "'!$A:$A"), INDIRECT("'" &amp; M$2 &amp; "'!$B:$B"), "")&lt;&gt;"", "✓", "✗"), "✗")
)</f>
        <v/>
      </c>
      <c r="N5">
        <f t="array" ref="N5">IF(
    ISNUMBER(VALUE(LEFT($A5, 1))),
    "",
    IFERROR(IF(_xlfn.XLOOKUP($A5, INDIRECT("'" &amp; N$2 &amp; "'!$A:$A"), INDIRECT("'" &amp; N$2 &amp; "'!$B:$B"), "")&lt;&gt;"", "✓", "✗"), "✗")
)</f>
        <v/>
      </c>
      <c r="O5">
        <f t="array" ref="O5">IF(
    ISNUMBER(VALUE(LEFT($A5, 1))),
    "",
    IFERROR(IF(_xlfn.XLOOKUP($A5, INDIRECT("'" &amp; O$2 &amp; "'!$A:$A"), INDIRECT("'" &amp; O$2 &amp; "'!$B:$B"), "")&lt;&gt;"", "✓", "✗"), "✗")
)</f>
        <v/>
      </c>
      <c r="P5">
        <f t="array" ref="P5">IF(
    ISNUMBER(VALUE(LEFT($A5, 1))),
    "",
    IFERROR(IF(_xlfn.XLOOKUP($A5, INDIRECT("'" &amp; P$2 &amp; "'!$A:$A"), INDIRECT("'" &amp; P$2 &amp; "'!$B:$B"), "")&lt;&gt;"", "✓", "✗"), "✗")
)</f>
        <v/>
      </c>
      <c r="Q5">
        <f t="array" ref="Q5">IF(
    ISNUMBER(VALUE(LEFT($A5, 1))),
    "",
    IFERROR(IF(_xlfn.XLOOKUP($A5, INDIRECT("'" &amp; Q$2 &amp; "'!$A:$A"), INDIRECT("'" &amp; Q$2 &amp; "'!$B:$B"), "")&lt;&gt;"", "✓", "✗"), "✗")
)</f>
        <v/>
      </c>
      <c r="R5">
        <f t="array" ref="R5">IF(
    ISNUMBER(VALUE(LEFT($A5, 1))),
    "",
    IFERROR(IF(_xlfn.XLOOKUP($A5, INDIRECT("'" &amp; R$2 &amp; "'!$A:$A"), INDIRECT("'" &amp; R$2 &amp; "'!$B:$B"), "")&lt;&gt;"", "✓", "✗"), "✗")
)</f>
        <v/>
      </c>
      <c r="S5">
        <f t="array" ref="S5">IF(
    ISNUMBER(VALUE(LEFT($A5, 1))),
    "",
    IFERROR(IF(_xlfn.XLOOKUP($A5, INDIRECT("'" &amp; S$2 &amp; "'!$A:$A"), INDIRECT("'" &amp; S$2 &amp; "'!$B:$B"), "")&lt;&gt;"", "✓", "✗"), "✗")
)</f>
        <v/>
      </c>
      <c r="T5">
        <f t="array" ref="T5">IF(
    ISNUMBER(VALUE(LEFT($A5, 1))),
    "",
    IFERROR(IF(_xlfn.XLOOKUP($A5, INDIRECT("'" &amp; T$2 &amp; "'!$A:$A"), INDIRECT("'" &amp; T$2 &amp; "'!$B:$B"), "")&lt;&gt;"", "✓", "✗"), "✗")
)</f>
        <v/>
      </c>
      <c r="U5">
        <f t="array" ref="U5">IF(
    ISNUMBER(VALUE(LEFT($A5, 1))),
    "",
    IFERROR(IF(_xlfn.XLOOKUP($A5, INDIRECT("'" &amp; U$2 &amp; "'!$A:$A"), INDIRECT("'" &amp; U$2 &amp; "'!$B:$B"), "")&lt;&gt;"", "✓", "✗"), "✗")
)</f>
        <v/>
      </c>
      <c r="V5">
        <f t="array" ref="V5">IF(
    ISNUMBER(VALUE(LEFT($A5, 1))),
    "",
    IFERROR(IF(_xlfn.XLOOKUP($A5, INDIRECT("'" &amp; V$2 &amp; "'!$A:$A"), INDIRECT("'" &amp; V$2 &amp; "'!$B:$B"), "")&lt;&gt;"", "✓", "✗"), "✗")
)</f>
        <v/>
      </c>
      <c r="W5">
        <f t="array" ref="W5">IF(
    ISNUMBER(VALUE(LEFT($A5, 1))),
    "",
    IFERROR(IF(_xlfn.XLOOKUP($A5, INDIRECT("'" &amp; W$2 &amp; "'!$A:$A"), INDIRECT("'" &amp; W$2 &amp; "'!$B:$B"), "")&lt;&gt;"", "✓", "✗"), "✗")
)</f>
        <v/>
      </c>
      <c r="X5">
        <f t="array" ref="X5">IF(
    ISNUMBER(VALUE(LEFT($A5, 1))),
    "",
    IFERROR(IF(_xlfn.XLOOKUP($A5, INDIRECT("'" &amp; X$2 &amp; "'!$A:$A"), INDIRECT("'" &amp; X$2 &amp; "'!$B:$B"), "")&lt;&gt;"", "✓", "✗"), "✗")
)</f>
        <v/>
      </c>
      <c r="Y5">
        <f t="array" ref="Y5">IF(
    ISNUMBER(VALUE(LEFT($A5, 1))),
    "",
    IFERROR(IF(_xlfn.XLOOKUP($A5, INDIRECT("'" &amp; Y$2 &amp; "'!$A:$A"), INDIRECT("'" &amp; Y$2 &amp; "'!$B:$B"), "")&lt;&gt;"", "✓", "✗"), "✗")
)</f>
        <v/>
      </c>
      <c r="Z5">
        <f t="array" ref="Z5">IF(
    ISNUMBER(VALUE(LEFT($A5, 1))),
    "",
    IFERROR(IF(_xlfn.XLOOKUP($A5, INDIRECT("'" &amp; Z$2 &amp; "'!$A:$A"), INDIRECT("'" &amp; Z$2 &amp; "'!$B:$B"), "")&lt;&gt;"", "✓", "✗"), "✗")
)</f>
        <v/>
      </c>
      <c r="AA5">
        <f t="array" ref="AA5">IF(
    ISNUMBER(VALUE(LEFT($A5, 1))),
    "",
    IFERROR(IF(_xlfn.XLOOKUP($A5, INDIRECT("'" &amp; AA$2 &amp; "'!$A:$A"), INDIRECT("'" &amp; AA$2 &amp; "'!$B:$B"), "")&lt;&gt;"", "✓", "✗"), "✗")
)</f>
        <v/>
      </c>
      <c r="AB5">
        <f t="array" ref="AB5">IF(
    ISNUMBER(VALUE(LEFT($A5, 1))),
    "",
    IFERROR(IF(_xlfn.XLOOKUP($A5, INDIRECT("'" &amp; AB$2 &amp; "'!$A:$A"), INDIRECT("'" &amp; AB$2 &amp; "'!$B:$B"), "")&lt;&gt;"", "✓", "✗"), "✗")
)</f>
        <v/>
      </c>
      <c r="AC5">
        <f t="array" ref="AC5">IF(
    ISNUMBER(VALUE(LEFT($A5, 1))),
    "",
    IFERROR(IF(_xlfn.XLOOKUP($A5, INDIRECT("'" &amp; AC$2 &amp; "'!$A:$A"), INDIRECT("'" &amp; AC$2 &amp; "'!$B:$B"), "")&lt;&gt;"", "✓", "✗"), "✗")
)</f>
        <v/>
      </c>
      <c r="AD5">
        <f t="array" ref="AD5">IF(
    ISNUMBER(VALUE(LEFT($A5, 1))),
    "",
    IFERROR(IF(_xlfn.XLOOKUP($A5, INDIRECT("'" &amp; AD$2 &amp; "'!$A:$A"), INDIRECT("'" &amp; AD$2 &amp; "'!$B:$B"), "")&lt;&gt;"", "✓", "✗"), "✗")
)</f>
        <v/>
      </c>
      <c r="AE5">
        <f t="array" ref="AE5">IF(
    ISNUMBER(VALUE(LEFT($A5, 1))),
    "",
    IFERROR(IF(_xlfn.XLOOKUP($A5, INDIRECT("'" &amp; AE$2 &amp; "'!$A:$A"), INDIRECT("'" &amp; AE$2 &amp; "'!$B:$B"), "")&lt;&gt;"", "✓", "✗"), "✗")
)</f>
        <v/>
      </c>
      <c r="AF5">
        <f t="array" ref="AF5">IF(
    ISNUMBER(VALUE(LEFT($A5, 1))),
    "",
    IFERROR(IF(_xlfn.XLOOKUP($A5, INDIRECT("'" &amp; AF$2 &amp; "'!$A:$A"), INDIRECT("'" &amp; AF$2 &amp; "'!$B:$B"), "")&lt;&gt;"", "✓", "✗"), "✗")
)</f>
        <v/>
      </c>
      <c r="AG5">
        <f t="array" ref="AG5">IF(
    ISNUMBER(VALUE(LEFT($A5, 1))),
    "",
    IFERROR(IF(_xlfn.XLOOKUP($A5, INDIRECT("'" &amp; AG$2 &amp; "'!$A:$A"), INDIRECT("'" &amp; AG$2 &amp; "'!$B:$B"), "")&lt;&gt;"", "✓", "✗"), "✗")
)</f>
        <v/>
      </c>
    </row>
    <row r="6">
      <c r="A6" t="inlineStr">
        <is>
          <t>Lead Category</t>
        </is>
      </c>
      <c r="B6">
        <f t="array" ref="B6">IF(
    ISNUMBER(VALUE(LEFT($A6, 1))),
    "",
    IFERROR(IF(_xlfn.XLOOKUP($A6, INDIRECT("'" &amp; B$2 &amp; "'!$A:$A"), INDIRECT("'" &amp; B$2 &amp; "'!$B:$B"), "")&lt;&gt;"", "✓", "✗"), "✗")
)</f>
        <v/>
      </c>
      <c r="C6">
        <f t="array" ref="C6">IF(
    ISNUMBER(VALUE(LEFT($A6, 1))),
    "",
    IFERROR(IF(_xlfn.XLOOKUP($A6, INDIRECT("'" &amp; C$2 &amp; "'!$A:$A"), INDIRECT("'" &amp; C$2 &amp; "'!$B:$B"), "")&lt;&gt;"", "✓", "✗"), "✗")
)</f>
        <v/>
      </c>
      <c r="D6">
        <f t="array" ref="D6">IF(
    ISNUMBER(VALUE(LEFT($A6, 1))),
    "",
    IFERROR(IF(_xlfn.XLOOKUP($A6, INDIRECT("'" &amp; D$2 &amp; "'!$A:$A"), INDIRECT("'" &amp; D$2 &amp; "'!$B:$B"), "")&lt;&gt;"", "✓", "✗"), "✗")
)</f>
        <v/>
      </c>
      <c r="E6">
        <f t="array" ref="E6">IF(
    ISNUMBER(VALUE(LEFT($A6, 1))),
    "",
    IFERROR(IF(_xlfn.XLOOKUP($A6, INDIRECT("'" &amp; E$2 &amp; "'!$A:$A"), INDIRECT("'" &amp; E$2 &amp; "'!$B:$B"), "")&lt;&gt;"", "✓", "✗"), "✗")
)</f>
        <v/>
      </c>
      <c r="F6">
        <f t="array" ref="F6">IF(
    ISNUMBER(VALUE(LEFT($A6, 1))),
    "",
    IFERROR(IF(_xlfn.XLOOKUP($A6, INDIRECT("'" &amp; F$2 &amp; "'!$A:$A"), INDIRECT("'" &amp; F$2 &amp; "'!$B:$B"), "")&lt;&gt;"", "✓", "✗"), "✗")
)</f>
        <v/>
      </c>
      <c r="G6">
        <f t="array" ref="G6">IF(
    ISNUMBER(VALUE(LEFT($A6, 1))),
    "",
    IFERROR(IF(_xlfn.XLOOKUP($A6, INDIRECT("'" &amp; G$2 &amp; "'!$A:$A"), INDIRECT("'" &amp; G$2 &amp; "'!$B:$B"), "")&lt;&gt;"", "✓", "✗"), "✗")
)</f>
        <v/>
      </c>
      <c r="H6">
        <f t="array" ref="H6">IF(
    ISNUMBER(VALUE(LEFT($A6, 1))),
    "",
    IFERROR(IF(_xlfn.XLOOKUP($A6, INDIRECT("'" &amp; H$2 &amp; "'!$A:$A"), INDIRECT("'" &amp; H$2 &amp; "'!$B:$B"), "")&lt;&gt;"", "✓", "✗"), "✗")
)</f>
        <v/>
      </c>
      <c r="I6">
        <f t="array" ref="I6">IF(
    ISNUMBER(VALUE(LEFT($A6, 1))),
    "",
    IFERROR(IF(_xlfn.XLOOKUP($A6, INDIRECT("'" &amp; I$2 &amp; "'!$A:$A"), INDIRECT("'" &amp; I$2 &amp; "'!$B:$B"), "")&lt;&gt;"", "✓", "✗"), "✗")
)</f>
        <v/>
      </c>
      <c r="J6">
        <f t="array" ref="J6">IF(
    ISNUMBER(VALUE(LEFT($A6, 1))),
    "",
    IFERROR(IF(_xlfn.XLOOKUP($A6, INDIRECT("'" &amp; J$2 &amp; "'!$A:$A"), INDIRECT("'" &amp; J$2 &amp; "'!$B:$B"), "")&lt;&gt;"", "✓", "✗"), "✗")
)</f>
        <v/>
      </c>
      <c r="K6">
        <f t="array" ref="K6">IF(
    ISNUMBER(VALUE(LEFT($A6, 1))),
    "",
    IFERROR(IF(_xlfn.XLOOKUP($A6, INDIRECT("'" &amp; K$2 &amp; "'!$A:$A"), INDIRECT("'" &amp; K$2 &amp; "'!$B:$B"), "")&lt;&gt;"", "✓", "✗"), "✗")
)</f>
        <v/>
      </c>
      <c r="L6">
        <f t="array" ref="L6">IF(
    ISNUMBER(VALUE(LEFT($A6, 1))),
    "",
    IFERROR(IF(_xlfn.XLOOKUP($A6, INDIRECT("'" &amp; L$2 &amp; "'!$A:$A"), INDIRECT("'" &amp; L$2 &amp; "'!$B:$B"), "")&lt;&gt;"", "✓", "✗"), "✗")
)</f>
        <v/>
      </c>
      <c r="M6">
        <f t="array" ref="M6">IF(
    ISNUMBER(VALUE(LEFT($A6, 1))),
    "",
    IFERROR(IF(_xlfn.XLOOKUP($A6, INDIRECT("'" &amp; M$2 &amp; "'!$A:$A"), INDIRECT("'" &amp; M$2 &amp; "'!$B:$B"), "")&lt;&gt;"", "✓", "✗"), "✗")
)</f>
        <v/>
      </c>
      <c r="N6">
        <f t="array" ref="N6">IF(
    ISNUMBER(VALUE(LEFT($A6, 1))),
    "",
    IFERROR(IF(_xlfn.XLOOKUP($A6, INDIRECT("'" &amp; N$2 &amp; "'!$A:$A"), INDIRECT("'" &amp; N$2 &amp; "'!$B:$B"), "")&lt;&gt;"", "✓", "✗"), "✗")
)</f>
        <v/>
      </c>
      <c r="O6">
        <f t="array" ref="O6">IF(
    ISNUMBER(VALUE(LEFT($A6, 1))),
    "",
    IFERROR(IF(_xlfn.XLOOKUP($A6, INDIRECT("'" &amp; O$2 &amp; "'!$A:$A"), INDIRECT("'" &amp; O$2 &amp; "'!$B:$B"), "")&lt;&gt;"", "✓", "✗"), "✗")
)</f>
        <v/>
      </c>
      <c r="P6">
        <f t="array" ref="P6">IF(
    ISNUMBER(VALUE(LEFT($A6, 1))),
    "",
    IFERROR(IF(_xlfn.XLOOKUP($A6, INDIRECT("'" &amp; P$2 &amp; "'!$A:$A"), INDIRECT("'" &amp; P$2 &amp; "'!$B:$B"), "")&lt;&gt;"", "✓", "✗"), "✗")
)</f>
        <v/>
      </c>
      <c r="Q6">
        <f t="array" ref="Q6">IF(
    ISNUMBER(VALUE(LEFT($A6, 1))),
    "",
    IFERROR(IF(_xlfn.XLOOKUP($A6, INDIRECT("'" &amp; Q$2 &amp; "'!$A:$A"), INDIRECT("'" &amp; Q$2 &amp; "'!$B:$B"), "")&lt;&gt;"", "✓", "✗"), "✗")
)</f>
        <v/>
      </c>
      <c r="R6">
        <f t="array" ref="R6">IF(
    ISNUMBER(VALUE(LEFT($A6, 1))),
    "",
    IFERROR(IF(_xlfn.XLOOKUP($A6, INDIRECT("'" &amp; R$2 &amp; "'!$A:$A"), INDIRECT("'" &amp; R$2 &amp; "'!$B:$B"), "")&lt;&gt;"", "✓", "✗"), "✗")
)</f>
        <v/>
      </c>
      <c r="S6">
        <f t="array" ref="S6">IF(
    ISNUMBER(VALUE(LEFT($A6, 1))),
    "",
    IFERROR(IF(_xlfn.XLOOKUP($A6, INDIRECT("'" &amp; S$2 &amp; "'!$A:$A"), INDIRECT("'" &amp; S$2 &amp; "'!$B:$B"), "")&lt;&gt;"", "✓", "✗"), "✗")
)</f>
        <v/>
      </c>
      <c r="T6">
        <f t="array" ref="T6">IF(
    ISNUMBER(VALUE(LEFT($A6, 1))),
    "",
    IFERROR(IF(_xlfn.XLOOKUP($A6, INDIRECT("'" &amp; T$2 &amp; "'!$A:$A"), INDIRECT("'" &amp; T$2 &amp; "'!$B:$B"), "")&lt;&gt;"", "✓", "✗"), "✗")
)</f>
        <v/>
      </c>
      <c r="U6">
        <f t="array" ref="U6">IF(
    ISNUMBER(VALUE(LEFT($A6, 1))),
    "",
    IFERROR(IF(_xlfn.XLOOKUP($A6, INDIRECT("'" &amp; U$2 &amp; "'!$A:$A"), INDIRECT("'" &amp; U$2 &amp; "'!$B:$B"), "")&lt;&gt;"", "✓", "✗"), "✗")
)</f>
        <v/>
      </c>
      <c r="V6">
        <f t="array" ref="V6">IF(
    ISNUMBER(VALUE(LEFT($A6, 1))),
    "",
    IFERROR(IF(_xlfn.XLOOKUP($A6, INDIRECT("'" &amp; V$2 &amp; "'!$A:$A"), INDIRECT("'" &amp; V$2 &amp; "'!$B:$B"), "")&lt;&gt;"", "✓", "✗"), "✗")
)</f>
        <v/>
      </c>
      <c r="W6">
        <f t="array" ref="W6">IF(
    ISNUMBER(VALUE(LEFT($A6, 1))),
    "",
    IFERROR(IF(_xlfn.XLOOKUP($A6, INDIRECT("'" &amp; W$2 &amp; "'!$A:$A"), INDIRECT("'" &amp; W$2 &amp; "'!$B:$B"), "")&lt;&gt;"", "✓", "✗"), "✗")
)</f>
        <v/>
      </c>
      <c r="X6">
        <f t="array" ref="X6">IF(
    ISNUMBER(VALUE(LEFT($A6, 1))),
    "",
    IFERROR(IF(_xlfn.XLOOKUP($A6, INDIRECT("'" &amp; X$2 &amp; "'!$A:$A"), INDIRECT("'" &amp; X$2 &amp; "'!$B:$B"), "")&lt;&gt;"", "✓", "✗"), "✗")
)</f>
        <v/>
      </c>
      <c r="Y6">
        <f t="array" ref="Y6">IF(
    ISNUMBER(VALUE(LEFT($A6, 1))),
    "",
    IFERROR(IF(_xlfn.XLOOKUP($A6, INDIRECT("'" &amp; Y$2 &amp; "'!$A:$A"), INDIRECT("'" &amp; Y$2 &amp; "'!$B:$B"), "")&lt;&gt;"", "✓", "✗"), "✗")
)</f>
        <v/>
      </c>
      <c r="Z6">
        <f t="array" ref="Z6">IF(
    ISNUMBER(VALUE(LEFT($A6, 1))),
    "",
    IFERROR(IF(_xlfn.XLOOKUP($A6, INDIRECT("'" &amp; Z$2 &amp; "'!$A:$A"), INDIRECT("'" &amp; Z$2 &amp; "'!$B:$B"), "")&lt;&gt;"", "✓", "✗"), "✗")
)</f>
        <v/>
      </c>
      <c r="AA6">
        <f t="array" ref="AA6">IF(
    ISNUMBER(VALUE(LEFT($A6, 1))),
    "",
    IFERROR(IF(_xlfn.XLOOKUP($A6, INDIRECT("'" &amp; AA$2 &amp; "'!$A:$A"), INDIRECT("'" &amp; AA$2 &amp; "'!$B:$B"), "")&lt;&gt;"", "✓", "✗"), "✗")
)</f>
        <v/>
      </c>
      <c r="AB6">
        <f t="array" ref="AB6">IF(
    ISNUMBER(VALUE(LEFT($A6, 1))),
    "",
    IFERROR(IF(_xlfn.XLOOKUP($A6, INDIRECT("'" &amp; AB$2 &amp; "'!$A:$A"), INDIRECT("'" &amp; AB$2 &amp; "'!$B:$B"), "")&lt;&gt;"", "✓", "✗"), "✗")
)</f>
        <v/>
      </c>
      <c r="AC6">
        <f t="array" ref="AC6">IF(
    ISNUMBER(VALUE(LEFT($A6, 1))),
    "",
    IFERROR(IF(_xlfn.XLOOKUP($A6, INDIRECT("'" &amp; AC$2 &amp; "'!$A:$A"), INDIRECT("'" &amp; AC$2 &amp; "'!$B:$B"), "")&lt;&gt;"", "✓", "✗"), "✗")
)</f>
        <v/>
      </c>
      <c r="AD6">
        <f t="array" ref="AD6">IF(
    ISNUMBER(VALUE(LEFT($A6, 1))),
    "",
    IFERROR(IF(_xlfn.XLOOKUP($A6, INDIRECT("'" &amp; AD$2 &amp; "'!$A:$A"), INDIRECT("'" &amp; AD$2 &amp; "'!$B:$B"), "")&lt;&gt;"", "✓", "✗"), "✗")
)</f>
        <v/>
      </c>
      <c r="AE6">
        <f t="array" ref="AE6">IF(
    ISNUMBER(VALUE(LEFT($A6, 1))),
    "",
    IFERROR(IF(_xlfn.XLOOKUP($A6, INDIRECT("'" &amp; AE$2 &amp; "'!$A:$A"), INDIRECT("'" &amp; AE$2 &amp; "'!$B:$B"), "")&lt;&gt;"", "✓", "✗"), "✗")
)</f>
        <v/>
      </c>
      <c r="AF6">
        <f t="array" ref="AF6">IF(
    ISNUMBER(VALUE(LEFT($A6, 1))),
    "",
    IFERROR(IF(_xlfn.XLOOKUP($A6, INDIRECT("'" &amp; AF$2 &amp; "'!$A:$A"), INDIRECT("'" &amp; AF$2 &amp; "'!$B:$B"), "")&lt;&gt;"", "✓", "✗"), "✗")
)</f>
        <v/>
      </c>
      <c r="AG6">
        <f t="array" ref="AG6">IF(
    ISNUMBER(VALUE(LEFT($A6, 1))),
    "",
    IFERROR(IF(_xlfn.XLOOKUP($A6, INDIRECT("'" &amp; AG$2 &amp; "'!$A:$A"), INDIRECT("'" &amp; AG$2 &amp; "'!$B:$B"), "")&lt;&gt;"", "✓", "✗"), "✗")
)</f>
        <v/>
      </c>
    </row>
    <row r="7">
      <c r="A7" t="inlineStr">
        <is>
          <t>Sales Routing Trigger</t>
        </is>
      </c>
      <c r="B7">
        <f t="array" ref="B7">IF(
    ISNUMBER(VALUE(LEFT($A7, 1))),
    "",
    IFERROR(IF(_xlfn.XLOOKUP($A7, INDIRECT("'" &amp; B$2 &amp; "'!$A:$A"), INDIRECT("'" &amp; B$2 &amp; "'!$B:$B"), "")&lt;&gt;"", "✓", "✗"), "✗")
)</f>
        <v/>
      </c>
      <c r="C7">
        <f t="array" ref="C7">IF(
    ISNUMBER(VALUE(LEFT($A7, 1))),
    "",
    IFERROR(IF(_xlfn.XLOOKUP($A7, INDIRECT("'" &amp; C$2 &amp; "'!$A:$A"), INDIRECT("'" &amp; C$2 &amp; "'!$B:$B"), "")&lt;&gt;"", "✓", "✗"), "✗")
)</f>
        <v/>
      </c>
      <c r="D7">
        <f t="array" ref="D7">IF(
    ISNUMBER(VALUE(LEFT($A7, 1))),
    "",
    IFERROR(IF(_xlfn.XLOOKUP($A7, INDIRECT("'" &amp; D$2 &amp; "'!$A:$A"), INDIRECT("'" &amp; D$2 &amp; "'!$B:$B"), "")&lt;&gt;"", "✓", "✗"), "✗")
)</f>
        <v/>
      </c>
      <c r="E7">
        <f t="array" ref="E7">IF(
    ISNUMBER(VALUE(LEFT($A7, 1))),
    "",
    IFERROR(IF(_xlfn.XLOOKUP($A7, INDIRECT("'" &amp; E$2 &amp; "'!$A:$A"), INDIRECT("'" &amp; E$2 &amp; "'!$B:$B"), "")&lt;&gt;"", "✓", "✗"), "✗")
)</f>
        <v/>
      </c>
      <c r="F7">
        <f t="array" ref="F7">IF(
    ISNUMBER(VALUE(LEFT($A7, 1))),
    "",
    IFERROR(IF(_xlfn.XLOOKUP($A7, INDIRECT("'" &amp; F$2 &amp; "'!$A:$A"), INDIRECT("'" &amp; F$2 &amp; "'!$B:$B"), "")&lt;&gt;"", "✓", "✗"), "✗")
)</f>
        <v/>
      </c>
      <c r="G7">
        <f t="array" ref="G7">IF(
    ISNUMBER(VALUE(LEFT($A7, 1))),
    "",
    IFERROR(IF(_xlfn.XLOOKUP($A7, INDIRECT("'" &amp; G$2 &amp; "'!$A:$A"), INDIRECT("'" &amp; G$2 &amp; "'!$B:$B"), "")&lt;&gt;"", "✓", "✗"), "✗")
)</f>
        <v/>
      </c>
      <c r="H7">
        <f t="array" ref="H7">IF(
    ISNUMBER(VALUE(LEFT($A7, 1))),
    "",
    IFERROR(IF(_xlfn.XLOOKUP($A7, INDIRECT("'" &amp; H$2 &amp; "'!$A:$A"), INDIRECT("'" &amp; H$2 &amp; "'!$B:$B"), "")&lt;&gt;"", "✓", "✗"), "✗")
)</f>
        <v/>
      </c>
      <c r="I7">
        <f t="array" ref="I7">IF(
    ISNUMBER(VALUE(LEFT($A7, 1))),
    "",
    IFERROR(IF(_xlfn.XLOOKUP($A7, INDIRECT("'" &amp; I$2 &amp; "'!$A:$A"), INDIRECT("'" &amp; I$2 &amp; "'!$B:$B"), "")&lt;&gt;"", "✓", "✗"), "✗")
)</f>
        <v/>
      </c>
      <c r="J7">
        <f t="array" ref="J7">IF(
    ISNUMBER(VALUE(LEFT($A7, 1))),
    "",
    IFERROR(IF(_xlfn.XLOOKUP($A7, INDIRECT("'" &amp; J$2 &amp; "'!$A:$A"), INDIRECT("'" &amp; J$2 &amp; "'!$B:$B"), "")&lt;&gt;"", "✓", "✗"), "✗")
)</f>
        <v/>
      </c>
      <c r="K7">
        <f t="array" ref="K7">IF(
    ISNUMBER(VALUE(LEFT($A7, 1))),
    "",
    IFERROR(IF(_xlfn.XLOOKUP($A7, INDIRECT("'" &amp; K$2 &amp; "'!$A:$A"), INDIRECT("'" &amp; K$2 &amp; "'!$B:$B"), "")&lt;&gt;"", "✓", "✗"), "✗")
)</f>
        <v/>
      </c>
      <c r="L7">
        <f t="array" ref="L7">IF(
    ISNUMBER(VALUE(LEFT($A7, 1))),
    "",
    IFERROR(IF(_xlfn.XLOOKUP($A7, INDIRECT("'" &amp; L$2 &amp; "'!$A:$A"), INDIRECT("'" &amp; L$2 &amp; "'!$B:$B"), "")&lt;&gt;"", "✓", "✗"), "✗")
)</f>
        <v/>
      </c>
      <c r="M7">
        <f t="array" ref="M7">IF(
    ISNUMBER(VALUE(LEFT($A7, 1))),
    "",
    IFERROR(IF(_xlfn.XLOOKUP($A7, INDIRECT("'" &amp; M$2 &amp; "'!$A:$A"), INDIRECT("'" &amp; M$2 &amp; "'!$B:$B"), "")&lt;&gt;"", "✓", "✗"), "✗")
)</f>
        <v/>
      </c>
      <c r="N7">
        <f t="array" ref="N7">IF(
    ISNUMBER(VALUE(LEFT($A7, 1))),
    "",
    IFERROR(IF(_xlfn.XLOOKUP($A7, INDIRECT("'" &amp; N$2 &amp; "'!$A:$A"), INDIRECT("'" &amp; N$2 &amp; "'!$B:$B"), "")&lt;&gt;"", "✓", "✗"), "✗")
)</f>
        <v/>
      </c>
      <c r="O7">
        <f t="array" ref="O7">IF(
    ISNUMBER(VALUE(LEFT($A7, 1))),
    "",
    IFERROR(IF(_xlfn.XLOOKUP($A7, INDIRECT("'" &amp; O$2 &amp; "'!$A:$A"), INDIRECT("'" &amp; O$2 &amp; "'!$B:$B"), "")&lt;&gt;"", "✓", "✗"), "✗")
)</f>
        <v/>
      </c>
      <c r="P7">
        <f t="array" ref="P7">IF(
    ISNUMBER(VALUE(LEFT($A7, 1))),
    "",
    IFERROR(IF(_xlfn.XLOOKUP($A7, INDIRECT("'" &amp; P$2 &amp; "'!$A:$A"), INDIRECT("'" &amp; P$2 &amp; "'!$B:$B"), "")&lt;&gt;"", "✓", "✗"), "✗")
)</f>
        <v/>
      </c>
      <c r="Q7">
        <f t="array" ref="Q7">IF(
    ISNUMBER(VALUE(LEFT($A7, 1))),
    "",
    IFERROR(IF(_xlfn.XLOOKUP($A7, INDIRECT("'" &amp; Q$2 &amp; "'!$A:$A"), INDIRECT("'" &amp; Q$2 &amp; "'!$B:$B"), "")&lt;&gt;"", "✓", "✗"), "✗")
)</f>
        <v/>
      </c>
      <c r="R7">
        <f t="array" ref="R7">IF(
    ISNUMBER(VALUE(LEFT($A7, 1))),
    "",
    IFERROR(IF(_xlfn.XLOOKUP($A7, INDIRECT("'" &amp; R$2 &amp; "'!$A:$A"), INDIRECT("'" &amp; R$2 &amp; "'!$B:$B"), "")&lt;&gt;"", "✓", "✗"), "✗")
)</f>
        <v/>
      </c>
      <c r="S7">
        <f t="array" ref="S7">IF(
    ISNUMBER(VALUE(LEFT($A7, 1))),
    "",
    IFERROR(IF(_xlfn.XLOOKUP($A7, INDIRECT("'" &amp; S$2 &amp; "'!$A:$A"), INDIRECT("'" &amp; S$2 &amp; "'!$B:$B"), "")&lt;&gt;"", "✓", "✗"), "✗")
)</f>
        <v/>
      </c>
      <c r="T7">
        <f t="array" ref="T7">IF(
    ISNUMBER(VALUE(LEFT($A7, 1))),
    "",
    IFERROR(IF(_xlfn.XLOOKUP($A7, INDIRECT("'" &amp; T$2 &amp; "'!$A:$A"), INDIRECT("'" &amp; T$2 &amp; "'!$B:$B"), "")&lt;&gt;"", "✓", "✗"), "✗")
)</f>
        <v/>
      </c>
      <c r="U7">
        <f t="array" ref="U7">IF(
    ISNUMBER(VALUE(LEFT($A7, 1))),
    "",
    IFERROR(IF(_xlfn.XLOOKUP($A7, INDIRECT("'" &amp; U$2 &amp; "'!$A:$A"), INDIRECT("'" &amp; U$2 &amp; "'!$B:$B"), "")&lt;&gt;"", "✓", "✗"), "✗")
)</f>
        <v/>
      </c>
      <c r="V7">
        <f t="array" ref="V7">IF(
    ISNUMBER(VALUE(LEFT($A7, 1))),
    "",
    IFERROR(IF(_xlfn.XLOOKUP($A7, INDIRECT("'" &amp; V$2 &amp; "'!$A:$A"), INDIRECT("'" &amp; V$2 &amp; "'!$B:$B"), "")&lt;&gt;"", "✓", "✗"), "✗")
)</f>
        <v/>
      </c>
      <c r="W7">
        <f t="array" ref="W7">IF(
    ISNUMBER(VALUE(LEFT($A7, 1))),
    "",
    IFERROR(IF(_xlfn.XLOOKUP($A7, INDIRECT("'" &amp; W$2 &amp; "'!$A:$A"), INDIRECT("'" &amp; W$2 &amp; "'!$B:$B"), "")&lt;&gt;"", "✓", "✗"), "✗")
)</f>
        <v/>
      </c>
      <c r="X7">
        <f t="array" ref="X7">IF(
    ISNUMBER(VALUE(LEFT($A7, 1))),
    "",
    IFERROR(IF(_xlfn.XLOOKUP($A7, INDIRECT("'" &amp; X$2 &amp; "'!$A:$A"), INDIRECT("'" &amp; X$2 &amp; "'!$B:$B"), "")&lt;&gt;"", "✓", "✗"), "✗")
)</f>
        <v/>
      </c>
      <c r="Y7">
        <f t="array" ref="Y7">IF(
    ISNUMBER(VALUE(LEFT($A7, 1))),
    "",
    IFERROR(IF(_xlfn.XLOOKUP($A7, INDIRECT("'" &amp; Y$2 &amp; "'!$A:$A"), INDIRECT("'" &amp; Y$2 &amp; "'!$B:$B"), "")&lt;&gt;"", "✓", "✗"), "✗")
)</f>
        <v/>
      </c>
      <c r="Z7">
        <f t="array" ref="Z7">IF(
    ISNUMBER(VALUE(LEFT($A7, 1))),
    "",
    IFERROR(IF(_xlfn.XLOOKUP($A7, INDIRECT("'" &amp; Z$2 &amp; "'!$A:$A"), INDIRECT("'" &amp; Z$2 &amp; "'!$B:$B"), "")&lt;&gt;"", "✓", "✗"), "✗")
)</f>
        <v/>
      </c>
      <c r="AA7">
        <f t="array" ref="AA7">IF(
    ISNUMBER(VALUE(LEFT($A7, 1))),
    "",
    IFERROR(IF(_xlfn.XLOOKUP($A7, INDIRECT("'" &amp; AA$2 &amp; "'!$A:$A"), INDIRECT("'" &amp; AA$2 &amp; "'!$B:$B"), "")&lt;&gt;"", "✓", "✗"), "✗")
)</f>
        <v/>
      </c>
      <c r="AB7">
        <f t="array" ref="AB7">IF(
    ISNUMBER(VALUE(LEFT($A7, 1))),
    "",
    IFERROR(IF(_xlfn.XLOOKUP($A7, INDIRECT("'" &amp; AB$2 &amp; "'!$A:$A"), INDIRECT("'" &amp; AB$2 &amp; "'!$B:$B"), "")&lt;&gt;"", "✓", "✗"), "✗")
)</f>
        <v/>
      </c>
      <c r="AC7">
        <f t="array" ref="AC7">IF(
    ISNUMBER(VALUE(LEFT($A7, 1))),
    "",
    IFERROR(IF(_xlfn.XLOOKUP($A7, INDIRECT("'" &amp; AC$2 &amp; "'!$A:$A"), INDIRECT("'" &amp; AC$2 &amp; "'!$B:$B"), "")&lt;&gt;"", "✓", "✗"), "✗")
)</f>
        <v/>
      </c>
      <c r="AD7">
        <f t="array" ref="AD7">IF(
    ISNUMBER(VALUE(LEFT($A7, 1))),
    "",
    IFERROR(IF(_xlfn.XLOOKUP($A7, INDIRECT("'" &amp; AD$2 &amp; "'!$A:$A"), INDIRECT("'" &amp; AD$2 &amp; "'!$B:$B"), "")&lt;&gt;"", "✓", "✗"), "✗")
)</f>
        <v/>
      </c>
      <c r="AE7">
        <f t="array" ref="AE7">IF(
    ISNUMBER(VALUE(LEFT($A7, 1))),
    "",
    IFERROR(IF(_xlfn.XLOOKUP($A7, INDIRECT("'" &amp; AE$2 &amp; "'!$A:$A"), INDIRECT("'" &amp; AE$2 &amp; "'!$B:$B"), "")&lt;&gt;"", "✓", "✗"), "✗")
)</f>
        <v/>
      </c>
      <c r="AF7">
        <f t="array" ref="AF7">IF(
    ISNUMBER(VALUE(LEFT($A7, 1))),
    "",
    IFERROR(IF(_xlfn.XLOOKUP($A7, INDIRECT("'" &amp; AF$2 &amp; "'!$A:$A"), INDIRECT("'" &amp; AF$2 &amp; "'!$B:$B"), "")&lt;&gt;"", "✓", "✗"), "✗")
)</f>
        <v/>
      </c>
      <c r="AG7">
        <f t="array" ref="AG7">IF(
    ISNUMBER(VALUE(LEFT($A7, 1))),
    "",
    IFERROR(IF(_xlfn.XLOOKUP($A7, INDIRECT("'" &amp; AG$2 &amp; "'!$A:$A"), INDIRECT("'" &amp; AG$2 &amp; "'!$B:$B"), "")&lt;&gt;"", "✓", "✗"), "✗")
)</f>
        <v/>
      </c>
    </row>
    <row r="8">
      <c r="A8" t="inlineStr">
        <is>
          <t>2 - Contact Identity</t>
        </is>
      </c>
      <c r="B8">
        <f t="array" ref="B8">IF(
    ISNUMBER(VALUE(LEFT($A8, 1))),
    "",
    IFERROR(IF(_xlfn.XLOOKUP($A8, INDIRECT("'" &amp; B$2 &amp; "'!$A:$A"), INDIRECT("'" &amp; B$2 &amp; "'!$B:$B"), "")&lt;&gt;"", "✓", "✗"), "✗")
)</f>
        <v/>
      </c>
      <c r="C8">
        <f t="array" ref="C8">IF(
    ISNUMBER(VALUE(LEFT($A8, 1))),
    "",
    IFERROR(IF(_xlfn.XLOOKUP($A8, INDIRECT("'" &amp; C$2 &amp; "'!$A:$A"), INDIRECT("'" &amp; C$2 &amp; "'!$B:$B"), "")&lt;&gt;"", "✓", "✗"), "✗")
)</f>
        <v/>
      </c>
      <c r="D8">
        <f t="array" ref="D8">IF(
    ISNUMBER(VALUE(LEFT($A8, 1))),
    "",
    IFERROR(IF(_xlfn.XLOOKUP($A8, INDIRECT("'" &amp; D$2 &amp; "'!$A:$A"), INDIRECT("'" &amp; D$2 &amp; "'!$B:$B"), "")&lt;&gt;"", "✓", "✗"), "✗")
)</f>
        <v/>
      </c>
      <c r="E8">
        <f t="array" ref="E8">IF(
    ISNUMBER(VALUE(LEFT($A8, 1))),
    "",
    IFERROR(IF(_xlfn.XLOOKUP($A8, INDIRECT("'" &amp; E$2 &amp; "'!$A:$A"), INDIRECT("'" &amp; E$2 &amp; "'!$B:$B"), "")&lt;&gt;"", "✓", "✗"), "✗")
)</f>
        <v/>
      </c>
      <c r="F8">
        <f t="array" ref="F8">IF(
    ISNUMBER(VALUE(LEFT($A8, 1))),
    "",
    IFERROR(IF(_xlfn.XLOOKUP($A8, INDIRECT("'" &amp; F$2 &amp; "'!$A:$A"), INDIRECT("'" &amp; F$2 &amp; "'!$B:$B"), "")&lt;&gt;"", "✓", "✗"), "✗")
)</f>
        <v/>
      </c>
      <c r="G8">
        <f t="array" ref="G8">IF(
    ISNUMBER(VALUE(LEFT($A8, 1))),
    "",
    IFERROR(IF(_xlfn.XLOOKUP($A8, INDIRECT("'" &amp; G$2 &amp; "'!$A:$A"), INDIRECT("'" &amp; G$2 &amp; "'!$B:$B"), "")&lt;&gt;"", "✓", "✗"), "✗")
)</f>
        <v/>
      </c>
      <c r="H8">
        <f t="array" ref="H8">IF(
    ISNUMBER(VALUE(LEFT($A8, 1))),
    "",
    IFERROR(IF(_xlfn.XLOOKUP($A8, INDIRECT("'" &amp; H$2 &amp; "'!$A:$A"), INDIRECT("'" &amp; H$2 &amp; "'!$B:$B"), "")&lt;&gt;"", "✓", "✗"), "✗")
)</f>
        <v/>
      </c>
      <c r="I8">
        <f t="array" ref="I8">IF(
    ISNUMBER(VALUE(LEFT($A8, 1))),
    "",
    IFERROR(IF(_xlfn.XLOOKUP($A8, INDIRECT("'" &amp; I$2 &amp; "'!$A:$A"), INDIRECT("'" &amp; I$2 &amp; "'!$B:$B"), "")&lt;&gt;"", "✓", "✗"), "✗")
)</f>
        <v/>
      </c>
      <c r="J8">
        <f t="array" ref="J8">IF(
    ISNUMBER(VALUE(LEFT($A8, 1))),
    "",
    IFERROR(IF(_xlfn.XLOOKUP($A8, INDIRECT("'" &amp; J$2 &amp; "'!$A:$A"), INDIRECT("'" &amp; J$2 &amp; "'!$B:$B"), "")&lt;&gt;"", "✓", "✗"), "✗")
)</f>
        <v/>
      </c>
      <c r="K8">
        <f t="array" ref="K8">IF(
    ISNUMBER(VALUE(LEFT($A8, 1))),
    "",
    IFERROR(IF(_xlfn.XLOOKUP($A8, INDIRECT("'" &amp; K$2 &amp; "'!$A:$A"), INDIRECT("'" &amp; K$2 &amp; "'!$B:$B"), "")&lt;&gt;"", "✓", "✗"), "✗")
)</f>
        <v/>
      </c>
      <c r="L8">
        <f t="array" ref="L8">IF(
    ISNUMBER(VALUE(LEFT($A8, 1))),
    "",
    IFERROR(IF(_xlfn.XLOOKUP($A8, INDIRECT("'" &amp; L$2 &amp; "'!$A:$A"), INDIRECT("'" &amp; L$2 &amp; "'!$B:$B"), "")&lt;&gt;"", "✓", "✗"), "✗")
)</f>
        <v/>
      </c>
      <c r="M8">
        <f t="array" ref="M8">IF(
    ISNUMBER(VALUE(LEFT($A8, 1))),
    "",
    IFERROR(IF(_xlfn.XLOOKUP($A8, INDIRECT("'" &amp; M$2 &amp; "'!$A:$A"), INDIRECT("'" &amp; M$2 &amp; "'!$B:$B"), "")&lt;&gt;"", "✓", "✗"), "✗")
)</f>
        <v/>
      </c>
      <c r="N8">
        <f t="array" ref="N8">IF(
    ISNUMBER(VALUE(LEFT($A8, 1))),
    "",
    IFERROR(IF(_xlfn.XLOOKUP($A8, INDIRECT("'" &amp; N$2 &amp; "'!$A:$A"), INDIRECT("'" &amp; N$2 &amp; "'!$B:$B"), "")&lt;&gt;"", "✓", "✗"), "✗")
)</f>
        <v/>
      </c>
      <c r="O8">
        <f t="array" ref="O8">IF(
    ISNUMBER(VALUE(LEFT($A8, 1))),
    "",
    IFERROR(IF(_xlfn.XLOOKUP($A8, INDIRECT("'" &amp; O$2 &amp; "'!$A:$A"), INDIRECT("'" &amp; O$2 &amp; "'!$B:$B"), "")&lt;&gt;"", "✓", "✗"), "✗")
)</f>
        <v/>
      </c>
      <c r="P8">
        <f t="array" ref="P8">IF(
    ISNUMBER(VALUE(LEFT($A8, 1))),
    "",
    IFERROR(IF(_xlfn.XLOOKUP($A8, INDIRECT("'" &amp; P$2 &amp; "'!$A:$A"), INDIRECT("'" &amp; P$2 &amp; "'!$B:$B"), "")&lt;&gt;"", "✓", "✗"), "✗")
)</f>
        <v/>
      </c>
      <c r="Q8">
        <f t="array" ref="Q8">IF(
    ISNUMBER(VALUE(LEFT($A8, 1))),
    "",
    IFERROR(IF(_xlfn.XLOOKUP($A8, INDIRECT("'" &amp; Q$2 &amp; "'!$A:$A"), INDIRECT("'" &amp; Q$2 &amp; "'!$B:$B"), "")&lt;&gt;"", "✓", "✗"), "✗")
)</f>
        <v/>
      </c>
      <c r="R8">
        <f t="array" ref="R8">IF(
    ISNUMBER(VALUE(LEFT($A8, 1))),
    "",
    IFERROR(IF(_xlfn.XLOOKUP($A8, INDIRECT("'" &amp; R$2 &amp; "'!$A:$A"), INDIRECT("'" &amp; R$2 &amp; "'!$B:$B"), "")&lt;&gt;"", "✓", "✗"), "✗")
)</f>
        <v/>
      </c>
      <c r="S8">
        <f t="array" ref="S8">IF(
    ISNUMBER(VALUE(LEFT($A8, 1))),
    "",
    IFERROR(IF(_xlfn.XLOOKUP($A8, INDIRECT("'" &amp; S$2 &amp; "'!$A:$A"), INDIRECT("'" &amp; S$2 &amp; "'!$B:$B"), "")&lt;&gt;"", "✓", "✗"), "✗")
)</f>
        <v/>
      </c>
      <c r="T8">
        <f t="array" ref="T8">IF(
    ISNUMBER(VALUE(LEFT($A8, 1))),
    "",
    IFERROR(IF(_xlfn.XLOOKUP($A8, INDIRECT("'" &amp; T$2 &amp; "'!$A:$A"), INDIRECT("'" &amp; T$2 &amp; "'!$B:$B"), "")&lt;&gt;"", "✓", "✗"), "✗")
)</f>
        <v/>
      </c>
      <c r="U8">
        <f t="array" ref="U8">IF(
    ISNUMBER(VALUE(LEFT($A8, 1))),
    "",
    IFERROR(IF(_xlfn.XLOOKUP($A8, INDIRECT("'" &amp; U$2 &amp; "'!$A:$A"), INDIRECT("'" &amp; U$2 &amp; "'!$B:$B"), "")&lt;&gt;"", "✓", "✗"), "✗")
)</f>
        <v/>
      </c>
      <c r="V8">
        <f t="array" ref="V8">IF(
    ISNUMBER(VALUE(LEFT($A8, 1))),
    "",
    IFERROR(IF(_xlfn.XLOOKUP($A8, INDIRECT("'" &amp; V$2 &amp; "'!$A:$A"), INDIRECT("'" &amp; V$2 &amp; "'!$B:$B"), "")&lt;&gt;"", "✓", "✗"), "✗")
)</f>
        <v/>
      </c>
      <c r="W8">
        <f t="array" ref="W8">IF(
    ISNUMBER(VALUE(LEFT($A8, 1))),
    "",
    IFERROR(IF(_xlfn.XLOOKUP($A8, INDIRECT("'" &amp; W$2 &amp; "'!$A:$A"), INDIRECT("'" &amp; W$2 &amp; "'!$B:$B"), "")&lt;&gt;"", "✓", "✗"), "✗")
)</f>
        <v/>
      </c>
      <c r="X8">
        <f t="array" ref="X8">IF(
    ISNUMBER(VALUE(LEFT($A8, 1))),
    "",
    IFERROR(IF(_xlfn.XLOOKUP($A8, INDIRECT("'" &amp; X$2 &amp; "'!$A:$A"), INDIRECT("'" &amp; X$2 &amp; "'!$B:$B"), "")&lt;&gt;"", "✓", "✗"), "✗")
)</f>
        <v/>
      </c>
      <c r="Y8">
        <f t="array" ref="Y8">IF(
    ISNUMBER(VALUE(LEFT($A8, 1))),
    "",
    IFERROR(IF(_xlfn.XLOOKUP($A8, INDIRECT("'" &amp; Y$2 &amp; "'!$A:$A"), INDIRECT("'" &amp; Y$2 &amp; "'!$B:$B"), "")&lt;&gt;"", "✓", "✗"), "✗")
)</f>
        <v/>
      </c>
      <c r="Z8">
        <f t="array" ref="Z8">IF(
    ISNUMBER(VALUE(LEFT($A8, 1))),
    "",
    IFERROR(IF(_xlfn.XLOOKUP($A8, INDIRECT("'" &amp; Z$2 &amp; "'!$A:$A"), INDIRECT("'" &amp; Z$2 &amp; "'!$B:$B"), "")&lt;&gt;"", "✓", "✗"), "✗")
)</f>
        <v/>
      </c>
      <c r="AA8">
        <f t="array" ref="AA8">IF(
    ISNUMBER(VALUE(LEFT($A8, 1))),
    "",
    IFERROR(IF(_xlfn.XLOOKUP($A8, INDIRECT("'" &amp; AA$2 &amp; "'!$A:$A"), INDIRECT("'" &amp; AA$2 &amp; "'!$B:$B"), "")&lt;&gt;"", "✓", "✗"), "✗")
)</f>
        <v/>
      </c>
      <c r="AB8">
        <f t="array" ref="AB8">IF(
    ISNUMBER(VALUE(LEFT($A8, 1))),
    "",
    IFERROR(IF(_xlfn.XLOOKUP($A8, INDIRECT("'" &amp; AB$2 &amp; "'!$A:$A"), INDIRECT("'" &amp; AB$2 &amp; "'!$B:$B"), "")&lt;&gt;"", "✓", "✗"), "✗")
)</f>
        <v/>
      </c>
      <c r="AC8">
        <f t="array" ref="AC8">IF(
    ISNUMBER(VALUE(LEFT($A8, 1))),
    "",
    IFERROR(IF(_xlfn.XLOOKUP($A8, INDIRECT("'" &amp; AC$2 &amp; "'!$A:$A"), INDIRECT("'" &amp; AC$2 &amp; "'!$B:$B"), "")&lt;&gt;"", "✓", "✗"), "✗")
)</f>
        <v/>
      </c>
      <c r="AD8">
        <f t="array" ref="AD8">IF(
    ISNUMBER(VALUE(LEFT($A8, 1))),
    "",
    IFERROR(IF(_xlfn.XLOOKUP($A8, INDIRECT("'" &amp; AD$2 &amp; "'!$A:$A"), INDIRECT("'" &amp; AD$2 &amp; "'!$B:$B"), "")&lt;&gt;"", "✓", "✗"), "✗")
)</f>
        <v/>
      </c>
      <c r="AE8">
        <f t="array" ref="AE8">IF(
    ISNUMBER(VALUE(LEFT($A8, 1))),
    "",
    IFERROR(IF(_xlfn.XLOOKUP($A8, INDIRECT("'" &amp; AE$2 &amp; "'!$A:$A"), INDIRECT("'" &amp; AE$2 &amp; "'!$B:$B"), "")&lt;&gt;"", "✓", "✗"), "✗")
)</f>
        <v/>
      </c>
      <c r="AF8">
        <f t="array" ref="AF8">IF(
    ISNUMBER(VALUE(LEFT($A8, 1))),
    "",
    IFERROR(IF(_xlfn.XLOOKUP($A8, INDIRECT("'" &amp; AF$2 &amp; "'!$A:$A"), INDIRECT("'" &amp; AF$2 &amp; "'!$B:$B"), "")&lt;&gt;"", "✓", "✗"), "✗")
)</f>
        <v/>
      </c>
      <c r="AG8">
        <f t="array" ref="AG8">IF(
    ISNUMBER(VALUE(LEFT($A8, 1))),
    "",
    IFERROR(IF(_xlfn.XLOOKUP($A8, INDIRECT("'" &amp; AG$2 &amp; "'!$A:$A"), INDIRECT("'" &amp; AG$2 &amp; "'!$B:$B"), "")&lt;&gt;"", "✓", "✗"), "✗")
)</f>
        <v/>
      </c>
    </row>
    <row r="9">
      <c r="A9" t="inlineStr">
        <is>
          <t>Person Party ID</t>
        </is>
      </c>
      <c r="B9">
        <f t="array" ref="B9">IF(
    ISNUMBER(VALUE(LEFT($A9, 1))),
    "",
    IFERROR(IF(_xlfn.XLOOKUP($A9, INDIRECT("'" &amp; B$2 &amp; "'!$A:$A"), INDIRECT("'" &amp; B$2 &amp; "'!$B:$B"), "")&lt;&gt;"", "✓", "✗"), "✗")
)</f>
        <v/>
      </c>
      <c r="C9">
        <f t="array" ref="C9">IF(
    ISNUMBER(VALUE(LEFT($A9, 1))),
    "",
    IFERROR(IF(_xlfn.XLOOKUP($A9, INDIRECT("'" &amp; C$2 &amp; "'!$A:$A"), INDIRECT("'" &amp; C$2 &amp; "'!$B:$B"), "")&lt;&gt;"", "✓", "✗"), "✗")
)</f>
        <v/>
      </c>
      <c r="D9">
        <f t="array" ref="D9">IF(
    ISNUMBER(VALUE(LEFT($A9, 1))),
    "",
    IFERROR(IF(_xlfn.XLOOKUP($A9, INDIRECT("'" &amp; D$2 &amp; "'!$A:$A"), INDIRECT("'" &amp; D$2 &amp; "'!$B:$B"), "")&lt;&gt;"", "✓", "✗"), "✗")
)</f>
        <v/>
      </c>
      <c r="E9">
        <f t="array" ref="E9">IF(
    ISNUMBER(VALUE(LEFT($A9, 1))),
    "",
    IFERROR(IF(_xlfn.XLOOKUP($A9, INDIRECT("'" &amp; E$2 &amp; "'!$A:$A"), INDIRECT("'" &amp; E$2 &amp; "'!$B:$B"), "")&lt;&gt;"", "✓", "✗"), "✗")
)</f>
        <v/>
      </c>
      <c r="F9">
        <f t="array" ref="F9">IF(
    ISNUMBER(VALUE(LEFT($A9, 1))),
    "",
    IFERROR(IF(_xlfn.XLOOKUP($A9, INDIRECT("'" &amp; F$2 &amp; "'!$A:$A"), INDIRECT("'" &amp; F$2 &amp; "'!$B:$B"), "")&lt;&gt;"", "✓", "✗"), "✗")
)</f>
        <v/>
      </c>
      <c r="G9">
        <f t="array" ref="G9">IF(
    ISNUMBER(VALUE(LEFT($A9, 1))),
    "",
    IFERROR(IF(_xlfn.XLOOKUP($A9, INDIRECT("'" &amp; G$2 &amp; "'!$A:$A"), INDIRECT("'" &amp; G$2 &amp; "'!$B:$B"), "")&lt;&gt;"", "✓", "✗"), "✗")
)</f>
        <v/>
      </c>
      <c r="H9">
        <f t="array" ref="H9">IF(
    ISNUMBER(VALUE(LEFT($A9, 1))),
    "",
    IFERROR(IF(_xlfn.XLOOKUP($A9, INDIRECT("'" &amp; H$2 &amp; "'!$A:$A"), INDIRECT("'" &amp; H$2 &amp; "'!$B:$B"), "")&lt;&gt;"", "✓", "✗"), "✗")
)</f>
        <v/>
      </c>
      <c r="I9">
        <f t="array" ref="I9">IF(
    ISNUMBER(VALUE(LEFT($A9, 1))),
    "",
    IFERROR(IF(_xlfn.XLOOKUP($A9, INDIRECT("'" &amp; I$2 &amp; "'!$A:$A"), INDIRECT("'" &amp; I$2 &amp; "'!$B:$B"), "")&lt;&gt;"", "✓", "✗"), "✗")
)</f>
        <v/>
      </c>
      <c r="J9">
        <f t="array" ref="J9">IF(
    ISNUMBER(VALUE(LEFT($A9, 1))),
    "",
    IFERROR(IF(_xlfn.XLOOKUP($A9, INDIRECT("'" &amp; J$2 &amp; "'!$A:$A"), INDIRECT("'" &amp; J$2 &amp; "'!$B:$B"), "")&lt;&gt;"", "✓", "✗"), "✗")
)</f>
        <v/>
      </c>
      <c r="K9">
        <f t="array" ref="K9">IF(
    ISNUMBER(VALUE(LEFT($A9, 1))),
    "",
    IFERROR(IF(_xlfn.XLOOKUP($A9, INDIRECT("'" &amp; K$2 &amp; "'!$A:$A"), INDIRECT("'" &amp; K$2 &amp; "'!$B:$B"), "")&lt;&gt;"", "✓", "✗"), "✗")
)</f>
        <v/>
      </c>
      <c r="L9">
        <f t="array" ref="L9">IF(
    ISNUMBER(VALUE(LEFT($A9, 1))),
    "",
    IFERROR(IF(_xlfn.XLOOKUP($A9, INDIRECT("'" &amp; L$2 &amp; "'!$A:$A"), INDIRECT("'" &amp; L$2 &amp; "'!$B:$B"), "")&lt;&gt;"", "✓", "✗"), "✗")
)</f>
        <v/>
      </c>
      <c r="M9">
        <f t="array" ref="M9">IF(
    ISNUMBER(VALUE(LEFT($A9, 1))),
    "",
    IFERROR(IF(_xlfn.XLOOKUP($A9, INDIRECT("'" &amp; M$2 &amp; "'!$A:$A"), INDIRECT("'" &amp; M$2 &amp; "'!$B:$B"), "")&lt;&gt;"", "✓", "✗"), "✗")
)</f>
        <v/>
      </c>
      <c r="N9">
        <f t="array" ref="N9">IF(
    ISNUMBER(VALUE(LEFT($A9, 1))),
    "",
    IFERROR(IF(_xlfn.XLOOKUP($A9, INDIRECT("'" &amp; N$2 &amp; "'!$A:$A"), INDIRECT("'" &amp; N$2 &amp; "'!$B:$B"), "")&lt;&gt;"", "✓", "✗"), "✗")
)</f>
        <v/>
      </c>
      <c r="O9">
        <f t="array" ref="O9">IF(
    ISNUMBER(VALUE(LEFT($A9, 1))),
    "",
    IFERROR(IF(_xlfn.XLOOKUP($A9, INDIRECT("'" &amp; O$2 &amp; "'!$A:$A"), INDIRECT("'" &amp; O$2 &amp; "'!$B:$B"), "")&lt;&gt;"", "✓", "✗"), "✗")
)</f>
        <v/>
      </c>
      <c r="P9">
        <f t="array" ref="P9">IF(
    ISNUMBER(VALUE(LEFT($A9, 1))),
    "",
    IFERROR(IF(_xlfn.XLOOKUP($A9, INDIRECT("'" &amp; P$2 &amp; "'!$A:$A"), INDIRECT("'" &amp; P$2 &amp; "'!$B:$B"), "")&lt;&gt;"", "✓", "✗"), "✗")
)</f>
        <v/>
      </c>
      <c r="Q9">
        <f t="array" ref="Q9">IF(
    ISNUMBER(VALUE(LEFT($A9, 1))),
    "",
    IFERROR(IF(_xlfn.XLOOKUP($A9, INDIRECT("'" &amp; Q$2 &amp; "'!$A:$A"), INDIRECT("'" &amp; Q$2 &amp; "'!$B:$B"), "")&lt;&gt;"", "✓", "✗"), "✗")
)</f>
        <v/>
      </c>
      <c r="R9">
        <f t="array" ref="R9">IF(
    ISNUMBER(VALUE(LEFT($A9, 1))),
    "",
    IFERROR(IF(_xlfn.XLOOKUP($A9, INDIRECT("'" &amp; R$2 &amp; "'!$A:$A"), INDIRECT("'" &amp; R$2 &amp; "'!$B:$B"), "")&lt;&gt;"", "✓", "✗"), "✗")
)</f>
        <v/>
      </c>
      <c r="S9">
        <f t="array" ref="S9">IF(
    ISNUMBER(VALUE(LEFT($A9, 1))),
    "",
    IFERROR(IF(_xlfn.XLOOKUP($A9, INDIRECT("'" &amp; S$2 &amp; "'!$A:$A"), INDIRECT("'" &amp; S$2 &amp; "'!$B:$B"), "")&lt;&gt;"", "✓", "✗"), "✗")
)</f>
        <v/>
      </c>
      <c r="T9">
        <f t="array" ref="T9">IF(
    ISNUMBER(VALUE(LEFT($A9, 1))),
    "",
    IFERROR(IF(_xlfn.XLOOKUP($A9, INDIRECT("'" &amp; T$2 &amp; "'!$A:$A"), INDIRECT("'" &amp; T$2 &amp; "'!$B:$B"), "")&lt;&gt;"", "✓", "✗"), "✗")
)</f>
        <v/>
      </c>
      <c r="U9">
        <f t="array" ref="U9">IF(
    ISNUMBER(VALUE(LEFT($A9, 1))),
    "",
    IFERROR(IF(_xlfn.XLOOKUP($A9, INDIRECT("'" &amp; U$2 &amp; "'!$A:$A"), INDIRECT("'" &amp; U$2 &amp; "'!$B:$B"), "")&lt;&gt;"", "✓", "✗"), "✗")
)</f>
        <v/>
      </c>
      <c r="V9">
        <f t="array" ref="V9">IF(
    ISNUMBER(VALUE(LEFT($A9, 1))),
    "",
    IFERROR(IF(_xlfn.XLOOKUP($A9, INDIRECT("'" &amp; V$2 &amp; "'!$A:$A"), INDIRECT("'" &amp; V$2 &amp; "'!$B:$B"), "")&lt;&gt;"", "✓", "✗"), "✗")
)</f>
        <v/>
      </c>
      <c r="W9">
        <f t="array" ref="W9">IF(
    ISNUMBER(VALUE(LEFT($A9, 1))),
    "",
    IFERROR(IF(_xlfn.XLOOKUP($A9, INDIRECT("'" &amp; W$2 &amp; "'!$A:$A"), INDIRECT("'" &amp; W$2 &amp; "'!$B:$B"), "")&lt;&gt;"", "✓", "✗"), "✗")
)</f>
        <v/>
      </c>
      <c r="X9">
        <f t="array" ref="X9">IF(
    ISNUMBER(VALUE(LEFT($A9, 1))),
    "",
    IFERROR(IF(_xlfn.XLOOKUP($A9, INDIRECT("'" &amp; X$2 &amp; "'!$A:$A"), INDIRECT("'" &amp; X$2 &amp; "'!$B:$B"), "")&lt;&gt;"", "✓", "✗"), "✗")
)</f>
        <v/>
      </c>
      <c r="Y9">
        <f t="array" ref="Y9">IF(
    ISNUMBER(VALUE(LEFT($A9, 1))),
    "",
    IFERROR(IF(_xlfn.XLOOKUP($A9, INDIRECT("'" &amp; Y$2 &amp; "'!$A:$A"), INDIRECT("'" &amp; Y$2 &amp; "'!$B:$B"), "")&lt;&gt;"", "✓", "✗"), "✗")
)</f>
        <v/>
      </c>
      <c r="Z9">
        <f t="array" ref="Z9">IF(
    ISNUMBER(VALUE(LEFT($A9, 1))),
    "",
    IFERROR(IF(_xlfn.XLOOKUP($A9, INDIRECT("'" &amp; Z$2 &amp; "'!$A:$A"), INDIRECT("'" &amp; Z$2 &amp; "'!$B:$B"), "")&lt;&gt;"", "✓", "✗"), "✗")
)</f>
        <v/>
      </c>
      <c r="AA9">
        <f t="array" ref="AA9">IF(
    ISNUMBER(VALUE(LEFT($A9, 1))),
    "",
    IFERROR(IF(_xlfn.XLOOKUP($A9, INDIRECT("'" &amp; AA$2 &amp; "'!$A:$A"), INDIRECT("'" &amp; AA$2 &amp; "'!$B:$B"), "")&lt;&gt;"", "✓", "✗"), "✗")
)</f>
        <v/>
      </c>
      <c r="AB9">
        <f t="array" ref="AB9">IF(
    ISNUMBER(VALUE(LEFT($A9, 1))),
    "",
    IFERROR(IF(_xlfn.XLOOKUP($A9, INDIRECT("'" &amp; AB$2 &amp; "'!$A:$A"), INDIRECT("'" &amp; AB$2 &amp; "'!$B:$B"), "")&lt;&gt;"", "✓", "✗"), "✗")
)</f>
        <v/>
      </c>
      <c r="AC9">
        <f t="array" ref="AC9">IF(
    ISNUMBER(VALUE(LEFT($A9, 1))),
    "",
    IFERROR(IF(_xlfn.XLOOKUP($A9, INDIRECT("'" &amp; AC$2 &amp; "'!$A:$A"), INDIRECT("'" &amp; AC$2 &amp; "'!$B:$B"), "")&lt;&gt;"", "✓", "✗"), "✗")
)</f>
        <v/>
      </c>
      <c r="AD9">
        <f t="array" ref="AD9">IF(
    ISNUMBER(VALUE(LEFT($A9, 1))),
    "",
    IFERROR(IF(_xlfn.XLOOKUP($A9, INDIRECT("'" &amp; AD$2 &amp; "'!$A:$A"), INDIRECT("'" &amp; AD$2 &amp; "'!$B:$B"), "")&lt;&gt;"", "✓", "✗"), "✗")
)</f>
        <v/>
      </c>
      <c r="AE9">
        <f t="array" ref="AE9">IF(
    ISNUMBER(VALUE(LEFT($A9, 1))),
    "",
    IFERROR(IF(_xlfn.XLOOKUP($A9, INDIRECT("'" &amp; AE$2 &amp; "'!$A:$A"), INDIRECT("'" &amp; AE$2 &amp; "'!$B:$B"), "")&lt;&gt;"", "✓", "✗"), "✗")
)</f>
        <v/>
      </c>
      <c r="AF9">
        <f t="array" ref="AF9">IF(
    ISNUMBER(VALUE(LEFT($A9, 1))),
    "",
    IFERROR(IF(_xlfn.XLOOKUP($A9, INDIRECT("'" &amp; AF$2 &amp; "'!$A:$A"), INDIRECT("'" &amp; AF$2 &amp; "'!$B:$B"), "")&lt;&gt;"", "✓", "✗"), "✗")
)</f>
        <v/>
      </c>
      <c r="AG9">
        <f t="array" ref="AG9">IF(
    ISNUMBER(VALUE(LEFT($A9, 1))),
    "",
    IFERROR(IF(_xlfn.XLOOKUP($A9, INDIRECT("'" &amp; AG$2 &amp; "'!$A:$A"), INDIRECT("'" &amp; AG$2 &amp; "'!$B:$B"), "")&lt;&gt;"", "✓", "✗"), "✗")
)</f>
        <v/>
      </c>
    </row>
    <row r="10">
      <c r="A10" t="inlineStr">
        <is>
          <t>UUID</t>
        </is>
      </c>
      <c r="B10">
        <f t="array" ref="B10">IF(
    ISNUMBER(VALUE(LEFT($A10, 1))),
    "",
    IFERROR(IF(_xlfn.XLOOKUP($A10, INDIRECT("'" &amp; B$2 &amp; "'!$A:$A"), INDIRECT("'" &amp; B$2 &amp; "'!$B:$B"), "")&lt;&gt;"", "✓", "✗"), "✗")
)</f>
        <v/>
      </c>
      <c r="C10">
        <f t="array" ref="C10">IF(
    ISNUMBER(VALUE(LEFT($A10, 1))),
    "",
    IFERROR(IF(_xlfn.XLOOKUP($A10, INDIRECT("'" &amp; C$2 &amp; "'!$A:$A"), INDIRECT("'" &amp; C$2 &amp; "'!$B:$B"), "")&lt;&gt;"", "✓", "✗"), "✗")
)</f>
        <v/>
      </c>
      <c r="D10">
        <f t="array" ref="D10">IF(
    ISNUMBER(VALUE(LEFT($A10, 1))),
    "",
    IFERROR(IF(_xlfn.XLOOKUP($A10, INDIRECT("'" &amp; D$2 &amp; "'!$A:$A"), INDIRECT("'" &amp; D$2 &amp; "'!$B:$B"), "")&lt;&gt;"", "✓", "✗"), "✗")
)</f>
        <v/>
      </c>
      <c r="E10">
        <f t="array" ref="E10">IF(
    ISNUMBER(VALUE(LEFT($A10, 1))),
    "",
    IFERROR(IF(_xlfn.XLOOKUP($A10, INDIRECT("'" &amp; E$2 &amp; "'!$A:$A"), INDIRECT("'" &amp; E$2 &amp; "'!$B:$B"), "")&lt;&gt;"", "✓", "✗"), "✗")
)</f>
        <v/>
      </c>
      <c r="F10">
        <f t="array" ref="F10">IF(
    ISNUMBER(VALUE(LEFT($A10, 1))),
    "",
    IFERROR(IF(_xlfn.XLOOKUP($A10, INDIRECT("'" &amp; F$2 &amp; "'!$A:$A"), INDIRECT("'" &amp; F$2 &amp; "'!$B:$B"), "")&lt;&gt;"", "✓", "✗"), "✗")
)</f>
        <v/>
      </c>
      <c r="G10">
        <f t="array" ref="G10">IF(
    ISNUMBER(VALUE(LEFT($A10, 1))),
    "",
    IFERROR(IF(_xlfn.XLOOKUP($A10, INDIRECT("'" &amp; G$2 &amp; "'!$A:$A"), INDIRECT("'" &amp; G$2 &amp; "'!$B:$B"), "")&lt;&gt;"", "✓", "✗"), "✗")
)</f>
        <v/>
      </c>
      <c r="H10">
        <f t="array" ref="H10">IF(
    ISNUMBER(VALUE(LEFT($A10, 1))),
    "",
    IFERROR(IF(_xlfn.XLOOKUP($A10, INDIRECT("'" &amp; H$2 &amp; "'!$A:$A"), INDIRECT("'" &amp; H$2 &amp; "'!$B:$B"), "")&lt;&gt;"", "✓", "✗"), "✗")
)</f>
        <v/>
      </c>
      <c r="I10">
        <f t="array" ref="I10">IF(
    ISNUMBER(VALUE(LEFT($A10, 1))),
    "",
    IFERROR(IF(_xlfn.XLOOKUP($A10, INDIRECT("'" &amp; I$2 &amp; "'!$A:$A"), INDIRECT("'" &amp; I$2 &amp; "'!$B:$B"), "")&lt;&gt;"", "✓", "✗"), "✗")
)</f>
        <v/>
      </c>
      <c r="J10">
        <f t="array" ref="J10">IF(
    ISNUMBER(VALUE(LEFT($A10, 1))),
    "",
    IFERROR(IF(_xlfn.XLOOKUP($A10, INDIRECT("'" &amp; J$2 &amp; "'!$A:$A"), INDIRECT("'" &amp; J$2 &amp; "'!$B:$B"), "")&lt;&gt;"", "✓", "✗"), "✗")
)</f>
        <v/>
      </c>
      <c r="K10">
        <f t="array" ref="K10">IF(
    ISNUMBER(VALUE(LEFT($A10, 1))),
    "",
    IFERROR(IF(_xlfn.XLOOKUP($A10, INDIRECT("'" &amp; K$2 &amp; "'!$A:$A"), INDIRECT("'" &amp; K$2 &amp; "'!$B:$B"), "")&lt;&gt;"", "✓", "✗"), "✗")
)</f>
        <v/>
      </c>
      <c r="L10">
        <f t="array" ref="L10">IF(
    ISNUMBER(VALUE(LEFT($A10, 1))),
    "",
    IFERROR(IF(_xlfn.XLOOKUP($A10, INDIRECT("'" &amp; L$2 &amp; "'!$A:$A"), INDIRECT("'" &amp; L$2 &amp; "'!$B:$B"), "")&lt;&gt;"", "✓", "✗"), "✗")
)</f>
        <v/>
      </c>
      <c r="M10">
        <f t="array" ref="M10">IF(
    ISNUMBER(VALUE(LEFT($A10, 1))),
    "",
    IFERROR(IF(_xlfn.XLOOKUP($A10, INDIRECT("'" &amp; M$2 &amp; "'!$A:$A"), INDIRECT("'" &amp; M$2 &amp; "'!$B:$B"), "")&lt;&gt;"", "✓", "✗"), "✗")
)</f>
        <v/>
      </c>
      <c r="N10">
        <f t="array" ref="N10">IF(
    ISNUMBER(VALUE(LEFT($A10, 1))),
    "",
    IFERROR(IF(_xlfn.XLOOKUP($A10, INDIRECT("'" &amp; N$2 &amp; "'!$A:$A"), INDIRECT("'" &amp; N$2 &amp; "'!$B:$B"), "")&lt;&gt;"", "✓", "✗"), "✗")
)</f>
        <v/>
      </c>
      <c r="O10">
        <f t="array" ref="O10">IF(
    ISNUMBER(VALUE(LEFT($A10, 1))),
    "",
    IFERROR(IF(_xlfn.XLOOKUP($A10, INDIRECT("'" &amp; O$2 &amp; "'!$A:$A"), INDIRECT("'" &amp; O$2 &amp; "'!$B:$B"), "")&lt;&gt;"", "✓", "✗"), "✗")
)</f>
        <v/>
      </c>
      <c r="P10">
        <f t="array" ref="P10">IF(
    ISNUMBER(VALUE(LEFT($A10, 1))),
    "",
    IFERROR(IF(_xlfn.XLOOKUP($A10, INDIRECT("'" &amp; P$2 &amp; "'!$A:$A"), INDIRECT("'" &amp; P$2 &amp; "'!$B:$B"), "")&lt;&gt;"", "✓", "✗"), "✗")
)</f>
        <v/>
      </c>
      <c r="Q10">
        <f t="array" ref="Q10">IF(
    ISNUMBER(VALUE(LEFT($A10, 1))),
    "",
    IFERROR(IF(_xlfn.XLOOKUP($A10, INDIRECT("'" &amp; Q$2 &amp; "'!$A:$A"), INDIRECT("'" &amp; Q$2 &amp; "'!$B:$B"), "")&lt;&gt;"", "✓", "✗"), "✗")
)</f>
        <v/>
      </c>
      <c r="R10">
        <f t="array" ref="R10">IF(
    ISNUMBER(VALUE(LEFT($A10, 1))),
    "",
    IFERROR(IF(_xlfn.XLOOKUP($A10, INDIRECT("'" &amp; R$2 &amp; "'!$A:$A"), INDIRECT("'" &amp; R$2 &amp; "'!$B:$B"), "")&lt;&gt;"", "✓", "✗"), "✗")
)</f>
        <v/>
      </c>
      <c r="S10">
        <f t="array" ref="S10">IF(
    ISNUMBER(VALUE(LEFT($A10, 1))),
    "",
    IFERROR(IF(_xlfn.XLOOKUP($A10, INDIRECT("'" &amp; S$2 &amp; "'!$A:$A"), INDIRECT("'" &amp; S$2 &amp; "'!$B:$B"), "")&lt;&gt;"", "✓", "✗"), "✗")
)</f>
        <v/>
      </c>
      <c r="T10">
        <f t="array" ref="T10">IF(
    ISNUMBER(VALUE(LEFT($A10, 1))),
    "",
    IFERROR(IF(_xlfn.XLOOKUP($A10, INDIRECT("'" &amp; T$2 &amp; "'!$A:$A"), INDIRECT("'" &amp; T$2 &amp; "'!$B:$B"), "")&lt;&gt;"", "✓", "✗"), "✗")
)</f>
        <v/>
      </c>
      <c r="U10">
        <f t="array" ref="U10">IF(
    ISNUMBER(VALUE(LEFT($A10, 1))),
    "",
    IFERROR(IF(_xlfn.XLOOKUP($A10, INDIRECT("'" &amp; U$2 &amp; "'!$A:$A"), INDIRECT("'" &amp; U$2 &amp; "'!$B:$B"), "")&lt;&gt;"", "✓", "✗"), "✗")
)</f>
        <v/>
      </c>
      <c r="V10">
        <f t="array" ref="V10">IF(
    ISNUMBER(VALUE(LEFT($A10, 1))),
    "",
    IFERROR(IF(_xlfn.XLOOKUP($A10, INDIRECT("'" &amp; V$2 &amp; "'!$A:$A"), INDIRECT("'" &amp; V$2 &amp; "'!$B:$B"), "")&lt;&gt;"", "✓", "✗"), "✗")
)</f>
        <v/>
      </c>
      <c r="W10">
        <f t="array" ref="W10">IF(
    ISNUMBER(VALUE(LEFT($A10, 1))),
    "",
    IFERROR(IF(_xlfn.XLOOKUP($A10, INDIRECT("'" &amp; W$2 &amp; "'!$A:$A"), INDIRECT("'" &amp; W$2 &amp; "'!$B:$B"), "")&lt;&gt;"", "✓", "✗"), "✗")
)</f>
        <v/>
      </c>
      <c r="X10">
        <f t="array" ref="X10">IF(
    ISNUMBER(VALUE(LEFT($A10, 1))),
    "",
    IFERROR(IF(_xlfn.XLOOKUP($A10, INDIRECT("'" &amp; X$2 &amp; "'!$A:$A"), INDIRECT("'" &amp; X$2 &amp; "'!$B:$B"), "")&lt;&gt;"", "✓", "✗"), "✗")
)</f>
        <v/>
      </c>
      <c r="Y10">
        <f t="array" ref="Y10">IF(
    ISNUMBER(VALUE(LEFT($A10, 1))),
    "",
    IFERROR(IF(_xlfn.XLOOKUP($A10, INDIRECT("'" &amp; Y$2 &amp; "'!$A:$A"), INDIRECT("'" &amp; Y$2 &amp; "'!$B:$B"), "")&lt;&gt;"", "✓", "✗"), "✗")
)</f>
        <v/>
      </c>
      <c r="Z10">
        <f t="array" ref="Z10">IF(
    ISNUMBER(VALUE(LEFT($A10, 1))),
    "",
    IFERROR(IF(_xlfn.XLOOKUP($A10, INDIRECT("'" &amp; Z$2 &amp; "'!$A:$A"), INDIRECT("'" &amp; Z$2 &amp; "'!$B:$B"), "")&lt;&gt;"", "✓", "✗"), "✗")
)</f>
        <v/>
      </c>
      <c r="AA10">
        <f t="array" ref="AA10">IF(
    ISNUMBER(VALUE(LEFT($A10, 1))),
    "",
    IFERROR(IF(_xlfn.XLOOKUP($A10, INDIRECT("'" &amp; AA$2 &amp; "'!$A:$A"), INDIRECT("'" &amp; AA$2 &amp; "'!$B:$B"), "")&lt;&gt;"", "✓", "✗"), "✗")
)</f>
        <v/>
      </c>
      <c r="AB10">
        <f t="array" ref="AB10">IF(
    ISNUMBER(VALUE(LEFT($A10, 1))),
    "",
    IFERROR(IF(_xlfn.XLOOKUP($A10, INDIRECT("'" &amp; AB$2 &amp; "'!$A:$A"), INDIRECT("'" &amp; AB$2 &amp; "'!$B:$B"), "")&lt;&gt;"", "✓", "✗"), "✗")
)</f>
        <v/>
      </c>
      <c r="AC10">
        <f t="array" ref="AC10">IF(
    ISNUMBER(VALUE(LEFT($A10, 1))),
    "",
    IFERROR(IF(_xlfn.XLOOKUP($A10, INDIRECT("'" &amp; AC$2 &amp; "'!$A:$A"), INDIRECT("'" &amp; AC$2 &amp; "'!$B:$B"), "")&lt;&gt;"", "✓", "✗"), "✗")
)</f>
        <v/>
      </c>
      <c r="AD10">
        <f t="array" ref="AD10">IF(
    ISNUMBER(VALUE(LEFT($A10, 1))),
    "",
    IFERROR(IF(_xlfn.XLOOKUP($A10, INDIRECT("'" &amp; AD$2 &amp; "'!$A:$A"), INDIRECT("'" &amp; AD$2 &amp; "'!$B:$B"), "")&lt;&gt;"", "✓", "✗"), "✗")
)</f>
        <v/>
      </c>
      <c r="AE10">
        <f t="array" ref="AE10">IF(
    ISNUMBER(VALUE(LEFT($A10, 1))),
    "",
    IFERROR(IF(_xlfn.XLOOKUP($A10, INDIRECT("'" &amp; AE$2 &amp; "'!$A:$A"), INDIRECT("'" &amp; AE$2 &amp; "'!$B:$B"), "")&lt;&gt;"", "✓", "✗"), "✗")
)</f>
        <v/>
      </c>
      <c r="AF10">
        <f t="array" ref="AF10">IF(
    ISNUMBER(VALUE(LEFT($A10, 1))),
    "",
    IFERROR(IF(_xlfn.XLOOKUP($A10, INDIRECT("'" &amp; AF$2 &amp; "'!$A:$A"), INDIRECT("'" &amp; AF$2 &amp; "'!$B:$B"), "")&lt;&gt;"", "✓", "✗"), "✗")
)</f>
        <v/>
      </c>
      <c r="AG10">
        <f t="array" ref="AG10">IF(
    ISNUMBER(VALUE(LEFT($A10, 1))),
    "",
    IFERROR(IF(_xlfn.XLOOKUP($A10, INDIRECT("'" &amp; AG$2 &amp; "'!$A:$A"), INDIRECT("'" &amp; AG$2 &amp; "'!$B:$B"), "")&lt;&gt;"", "✓", "✗"), "✗")
)</f>
        <v/>
      </c>
    </row>
    <row r="11">
      <c r="A11" t="inlineStr">
        <is>
          <t>Marketing Automation Tool Contact ID</t>
        </is>
      </c>
      <c r="B11">
        <f t="array" ref="B11">IF(
    ISNUMBER(VALUE(LEFT($A11, 1))),
    "",
    IFERROR(IF(_xlfn.XLOOKUP($A11, INDIRECT("'" &amp; B$2 &amp; "'!$A:$A"), INDIRECT("'" &amp; B$2 &amp; "'!$B:$B"), "")&lt;&gt;"", "✓", "✗"), "✗")
)</f>
        <v/>
      </c>
      <c r="C11">
        <f t="array" ref="C11">IF(
    ISNUMBER(VALUE(LEFT($A11, 1))),
    "",
    IFERROR(IF(_xlfn.XLOOKUP($A11, INDIRECT("'" &amp; C$2 &amp; "'!$A:$A"), INDIRECT("'" &amp; C$2 &amp; "'!$B:$B"), "")&lt;&gt;"", "✓", "✗"), "✗")
)</f>
        <v/>
      </c>
      <c r="D11">
        <f t="array" ref="D11">IF(
    ISNUMBER(VALUE(LEFT($A11, 1))),
    "",
    IFERROR(IF(_xlfn.XLOOKUP($A11, INDIRECT("'" &amp; D$2 &amp; "'!$A:$A"), INDIRECT("'" &amp; D$2 &amp; "'!$B:$B"), "")&lt;&gt;"", "✓", "✗"), "✗")
)</f>
        <v/>
      </c>
      <c r="E11">
        <f t="array" ref="E11">IF(
    ISNUMBER(VALUE(LEFT($A11, 1))),
    "",
    IFERROR(IF(_xlfn.XLOOKUP($A11, INDIRECT("'" &amp; E$2 &amp; "'!$A:$A"), INDIRECT("'" &amp; E$2 &amp; "'!$B:$B"), "")&lt;&gt;"", "✓", "✗"), "✗")
)</f>
        <v/>
      </c>
      <c r="F11">
        <f t="array" ref="F11">IF(
    ISNUMBER(VALUE(LEFT($A11, 1))),
    "",
    IFERROR(IF(_xlfn.XLOOKUP($A11, INDIRECT("'" &amp; F$2 &amp; "'!$A:$A"), INDIRECT("'" &amp; F$2 &amp; "'!$B:$B"), "")&lt;&gt;"", "✓", "✗"), "✗")
)</f>
        <v/>
      </c>
      <c r="G11">
        <f t="array" ref="G11">IF(
    ISNUMBER(VALUE(LEFT($A11, 1))),
    "",
    IFERROR(IF(_xlfn.XLOOKUP($A11, INDIRECT("'" &amp; G$2 &amp; "'!$A:$A"), INDIRECT("'" &amp; G$2 &amp; "'!$B:$B"), "")&lt;&gt;"", "✓", "✗"), "✗")
)</f>
        <v/>
      </c>
      <c r="H11">
        <f t="array" ref="H11">IF(
    ISNUMBER(VALUE(LEFT($A11, 1))),
    "",
    IFERROR(IF(_xlfn.XLOOKUP($A11, INDIRECT("'" &amp; H$2 &amp; "'!$A:$A"), INDIRECT("'" &amp; H$2 &amp; "'!$B:$B"), "")&lt;&gt;"", "✓", "✗"), "✗")
)</f>
        <v/>
      </c>
      <c r="I11">
        <f t="array" ref="I11">IF(
    ISNUMBER(VALUE(LEFT($A11, 1))),
    "",
    IFERROR(IF(_xlfn.XLOOKUP($A11, INDIRECT("'" &amp; I$2 &amp; "'!$A:$A"), INDIRECT("'" &amp; I$2 &amp; "'!$B:$B"), "")&lt;&gt;"", "✓", "✗"), "✗")
)</f>
        <v/>
      </c>
      <c r="J11">
        <f t="array" ref="J11">IF(
    ISNUMBER(VALUE(LEFT($A11, 1))),
    "",
    IFERROR(IF(_xlfn.XLOOKUP($A11, INDIRECT("'" &amp; J$2 &amp; "'!$A:$A"), INDIRECT("'" &amp; J$2 &amp; "'!$B:$B"), "")&lt;&gt;"", "✓", "✗"), "✗")
)</f>
        <v/>
      </c>
      <c r="K11">
        <f t="array" ref="K11">IF(
    ISNUMBER(VALUE(LEFT($A11, 1))),
    "",
    IFERROR(IF(_xlfn.XLOOKUP($A11, INDIRECT("'" &amp; K$2 &amp; "'!$A:$A"), INDIRECT("'" &amp; K$2 &amp; "'!$B:$B"), "")&lt;&gt;"", "✓", "✗"), "✗")
)</f>
        <v/>
      </c>
      <c r="L11">
        <f t="array" ref="L11">IF(
    ISNUMBER(VALUE(LEFT($A11, 1))),
    "",
    IFERROR(IF(_xlfn.XLOOKUP($A11, INDIRECT("'" &amp; L$2 &amp; "'!$A:$A"), INDIRECT("'" &amp; L$2 &amp; "'!$B:$B"), "")&lt;&gt;"", "✓", "✗"), "✗")
)</f>
        <v/>
      </c>
      <c r="M11">
        <f t="array" ref="M11">IF(
    ISNUMBER(VALUE(LEFT($A11, 1))),
    "",
    IFERROR(IF(_xlfn.XLOOKUP($A11, INDIRECT("'" &amp; M$2 &amp; "'!$A:$A"), INDIRECT("'" &amp; M$2 &amp; "'!$B:$B"), "")&lt;&gt;"", "✓", "✗"), "✗")
)</f>
        <v/>
      </c>
      <c r="N11">
        <f t="array" ref="N11">IF(
    ISNUMBER(VALUE(LEFT($A11, 1))),
    "",
    IFERROR(IF(_xlfn.XLOOKUP($A11, INDIRECT("'" &amp; N$2 &amp; "'!$A:$A"), INDIRECT("'" &amp; N$2 &amp; "'!$B:$B"), "")&lt;&gt;"", "✓", "✗"), "✗")
)</f>
        <v/>
      </c>
      <c r="O11">
        <f t="array" ref="O11">IF(
    ISNUMBER(VALUE(LEFT($A11, 1))),
    "",
    IFERROR(IF(_xlfn.XLOOKUP($A11, INDIRECT("'" &amp; O$2 &amp; "'!$A:$A"), INDIRECT("'" &amp; O$2 &amp; "'!$B:$B"), "")&lt;&gt;"", "✓", "✗"), "✗")
)</f>
        <v/>
      </c>
      <c r="P11">
        <f t="array" ref="P11">IF(
    ISNUMBER(VALUE(LEFT($A11, 1))),
    "",
    IFERROR(IF(_xlfn.XLOOKUP($A11, INDIRECT("'" &amp; P$2 &amp; "'!$A:$A"), INDIRECT("'" &amp; P$2 &amp; "'!$B:$B"), "")&lt;&gt;"", "✓", "✗"), "✗")
)</f>
        <v/>
      </c>
      <c r="Q11">
        <f t="array" ref="Q11">IF(
    ISNUMBER(VALUE(LEFT($A11, 1))),
    "",
    IFERROR(IF(_xlfn.XLOOKUP($A11, INDIRECT("'" &amp; Q$2 &amp; "'!$A:$A"), INDIRECT("'" &amp; Q$2 &amp; "'!$B:$B"), "")&lt;&gt;"", "✓", "✗"), "✗")
)</f>
        <v/>
      </c>
      <c r="R11">
        <f t="array" ref="R11">IF(
    ISNUMBER(VALUE(LEFT($A11, 1))),
    "",
    IFERROR(IF(_xlfn.XLOOKUP($A11, INDIRECT("'" &amp; R$2 &amp; "'!$A:$A"), INDIRECT("'" &amp; R$2 &amp; "'!$B:$B"), "")&lt;&gt;"", "✓", "✗"), "✗")
)</f>
        <v/>
      </c>
      <c r="S11">
        <f t="array" ref="S11">IF(
    ISNUMBER(VALUE(LEFT($A11, 1))),
    "",
    IFERROR(IF(_xlfn.XLOOKUP($A11, INDIRECT("'" &amp; S$2 &amp; "'!$A:$A"), INDIRECT("'" &amp; S$2 &amp; "'!$B:$B"), "")&lt;&gt;"", "✓", "✗"), "✗")
)</f>
        <v/>
      </c>
      <c r="T11">
        <f t="array" ref="T11">IF(
    ISNUMBER(VALUE(LEFT($A11, 1))),
    "",
    IFERROR(IF(_xlfn.XLOOKUP($A11, INDIRECT("'" &amp; T$2 &amp; "'!$A:$A"), INDIRECT("'" &amp; T$2 &amp; "'!$B:$B"), "")&lt;&gt;"", "✓", "✗"), "✗")
)</f>
        <v/>
      </c>
      <c r="U11">
        <f t="array" ref="U11">IF(
    ISNUMBER(VALUE(LEFT($A11, 1))),
    "",
    IFERROR(IF(_xlfn.XLOOKUP($A11, INDIRECT("'" &amp; U$2 &amp; "'!$A:$A"), INDIRECT("'" &amp; U$2 &amp; "'!$B:$B"), "")&lt;&gt;"", "✓", "✗"), "✗")
)</f>
        <v/>
      </c>
      <c r="V11">
        <f t="array" ref="V11">IF(
    ISNUMBER(VALUE(LEFT($A11, 1))),
    "",
    IFERROR(IF(_xlfn.XLOOKUP($A11, INDIRECT("'" &amp; V$2 &amp; "'!$A:$A"), INDIRECT("'" &amp; V$2 &amp; "'!$B:$B"), "")&lt;&gt;"", "✓", "✗"), "✗")
)</f>
        <v/>
      </c>
      <c r="W11">
        <f t="array" ref="W11">IF(
    ISNUMBER(VALUE(LEFT($A11, 1))),
    "",
    IFERROR(IF(_xlfn.XLOOKUP($A11, INDIRECT("'" &amp; W$2 &amp; "'!$A:$A"), INDIRECT("'" &amp; W$2 &amp; "'!$B:$B"), "")&lt;&gt;"", "✓", "✗"), "✗")
)</f>
        <v/>
      </c>
      <c r="X11">
        <f t="array" ref="X11">IF(
    ISNUMBER(VALUE(LEFT($A11, 1))),
    "",
    IFERROR(IF(_xlfn.XLOOKUP($A11, INDIRECT("'" &amp; X$2 &amp; "'!$A:$A"), INDIRECT("'" &amp; X$2 &amp; "'!$B:$B"), "")&lt;&gt;"", "✓", "✗"), "✗")
)</f>
        <v/>
      </c>
      <c r="Y11">
        <f t="array" ref="Y11">IF(
    ISNUMBER(VALUE(LEFT($A11, 1))),
    "",
    IFERROR(IF(_xlfn.XLOOKUP($A11, INDIRECT("'" &amp; Y$2 &amp; "'!$A:$A"), INDIRECT("'" &amp; Y$2 &amp; "'!$B:$B"), "")&lt;&gt;"", "✓", "✗"), "✗")
)</f>
        <v/>
      </c>
      <c r="Z11">
        <f t="array" ref="Z11">IF(
    ISNUMBER(VALUE(LEFT($A11, 1))),
    "",
    IFERROR(IF(_xlfn.XLOOKUP($A11, INDIRECT("'" &amp; Z$2 &amp; "'!$A:$A"), INDIRECT("'" &amp; Z$2 &amp; "'!$B:$B"), "")&lt;&gt;"", "✓", "✗"), "✗")
)</f>
        <v/>
      </c>
      <c r="AA11">
        <f t="array" ref="AA11">IF(
    ISNUMBER(VALUE(LEFT($A11, 1))),
    "",
    IFERROR(IF(_xlfn.XLOOKUP($A11, INDIRECT("'" &amp; AA$2 &amp; "'!$A:$A"), INDIRECT("'" &amp; AA$2 &amp; "'!$B:$B"), "")&lt;&gt;"", "✓", "✗"), "✗")
)</f>
        <v/>
      </c>
      <c r="AB11">
        <f t="array" ref="AB11">IF(
    ISNUMBER(VALUE(LEFT($A11, 1))),
    "",
    IFERROR(IF(_xlfn.XLOOKUP($A11, INDIRECT("'" &amp; AB$2 &amp; "'!$A:$A"), INDIRECT("'" &amp; AB$2 &amp; "'!$B:$B"), "")&lt;&gt;"", "✓", "✗"), "✗")
)</f>
        <v/>
      </c>
      <c r="AC11">
        <f t="array" ref="AC11">IF(
    ISNUMBER(VALUE(LEFT($A11, 1))),
    "",
    IFERROR(IF(_xlfn.XLOOKUP($A11, INDIRECT("'" &amp; AC$2 &amp; "'!$A:$A"), INDIRECT("'" &amp; AC$2 &amp; "'!$B:$B"), "")&lt;&gt;"", "✓", "✗"), "✗")
)</f>
        <v/>
      </c>
      <c r="AD11">
        <f t="array" ref="AD11">IF(
    ISNUMBER(VALUE(LEFT($A11, 1))),
    "",
    IFERROR(IF(_xlfn.XLOOKUP($A11, INDIRECT("'" &amp; AD$2 &amp; "'!$A:$A"), INDIRECT("'" &amp; AD$2 &amp; "'!$B:$B"), "")&lt;&gt;"", "✓", "✗"), "✗")
)</f>
        <v/>
      </c>
      <c r="AE11">
        <f t="array" ref="AE11">IF(
    ISNUMBER(VALUE(LEFT($A11, 1))),
    "",
    IFERROR(IF(_xlfn.XLOOKUP($A11, INDIRECT("'" &amp; AE$2 &amp; "'!$A:$A"), INDIRECT("'" &amp; AE$2 &amp; "'!$B:$B"), "")&lt;&gt;"", "✓", "✗"), "✗")
)</f>
        <v/>
      </c>
      <c r="AF11">
        <f t="array" ref="AF11">IF(
    ISNUMBER(VALUE(LEFT($A11, 1))),
    "",
    IFERROR(IF(_xlfn.XLOOKUP($A11, INDIRECT("'" &amp; AF$2 &amp; "'!$A:$A"), INDIRECT("'" &amp; AF$2 &amp; "'!$B:$B"), "")&lt;&gt;"", "✓", "✗"), "✗")
)</f>
        <v/>
      </c>
      <c r="AG11">
        <f t="array" ref="AG11">IF(
    ISNUMBER(VALUE(LEFT($A11, 1))),
    "",
    IFERROR(IF(_xlfn.XLOOKUP($A11, INDIRECT("'" &amp; AG$2 &amp; "'!$A:$A"), INDIRECT("'" &amp; AG$2 &amp; "'!$B:$B"), "")&lt;&gt;"", "✓", "✗"), "✗")
)</f>
        <v/>
      </c>
    </row>
    <row r="12">
      <c r="A12" t="inlineStr">
        <is>
          <t>First Name</t>
        </is>
      </c>
      <c r="B12">
        <f t="array" ref="B12">IF(
    ISNUMBER(VALUE(LEFT($A12, 1))),
    "",
    IFERROR(IF(_xlfn.XLOOKUP($A12, INDIRECT("'" &amp; B$2 &amp; "'!$A:$A"), INDIRECT("'" &amp; B$2 &amp; "'!$B:$B"), "")&lt;&gt;"", "✓", "✗"), "✗")
)</f>
        <v/>
      </c>
      <c r="C12">
        <f t="array" ref="C12">IF(
    ISNUMBER(VALUE(LEFT($A12, 1))),
    "",
    IFERROR(IF(_xlfn.XLOOKUP($A12, INDIRECT("'" &amp; C$2 &amp; "'!$A:$A"), INDIRECT("'" &amp; C$2 &amp; "'!$B:$B"), "")&lt;&gt;"", "✓", "✗"), "✗")
)</f>
        <v/>
      </c>
      <c r="D12">
        <f t="array" ref="D12">IF(
    ISNUMBER(VALUE(LEFT($A12, 1))),
    "",
    IFERROR(IF(_xlfn.XLOOKUP($A12, INDIRECT("'" &amp; D$2 &amp; "'!$A:$A"), INDIRECT("'" &amp; D$2 &amp; "'!$B:$B"), "")&lt;&gt;"", "✓", "✗"), "✗")
)</f>
        <v/>
      </c>
      <c r="E12">
        <f t="array" ref="E12">IF(
    ISNUMBER(VALUE(LEFT($A12, 1))),
    "",
    IFERROR(IF(_xlfn.XLOOKUP($A12, INDIRECT("'" &amp; E$2 &amp; "'!$A:$A"), INDIRECT("'" &amp; E$2 &amp; "'!$B:$B"), "")&lt;&gt;"", "✓", "✗"), "✗")
)</f>
        <v/>
      </c>
      <c r="F12">
        <f t="array" ref="F12">IF(
    ISNUMBER(VALUE(LEFT($A12, 1))),
    "",
    IFERROR(IF(_xlfn.XLOOKUP($A12, INDIRECT("'" &amp; F$2 &amp; "'!$A:$A"), INDIRECT("'" &amp; F$2 &amp; "'!$B:$B"), "")&lt;&gt;"", "✓", "✗"), "✗")
)</f>
        <v/>
      </c>
      <c r="G12">
        <f t="array" ref="G12">IF(
    ISNUMBER(VALUE(LEFT($A12, 1))),
    "",
    IFERROR(IF(_xlfn.XLOOKUP($A12, INDIRECT("'" &amp; G$2 &amp; "'!$A:$A"), INDIRECT("'" &amp; G$2 &amp; "'!$B:$B"), "")&lt;&gt;"", "✓", "✗"), "✗")
)</f>
        <v/>
      </c>
      <c r="H12">
        <f t="array" ref="H12">IF(
    ISNUMBER(VALUE(LEFT($A12, 1))),
    "",
    IFERROR(IF(_xlfn.XLOOKUP($A12, INDIRECT("'" &amp; H$2 &amp; "'!$A:$A"), INDIRECT("'" &amp; H$2 &amp; "'!$B:$B"), "")&lt;&gt;"", "✓", "✗"), "✗")
)</f>
        <v/>
      </c>
      <c r="I12">
        <f t="array" ref="I12">IF(
    ISNUMBER(VALUE(LEFT($A12, 1))),
    "",
    IFERROR(IF(_xlfn.XLOOKUP($A12, INDIRECT("'" &amp; I$2 &amp; "'!$A:$A"), INDIRECT("'" &amp; I$2 &amp; "'!$B:$B"), "")&lt;&gt;"", "✓", "✗"), "✗")
)</f>
        <v/>
      </c>
      <c r="J12">
        <f t="array" ref="J12">IF(
    ISNUMBER(VALUE(LEFT($A12, 1))),
    "",
    IFERROR(IF(_xlfn.XLOOKUP($A12, INDIRECT("'" &amp; J$2 &amp; "'!$A:$A"), INDIRECT("'" &amp; J$2 &amp; "'!$B:$B"), "")&lt;&gt;"", "✓", "✗"), "✗")
)</f>
        <v/>
      </c>
      <c r="K12">
        <f t="array" ref="K12">IF(
    ISNUMBER(VALUE(LEFT($A12, 1))),
    "",
    IFERROR(IF(_xlfn.XLOOKUP($A12, INDIRECT("'" &amp; K$2 &amp; "'!$A:$A"), INDIRECT("'" &amp; K$2 &amp; "'!$B:$B"), "")&lt;&gt;"", "✓", "✗"), "✗")
)</f>
        <v/>
      </c>
      <c r="L12">
        <f t="array" ref="L12">IF(
    ISNUMBER(VALUE(LEFT($A12, 1))),
    "",
    IFERROR(IF(_xlfn.XLOOKUP($A12, INDIRECT("'" &amp; L$2 &amp; "'!$A:$A"), INDIRECT("'" &amp; L$2 &amp; "'!$B:$B"), "")&lt;&gt;"", "✓", "✗"), "✗")
)</f>
        <v/>
      </c>
      <c r="M12">
        <f t="array" ref="M12">IF(
    ISNUMBER(VALUE(LEFT($A12, 1))),
    "",
    IFERROR(IF(_xlfn.XLOOKUP($A12, INDIRECT("'" &amp; M$2 &amp; "'!$A:$A"), INDIRECT("'" &amp; M$2 &amp; "'!$B:$B"), "")&lt;&gt;"", "✓", "✗"), "✗")
)</f>
        <v/>
      </c>
      <c r="N12">
        <f t="array" ref="N12">IF(
    ISNUMBER(VALUE(LEFT($A12, 1))),
    "",
    IFERROR(IF(_xlfn.XLOOKUP($A12, INDIRECT("'" &amp; N$2 &amp; "'!$A:$A"), INDIRECT("'" &amp; N$2 &amp; "'!$B:$B"), "")&lt;&gt;"", "✓", "✗"), "✗")
)</f>
        <v/>
      </c>
      <c r="O12">
        <f t="array" ref="O12">IF(
    ISNUMBER(VALUE(LEFT($A12, 1))),
    "",
    IFERROR(IF(_xlfn.XLOOKUP($A12, INDIRECT("'" &amp; O$2 &amp; "'!$A:$A"), INDIRECT("'" &amp; O$2 &amp; "'!$B:$B"), "")&lt;&gt;"", "✓", "✗"), "✗")
)</f>
        <v/>
      </c>
      <c r="P12">
        <f t="array" ref="P12">IF(
    ISNUMBER(VALUE(LEFT($A12, 1))),
    "",
    IFERROR(IF(_xlfn.XLOOKUP($A12, INDIRECT("'" &amp; P$2 &amp; "'!$A:$A"), INDIRECT("'" &amp; P$2 &amp; "'!$B:$B"), "")&lt;&gt;"", "✓", "✗"), "✗")
)</f>
        <v/>
      </c>
      <c r="Q12">
        <f t="array" ref="Q12">IF(
    ISNUMBER(VALUE(LEFT($A12, 1))),
    "",
    IFERROR(IF(_xlfn.XLOOKUP($A12, INDIRECT("'" &amp; Q$2 &amp; "'!$A:$A"), INDIRECT("'" &amp; Q$2 &amp; "'!$B:$B"), "")&lt;&gt;"", "✓", "✗"), "✗")
)</f>
        <v/>
      </c>
      <c r="R12">
        <f t="array" ref="R12">IF(
    ISNUMBER(VALUE(LEFT($A12, 1))),
    "",
    IFERROR(IF(_xlfn.XLOOKUP($A12, INDIRECT("'" &amp; R$2 &amp; "'!$A:$A"), INDIRECT("'" &amp; R$2 &amp; "'!$B:$B"), "")&lt;&gt;"", "✓", "✗"), "✗")
)</f>
        <v/>
      </c>
      <c r="S12">
        <f t="array" ref="S12">IF(
    ISNUMBER(VALUE(LEFT($A12, 1))),
    "",
    IFERROR(IF(_xlfn.XLOOKUP($A12, INDIRECT("'" &amp; S$2 &amp; "'!$A:$A"), INDIRECT("'" &amp; S$2 &amp; "'!$B:$B"), "")&lt;&gt;"", "✓", "✗"), "✗")
)</f>
        <v/>
      </c>
      <c r="T12">
        <f t="array" ref="T12">IF(
    ISNUMBER(VALUE(LEFT($A12, 1))),
    "",
    IFERROR(IF(_xlfn.XLOOKUP($A12, INDIRECT("'" &amp; T$2 &amp; "'!$A:$A"), INDIRECT("'" &amp; T$2 &amp; "'!$B:$B"), "")&lt;&gt;"", "✓", "✗"), "✗")
)</f>
        <v/>
      </c>
      <c r="U12">
        <f t="array" ref="U12">IF(
    ISNUMBER(VALUE(LEFT($A12, 1))),
    "",
    IFERROR(IF(_xlfn.XLOOKUP($A12, INDIRECT("'" &amp; U$2 &amp; "'!$A:$A"), INDIRECT("'" &amp; U$2 &amp; "'!$B:$B"), "")&lt;&gt;"", "✓", "✗"), "✗")
)</f>
        <v/>
      </c>
      <c r="V12">
        <f t="array" ref="V12">IF(
    ISNUMBER(VALUE(LEFT($A12, 1))),
    "",
    IFERROR(IF(_xlfn.XLOOKUP($A12, INDIRECT("'" &amp; V$2 &amp; "'!$A:$A"), INDIRECT("'" &amp; V$2 &amp; "'!$B:$B"), "")&lt;&gt;"", "✓", "✗"), "✗")
)</f>
        <v/>
      </c>
      <c r="W12">
        <f t="array" ref="W12">IF(
    ISNUMBER(VALUE(LEFT($A12, 1))),
    "",
    IFERROR(IF(_xlfn.XLOOKUP($A12, INDIRECT("'" &amp; W$2 &amp; "'!$A:$A"), INDIRECT("'" &amp; W$2 &amp; "'!$B:$B"), "")&lt;&gt;"", "✓", "✗"), "✗")
)</f>
        <v/>
      </c>
      <c r="X12">
        <f t="array" ref="X12">IF(
    ISNUMBER(VALUE(LEFT($A12, 1))),
    "",
    IFERROR(IF(_xlfn.XLOOKUP($A12, INDIRECT("'" &amp; X$2 &amp; "'!$A:$A"), INDIRECT("'" &amp; X$2 &amp; "'!$B:$B"), "")&lt;&gt;"", "✓", "✗"), "✗")
)</f>
        <v/>
      </c>
      <c r="Y12">
        <f t="array" ref="Y12">IF(
    ISNUMBER(VALUE(LEFT($A12, 1))),
    "",
    IFERROR(IF(_xlfn.XLOOKUP($A12, INDIRECT("'" &amp; Y$2 &amp; "'!$A:$A"), INDIRECT("'" &amp; Y$2 &amp; "'!$B:$B"), "")&lt;&gt;"", "✓", "✗"), "✗")
)</f>
        <v/>
      </c>
      <c r="Z12">
        <f t="array" ref="Z12">IF(
    ISNUMBER(VALUE(LEFT($A12, 1))),
    "",
    IFERROR(IF(_xlfn.XLOOKUP($A12, INDIRECT("'" &amp; Z$2 &amp; "'!$A:$A"), INDIRECT("'" &amp; Z$2 &amp; "'!$B:$B"), "")&lt;&gt;"", "✓", "✗"), "✗")
)</f>
        <v/>
      </c>
      <c r="AA12">
        <f t="array" ref="AA12">IF(
    ISNUMBER(VALUE(LEFT($A12, 1))),
    "",
    IFERROR(IF(_xlfn.XLOOKUP($A12, INDIRECT("'" &amp; AA$2 &amp; "'!$A:$A"), INDIRECT("'" &amp; AA$2 &amp; "'!$B:$B"), "")&lt;&gt;"", "✓", "✗"), "✗")
)</f>
        <v/>
      </c>
      <c r="AB12">
        <f t="array" ref="AB12">IF(
    ISNUMBER(VALUE(LEFT($A12, 1))),
    "",
    IFERROR(IF(_xlfn.XLOOKUP($A12, INDIRECT("'" &amp; AB$2 &amp; "'!$A:$A"), INDIRECT("'" &amp; AB$2 &amp; "'!$B:$B"), "")&lt;&gt;"", "✓", "✗"), "✗")
)</f>
        <v/>
      </c>
      <c r="AC12">
        <f t="array" ref="AC12">IF(
    ISNUMBER(VALUE(LEFT($A12, 1))),
    "",
    IFERROR(IF(_xlfn.XLOOKUP($A12, INDIRECT("'" &amp; AC$2 &amp; "'!$A:$A"), INDIRECT("'" &amp; AC$2 &amp; "'!$B:$B"), "")&lt;&gt;"", "✓", "✗"), "✗")
)</f>
        <v/>
      </c>
      <c r="AD12">
        <f t="array" ref="AD12">IF(
    ISNUMBER(VALUE(LEFT($A12, 1))),
    "",
    IFERROR(IF(_xlfn.XLOOKUP($A12, INDIRECT("'" &amp; AD$2 &amp; "'!$A:$A"), INDIRECT("'" &amp; AD$2 &amp; "'!$B:$B"), "")&lt;&gt;"", "✓", "✗"), "✗")
)</f>
        <v/>
      </c>
      <c r="AE12">
        <f t="array" ref="AE12">IF(
    ISNUMBER(VALUE(LEFT($A12, 1))),
    "",
    IFERROR(IF(_xlfn.XLOOKUP($A12, INDIRECT("'" &amp; AE$2 &amp; "'!$A:$A"), INDIRECT("'" &amp; AE$2 &amp; "'!$B:$B"), "")&lt;&gt;"", "✓", "✗"), "✗")
)</f>
        <v/>
      </c>
      <c r="AF12">
        <f t="array" ref="AF12">IF(
    ISNUMBER(VALUE(LEFT($A12, 1))),
    "",
    IFERROR(IF(_xlfn.XLOOKUP($A12, INDIRECT("'" &amp; AF$2 &amp; "'!$A:$A"), INDIRECT("'" &amp; AF$2 &amp; "'!$B:$B"), "")&lt;&gt;"", "✓", "✗"), "✗")
)</f>
        <v/>
      </c>
      <c r="AG12">
        <f t="array" ref="AG12">IF(
    ISNUMBER(VALUE(LEFT($A12, 1))),
    "",
    IFERROR(IF(_xlfn.XLOOKUP($A12, INDIRECT("'" &amp; AG$2 &amp; "'!$A:$A"), INDIRECT("'" &amp; AG$2 &amp; "'!$B:$B"), "")&lt;&gt;"", "✓", "✗"), "✗")
)</f>
        <v/>
      </c>
    </row>
    <row r="13">
      <c r="A13" t="inlineStr">
        <is>
          <t>Last Name</t>
        </is>
      </c>
      <c r="B13">
        <f t="array" ref="B13">IF(
    ISNUMBER(VALUE(LEFT($A13, 1))),
    "",
    IFERROR(IF(_xlfn.XLOOKUP($A13, INDIRECT("'" &amp; B$2 &amp; "'!$A:$A"), INDIRECT("'" &amp; B$2 &amp; "'!$B:$B"), "")&lt;&gt;"", "✓", "✗"), "✗")
)</f>
        <v/>
      </c>
      <c r="C13">
        <f t="array" ref="C13">IF(
    ISNUMBER(VALUE(LEFT($A13, 1))),
    "",
    IFERROR(IF(_xlfn.XLOOKUP($A13, INDIRECT("'" &amp; C$2 &amp; "'!$A:$A"), INDIRECT("'" &amp; C$2 &amp; "'!$B:$B"), "")&lt;&gt;"", "✓", "✗"), "✗")
)</f>
        <v/>
      </c>
      <c r="D13">
        <f t="array" ref="D13">IF(
    ISNUMBER(VALUE(LEFT($A13, 1))),
    "",
    IFERROR(IF(_xlfn.XLOOKUP($A13, INDIRECT("'" &amp; D$2 &amp; "'!$A:$A"), INDIRECT("'" &amp; D$2 &amp; "'!$B:$B"), "")&lt;&gt;"", "✓", "✗"), "✗")
)</f>
        <v/>
      </c>
      <c r="E13">
        <f t="array" ref="E13">IF(
    ISNUMBER(VALUE(LEFT($A13, 1))),
    "",
    IFERROR(IF(_xlfn.XLOOKUP($A13, INDIRECT("'" &amp; E$2 &amp; "'!$A:$A"), INDIRECT("'" &amp; E$2 &amp; "'!$B:$B"), "")&lt;&gt;"", "✓", "✗"), "✗")
)</f>
        <v/>
      </c>
      <c r="F13">
        <f t="array" ref="F13">IF(
    ISNUMBER(VALUE(LEFT($A13, 1))),
    "",
    IFERROR(IF(_xlfn.XLOOKUP($A13, INDIRECT("'" &amp; F$2 &amp; "'!$A:$A"), INDIRECT("'" &amp; F$2 &amp; "'!$B:$B"), "")&lt;&gt;"", "✓", "✗"), "✗")
)</f>
        <v/>
      </c>
      <c r="G13">
        <f t="array" ref="G13">IF(
    ISNUMBER(VALUE(LEFT($A13, 1))),
    "",
    IFERROR(IF(_xlfn.XLOOKUP($A13, INDIRECT("'" &amp; G$2 &amp; "'!$A:$A"), INDIRECT("'" &amp; G$2 &amp; "'!$B:$B"), "")&lt;&gt;"", "✓", "✗"), "✗")
)</f>
        <v/>
      </c>
      <c r="H13">
        <f t="array" ref="H13">IF(
    ISNUMBER(VALUE(LEFT($A13, 1))),
    "",
    IFERROR(IF(_xlfn.XLOOKUP($A13, INDIRECT("'" &amp; H$2 &amp; "'!$A:$A"), INDIRECT("'" &amp; H$2 &amp; "'!$B:$B"), "")&lt;&gt;"", "✓", "✗"), "✗")
)</f>
        <v/>
      </c>
      <c r="I13">
        <f t="array" ref="I13">IF(
    ISNUMBER(VALUE(LEFT($A13, 1))),
    "",
    IFERROR(IF(_xlfn.XLOOKUP($A13, INDIRECT("'" &amp; I$2 &amp; "'!$A:$A"), INDIRECT("'" &amp; I$2 &amp; "'!$B:$B"), "")&lt;&gt;"", "✓", "✗"), "✗")
)</f>
        <v/>
      </c>
      <c r="J13">
        <f t="array" ref="J13">IF(
    ISNUMBER(VALUE(LEFT($A13, 1))),
    "",
    IFERROR(IF(_xlfn.XLOOKUP($A13, INDIRECT("'" &amp; J$2 &amp; "'!$A:$A"), INDIRECT("'" &amp; J$2 &amp; "'!$B:$B"), "")&lt;&gt;"", "✓", "✗"), "✗")
)</f>
        <v/>
      </c>
      <c r="K13">
        <f t="array" ref="K13">IF(
    ISNUMBER(VALUE(LEFT($A13, 1))),
    "",
    IFERROR(IF(_xlfn.XLOOKUP($A13, INDIRECT("'" &amp; K$2 &amp; "'!$A:$A"), INDIRECT("'" &amp; K$2 &amp; "'!$B:$B"), "")&lt;&gt;"", "✓", "✗"), "✗")
)</f>
        <v/>
      </c>
      <c r="L13">
        <f t="array" ref="L13">IF(
    ISNUMBER(VALUE(LEFT($A13, 1))),
    "",
    IFERROR(IF(_xlfn.XLOOKUP($A13, INDIRECT("'" &amp; L$2 &amp; "'!$A:$A"), INDIRECT("'" &amp; L$2 &amp; "'!$B:$B"), "")&lt;&gt;"", "✓", "✗"), "✗")
)</f>
        <v/>
      </c>
      <c r="M13">
        <f t="array" ref="M13">IF(
    ISNUMBER(VALUE(LEFT($A13, 1))),
    "",
    IFERROR(IF(_xlfn.XLOOKUP($A13, INDIRECT("'" &amp; M$2 &amp; "'!$A:$A"), INDIRECT("'" &amp; M$2 &amp; "'!$B:$B"), "")&lt;&gt;"", "✓", "✗"), "✗")
)</f>
        <v/>
      </c>
      <c r="N13">
        <f t="array" ref="N13">IF(
    ISNUMBER(VALUE(LEFT($A13, 1))),
    "",
    IFERROR(IF(_xlfn.XLOOKUP($A13, INDIRECT("'" &amp; N$2 &amp; "'!$A:$A"), INDIRECT("'" &amp; N$2 &amp; "'!$B:$B"), "")&lt;&gt;"", "✓", "✗"), "✗")
)</f>
        <v/>
      </c>
      <c r="O13">
        <f t="array" ref="O13">IF(
    ISNUMBER(VALUE(LEFT($A13, 1))),
    "",
    IFERROR(IF(_xlfn.XLOOKUP($A13, INDIRECT("'" &amp; O$2 &amp; "'!$A:$A"), INDIRECT("'" &amp; O$2 &amp; "'!$B:$B"), "")&lt;&gt;"", "✓", "✗"), "✗")
)</f>
        <v/>
      </c>
      <c r="P13">
        <f t="array" ref="P13">IF(
    ISNUMBER(VALUE(LEFT($A13, 1))),
    "",
    IFERROR(IF(_xlfn.XLOOKUP($A13, INDIRECT("'" &amp; P$2 &amp; "'!$A:$A"), INDIRECT("'" &amp; P$2 &amp; "'!$B:$B"), "")&lt;&gt;"", "✓", "✗"), "✗")
)</f>
        <v/>
      </c>
      <c r="Q13">
        <f t="array" ref="Q13">IF(
    ISNUMBER(VALUE(LEFT($A13, 1))),
    "",
    IFERROR(IF(_xlfn.XLOOKUP($A13, INDIRECT("'" &amp; Q$2 &amp; "'!$A:$A"), INDIRECT("'" &amp; Q$2 &amp; "'!$B:$B"), "")&lt;&gt;"", "✓", "✗"), "✗")
)</f>
        <v/>
      </c>
      <c r="R13">
        <f t="array" ref="R13">IF(
    ISNUMBER(VALUE(LEFT($A13, 1))),
    "",
    IFERROR(IF(_xlfn.XLOOKUP($A13, INDIRECT("'" &amp; R$2 &amp; "'!$A:$A"), INDIRECT("'" &amp; R$2 &amp; "'!$B:$B"), "")&lt;&gt;"", "✓", "✗"), "✗")
)</f>
        <v/>
      </c>
      <c r="S13">
        <f t="array" ref="S13">IF(
    ISNUMBER(VALUE(LEFT($A13, 1))),
    "",
    IFERROR(IF(_xlfn.XLOOKUP($A13, INDIRECT("'" &amp; S$2 &amp; "'!$A:$A"), INDIRECT("'" &amp; S$2 &amp; "'!$B:$B"), "")&lt;&gt;"", "✓", "✗"), "✗")
)</f>
        <v/>
      </c>
      <c r="T13">
        <f t="array" ref="T13">IF(
    ISNUMBER(VALUE(LEFT($A13, 1))),
    "",
    IFERROR(IF(_xlfn.XLOOKUP($A13, INDIRECT("'" &amp; T$2 &amp; "'!$A:$A"), INDIRECT("'" &amp; T$2 &amp; "'!$B:$B"), "")&lt;&gt;"", "✓", "✗"), "✗")
)</f>
        <v/>
      </c>
      <c r="U13">
        <f t="array" ref="U13">IF(
    ISNUMBER(VALUE(LEFT($A13, 1))),
    "",
    IFERROR(IF(_xlfn.XLOOKUP($A13, INDIRECT("'" &amp; U$2 &amp; "'!$A:$A"), INDIRECT("'" &amp; U$2 &amp; "'!$B:$B"), "")&lt;&gt;"", "✓", "✗"), "✗")
)</f>
        <v/>
      </c>
      <c r="V13">
        <f t="array" ref="V13">IF(
    ISNUMBER(VALUE(LEFT($A13, 1))),
    "",
    IFERROR(IF(_xlfn.XLOOKUP($A13, INDIRECT("'" &amp; V$2 &amp; "'!$A:$A"), INDIRECT("'" &amp; V$2 &amp; "'!$B:$B"), "")&lt;&gt;"", "✓", "✗"), "✗")
)</f>
        <v/>
      </c>
      <c r="W13">
        <f t="array" ref="W13">IF(
    ISNUMBER(VALUE(LEFT($A13, 1))),
    "",
    IFERROR(IF(_xlfn.XLOOKUP($A13, INDIRECT("'" &amp; W$2 &amp; "'!$A:$A"), INDIRECT("'" &amp; W$2 &amp; "'!$B:$B"), "")&lt;&gt;"", "✓", "✗"), "✗")
)</f>
        <v/>
      </c>
      <c r="X13">
        <f t="array" ref="X13">IF(
    ISNUMBER(VALUE(LEFT($A13, 1))),
    "",
    IFERROR(IF(_xlfn.XLOOKUP($A13, INDIRECT("'" &amp; X$2 &amp; "'!$A:$A"), INDIRECT("'" &amp; X$2 &amp; "'!$B:$B"), "")&lt;&gt;"", "✓", "✗"), "✗")
)</f>
        <v/>
      </c>
      <c r="Y13">
        <f t="array" ref="Y13">IF(
    ISNUMBER(VALUE(LEFT($A13, 1))),
    "",
    IFERROR(IF(_xlfn.XLOOKUP($A13, INDIRECT("'" &amp; Y$2 &amp; "'!$A:$A"), INDIRECT("'" &amp; Y$2 &amp; "'!$B:$B"), "")&lt;&gt;"", "✓", "✗"), "✗")
)</f>
        <v/>
      </c>
      <c r="Z13">
        <f t="array" ref="Z13">IF(
    ISNUMBER(VALUE(LEFT($A13, 1))),
    "",
    IFERROR(IF(_xlfn.XLOOKUP($A13, INDIRECT("'" &amp; Z$2 &amp; "'!$A:$A"), INDIRECT("'" &amp; Z$2 &amp; "'!$B:$B"), "")&lt;&gt;"", "✓", "✗"), "✗")
)</f>
        <v/>
      </c>
      <c r="AA13">
        <f t="array" ref="AA13">IF(
    ISNUMBER(VALUE(LEFT($A13, 1))),
    "",
    IFERROR(IF(_xlfn.XLOOKUP($A13, INDIRECT("'" &amp; AA$2 &amp; "'!$A:$A"), INDIRECT("'" &amp; AA$2 &amp; "'!$B:$B"), "")&lt;&gt;"", "✓", "✗"), "✗")
)</f>
        <v/>
      </c>
      <c r="AB13">
        <f t="array" ref="AB13">IF(
    ISNUMBER(VALUE(LEFT($A13, 1))),
    "",
    IFERROR(IF(_xlfn.XLOOKUP($A13, INDIRECT("'" &amp; AB$2 &amp; "'!$A:$A"), INDIRECT("'" &amp; AB$2 &amp; "'!$B:$B"), "")&lt;&gt;"", "✓", "✗"), "✗")
)</f>
        <v/>
      </c>
      <c r="AC13">
        <f t="array" ref="AC13">IF(
    ISNUMBER(VALUE(LEFT($A13, 1))),
    "",
    IFERROR(IF(_xlfn.XLOOKUP($A13, INDIRECT("'" &amp; AC$2 &amp; "'!$A:$A"), INDIRECT("'" &amp; AC$2 &amp; "'!$B:$B"), "")&lt;&gt;"", "✓", "✗"), "✗")
)</f>
        <v/>
      </c>
      <c r="AD13">
        <f t="array" ref="AD13">IF(
    ISNUMBER(VALUE(LEFT($A13, 1))),
    "",
    IFERROR(IF(_xlfn.XLOOKUP($A13, INDIRECT("'" &amp; AD$2 &amp; "'!$A:$A"), INDIRECT("'" &amp; AD$2 &amp; "'!$B:$B"), "")&lt;&gt;"", "✓", "✗"), "✗")
)</f>
        <v/>
      </c>
      <c r="AE13">
        <f t="array" ref="AE13">IF(
    ISNUMBER(VALUE(LEFT($A13, 1))),
    "",
    IFERROR(IF(_xlfn.XLOOKUP($A13, INDIRECT("'" &amp; AE$2 &amp; "'!$A:$A"), INDIRECT("'" &amp; AE$2 &amp; "'!$B:$B"), "")&lt;&gt;"", "✓", "✗"), "✗")
)</f>
        <v/>
      </c>
      <c r="AF13">
        <f t="array" ref="AF13">IF(
    ISNUMBER(VALUE(LEFT($A13, 1))),
    "",
    IFERROR(IF(_xlfn.XLOOKUP($A13, INDIRECT("'" &amp; AF$2 &amp; "'!$A:$A"), INDIRECT("'" &amp; AF$2 &amp; "'!$B:$B"), "")&lt;&gt;"", "✓", "✗"), "✗")
)</f>
        <v/>
      </c>
      <c r="AG13">
        <f t="array" ref="AG13">IF(
    ISNUMBER(VALUE(LEFT($A13, 1))),
    "",
    IFERROR(IF(_xlfn.XLOOKUP($A13, INDIRECT("'" &amp; AG$2 &amp; "'!$A:$A"), INDIRECT("'" &amp; AG$2 &amp; "'!$B:$B"), "")&lt;&gt;"", "✓", "✗"), "✗")
)</f>
        <v/>
      </c>
    </row>
    <row r="14">
      <c r="A14" t="inlineStr">
        <is>
          <t>Job Title</t>
        </is>
      </c>
      <c r="B14">
        <f t="array" ref="B14">IF(
    ISNUMBER(VALUE(LEFT($A14, 1))),
    "",
    IFERROR(IF(_xlfn.XLOOKUP($A14, INDIRECT("'" &amp; B$2 &amp; "'!$A:$A"), INDIRECT("'" &amp; B$2 &amp; "'!$B:$B"), "")&lt;&gt;"", "✓", "✗"), "✗")
)</f>
        <v/>
      </c>
      <c r="C14">
        <f t="array" ref="C14">IF(
    ISNUMBER(VALUE(LEFT($A14, 1))),
    "",
    IFERROR(IF(_xlfn.XLOOKUP($A14, INDIRECT("'" &amp; C$2 &amp; "'!$A:$A"), INDIRECT("'" &amp; C$2 &amp; "'!$B:$B"), "")&lt;&gt;"", "✓", "✗"), "✗")
)</f>
        <v/>
      </c>
      <c r="D14">
        <f t="array" ref="D14">IF(
    ISNUMBER(VALUE(LEFT($A14, 1))),
    "",
    IFERROR(IF(_xlfn.XLOOKUP($A14, INDIRECT("'" &amp; D$2 &amp; "'!$A:$A"), INDIRECT("'" &amp; D$2 &amp; "'!$B:$B"), "")&lt;&gt;"", "✓", "✗"), "✗")
)</f>
        <v/>
      </c>
      <c r="E14">
        <f t="array" ref="E14">IF(
    ISNUMBER(VALUE(LEFT($A14, 1))),
    "",
    IFERROR(IF(_xlfn.XLOOKUP($A14, INDIRECT("'" &amp; E$2 &amp; "'!$A:$A"), INDIRECT("'" &amp; E$2 &amp; "'!$B:$B"), "")&lt;&gt;"", "✓", "✗"), "✗")
)</f>
        <v/>
      </c>
      <c r="F14">
        <f t="array" ref="F14">IF(
    ISNUMBER(VALUE(LEFT($A14, 1))),
    "",
    IFERROR(IF(_xlfn.XLOOKUP($A14, INDIRECT("'" &amp; F$2 &amp; "'!$A:$A"), INDIRECT("'" &amp; F$2 &amp; "'!$B:$B"), "")&lt;&gt;"", "✓", "✗"), "✗")
)</f>
        <v/>
      </c>
      <c r="G14">
        <f t="array" ref="G14">IF(
    ISNUMBER(VALUE(LEFT($A14, 1))),
    "",
    IFERROR(IF(_xlfn.XLOOKUP($A14, INDIRECT("'" &amp; G$2 &amp; "'!$A:$A"), INDIRECT("'" &amp; G$2 &amp; "'!$B:$B"), "")&lt;&gt;"", "✓", "✗"), "✗")
)</f>
        <v/>
      </c>
      <c r="H14">
        <f t="array" ref="H14">IF(
    ISNUMBER(VALUE(LEFT($A14, 1))),
    "",
    IFERROR(IF(_xlfn.XLOOKUP($A14, INDIRECT("'" &amp; H$2 &amp; "'!$A:$A"), INDIRECT("'" &amp; H$2 &amp; "'!$B:$B"), "")&lt;&gt;"", "✓", "✗"), "✗")
)</f>
        <v/>
      </c>
      <c r="I14">
        <f t="array" ref="I14">IF(
    ISNUMBER(VALUE(LEFT($A14, 1))),
    "",
    IFERROR(IF(_xlfn.XLOOKUP($A14, INDIRECT("'" &amp; I$2 &amp; "'!$A:$A"), INDIRECT("'" &amp; I$2 &amp; "'!$B:$B"), "")&lt;&gt;"", "✓", "✗"), "✗")
)</f>
        <v/>
      </c>
      <c r="J14">
        <f t="array" ref="J14">IF(
    ISNUMBER(VALUE(LEFT($A14, 1))),
    "",
    IFERROR(IF(_xlfn.XLOOKUP($A14, INDIRECT("'" &amp; J$2 &amp; "'!$A:$A"), INDIRECT("'" &amp; J$2 &amp; "'!$B:$B"), "")&lt;&gt;"", "✓", "✗"), "✗")
)</f>
        <v/>
      </c>
      <c r="K14">
        <f t="array" ref="K14">IF(
    ISNUMBER(VALUE(LEFT($A14, 1))),
    "",
    IFERROR(IF(_xlfn.XLOOKUP($A14, INDIRECT("'" &amp; K$2 &amp; "'!$A:$A"), INDIRECT("'" &amp; K$2 &amp; "'!$B:$B"), "")&lt;&gt;"", "✓", "✗"), "✗")
)</f>
        <v/>
      </c>
      <c r="L14">
        <f t="array" ref="L14">IF(
    ISNUMBER(VALUE(LEFT($A14, 1))),
    "",
    IFERROR(IF(_xlfn.XLOOKUP($A14, INDIRECT("'" &amp; L$2 &amp; "'!$A:$A"), INDIRECT("'" &amp; L$2 &amp; "'!$B:$B"), "")&lt;&gt;"", "✓", "✗"), "✗")
)</f>
        <v/>
      </c>
      <c r="M14">
        <f t="array" ref="M14">IF(
    ISNUMBER(VALUE(LEFT($A14, 1))),
    "",
    IFERROR(IF(_xlfn.XLOOKUP($A14, INDIRECT("'" &amp; M$2 &amp; "'!$A:$A"), INDIRECT("'" &amp; M$2 &amp; "'!$B:$B"), "")&lt;&gt;"", "✓", "✗"), "✗")
)</f>
        <v/>
      </c>
      <c r="N14">
        <f t="array" ref="N14">IF(
    ISNUMBER(VALUE(LEFT($A14, 1))),
    "",
    IFERROR(IF(_xlfn.XLOOKUP($A14, INDIRECT("'" &amp; N$2 &amp; "'!$A:$A"), INDIRECT("'" &amp; N$2 &amp; "'!$B:$B"), "")&lt;&gt;"", "✓", "✗"), "✗")
)</f>
        <v/>
      </c>
      <c r="O14">
        <f t="array" ref="O14">IF(
    ISNUMBER(VALUE(LEFT($A14, 1))),
    "",
    IFERROR(IF(_xlfn.XLOOKUP($A14, INDIRECT("'" &amp; O$2 &amp; "'!$A:$A"), INDIRECT("'" &amp; O$2 &amp; "'!$B:$B"), "")&lt;&gt;"", "✓", "✗"), "✗")
)</f>
        <v/>
      </c>
      <c r="P14">
        <f t="array" ref="P14">IF(
    ISNUMBER(VALUE(LEFT($A14, 1))),
    "",
    IFERROR(IF(_xlfn.XLOOKUP($A14, INDIRECT("'" &amp; P$2 &amp; "'!$A:$A"), INDIRECT("'" &amp; P$2 &amp; "'!$B:$B"), "")&lt;&gt;"", "✓", "✗"), "✗")
)</f>
        <v/>
      </c>
      <c r="Q14">
        <f t="array" ref="Q14">IF(
    ISNUMBER(VALUE(LEFT($A14, 1))),
    "",
    IFERROR(IF(_xlfn.XLOOKUP($A14, INDIRECT("'" &amp; Q$2 &amp; "'!$A:$A"), INDIRECT("'" &amp; Q$2 &amp; "'!$B:$B"), "")&lt;&gt;"", "✓", "✗"), "✗")
)</f>
        <v/>
      </c>
      <c r="R14">
        <f t="array" ref="R14">IF(
    ISNUMBER(VALUE(LEFT($A14, 1))),
    "",
    IFERROR(IF(_xlfn.XLOOKUP($A14, INDIRECT("'" &amp; R$2 &amp; "'!$A:$A"), INDIRECT("'" &amp; R$2 &amp; "'!$B:$B"), "")&lt;&gt;"", "✓", "✗"), "✗")
)</f>
        <v/>
      </c>
      <c r="S14">
        <f t="array" ref="S14">IF(
    ISNUMBER(VALUE(LEFT($A14, 1))),
    "",
    IFERROR(IF(_xlfn.XLOOKUP($A14, INDIRECT("'" &amp; S$2 &amp; "'!$A:$A"), INDIRECT("'" &amp; S$2 &amp; "'!$B:$B"), "")&lt;&gt;"", "✓", "✗"), "✗")
)</f>
        <v/>
      </c>
      <c r="T14">
        <f t="array" ref="T14">IF(
    ISNUMBER(VALUE(LEFT($A14, 1))),
    "",
    IFERROR(IF(_xlfn.XLOOKUP($A14, INDIRECT("'" &amp; T$2 &amp; "'!$A:$A"), INDIRECT("'" &amp; T$2 &amp; "'!$B:$B"), "")&lt;&gt;"", "✓", "✗"), "✗")
)</f>
        <v/>
      </c>
      <c r="U14">
        <f t="array" ref="U14">IF(
    ISNUMBER(VALUE(LEFT($A14, 1))),
    "",
    IFERROR(IF(_xlfn.XLOOKUP($A14, INDIRECT("'" &amp; U$2 &amp; "'!$A:$A"), INDIRECT("'" &amp; U$2 &amp; "'!$B:$B"), "")&lt;&gt;"", "✓", "✗"), "✗")
)</f>
        <v/>
      </c>
      <c r="V14">
        <f t="array" ref="V14">IF(
    ISNUMBER(VALUE(LEFT($A14, 1))),
    "",
    IFERROR(IF(_xlfn.XLOOKUP($A14, INDIRECT("'" &amp; V$2 &amp; "'!$A:$A"), INDIRECT("'" &amp; V$2 &amp; "'!$B:$B"), "")&lt;&gt;"", "✓", "✗"), "✗")
)</f>
        <v/>
      </c>
      <c r="W14">
        <f t="array" ref="W14">IF(
    ISNUMBER(VALUE(LEFT($A14, 1))),
    "",
    IFERROR(IF(_xlfn.XLOOKUP($A14, INDIRECT("'" &amp; W$2 &amp; "'!$A:$A"), INDIRECT("'" &amp; W$2 &amp; "'!$B:$B"), "")&lt;&gt;"", "✓", "✗"), "✗")
)</f>
        <v/>
      </c>
      <c r="X14">
        <f t="array" ref="X14">IF(
    ISNUMBER(VALUE(LEFT($A14, 1))),
    "",
    IFERROR(IF(_xlfn.XLOOKUP($A14, INDIRECT("'" &amp; X$2 &amp; "'!$A:$A"), INDIRECT("'" &amp; X$2 &amp; "'!$B:$B"), "")&lt;&gt;"", "✓", "✗"), "✗")
)</f>
        <v/>
      </c>
      <c r="Y14">
        <f t="array" ref="Y14">IF(
    ISNUMBER(VALUE(LEFT($A14, 1))),
    "",
    IFERROR(IF(_xlfn.XLOOKUP($A14, INDIRECT("'" &amp; Y$2 &amp; "'!$A:$A"), INDIRECT("'" &amp; Y$2 &amp; "'!$B:$B"), "")&lt;&gt;"", "✓", "✗"), "✗")
)</f>
        <v/>
      </c>
      <c r="Z14">
        <f t="array" ref="Z14">IF(
    ISNUMBER(VALUE(LEFT($A14, 1))),
    "",
    IFERROR(IF(_xlfn.XLOOKUP($A14, INDIRECT("'" &amp; Z$2 &amp; "'!$A:$A"), INDIRECT("'" &amp; Z$2 &amp; "'!$B:$B"), "")&lt;&gt;"", "✓", "✗"), "✗")
)</f>
        <v/>
      </c>
      <c r="AA14">
        <f t="array" ref="AA14">IF(
    ISNUMBER(VALUE(LEFT($A14, 1))),
    "",
    IFERROR(IF(_xlfn.XLOOKUP($A14, INDIRECT("'" &amp; AA$2 &amp; "'!$A:$A"), INDIRECT("'" &amp; AA$2 &amp; "'!$B:$B"), "")&lt;&gt;"", "✓", "✗"), "✗")
)</f>
        <v/>
      </c>
      <c r="AB14">
        <f t="array" ref="AB14">IF(
    ISNUMBER(VALUE(LEFT($A14, 1))),
    "",
    IFERROR(IF(_xlfn.XLOOKUP($A14, INDIRECT("'" &amp; AB$2 &amp; "'!$A:$A"), INDIRECT("'" &amp; AB$2 &amp; "'!$B:$B"), "")&lt;&gt;"", "✓", "✗"), "✗")
)</f>
        <v/>
      </c>
      <c r="AC14">
        <f t="array" ref="AC14">IF(
    ISNUMBER(VALUE(LEFT($A14, 1))),
    "",
    IFERROR(IF(_xlfn.XLOOKUP($A14, INDIRECT("'" &amp; AC$2 &amp; "'!$A:$A"), INDIRECT("'" &amp; AC$2 &amp; "'!$B:$B"), "")&lt;&gt;"", "✓", "✗"), "✗")
)</f>
        <v/>
      </c>
      <c r="AD14">
        <f t="array" ref="AD14">IF(
    ISNUMBER(VALUE(LEFT($A14, 1))),
    "",
    IFERROR(IF(_xlfn.XLOOKUP($A14, INDIRECT("'" &amp; AD$2 &amp; "'!$A:$A"), INDIRECT("'" &amp; AD$2 &amp; "'!$B:$B"), "")&lt;&gt;"", "✓", "✗"), "✗")
)</f>
        <v/>
      </c>
      <c r="AE14">
        <f t="array" ref="AE14">IF(
    ISNUMBER(VALUE(LEFT($A14, 1))),
    "",
    IFERROR(IF(_xlfn.XLOOKUP($A14, INDIRECT("'" &amp; AE$2 &amp; "'!$A:$A"), INDIRECT("'" &amp; AE$2 &amp; "'!$B:$B"), "")&lt;&gt;"", "✓", "✗"), "✗")
)</f>
        <v/>
      </c>
      <c r="AF14">
        <f t="array" ref="AF14">IF(
    ISNUMBER(VALUE(LEFT($A14, 1))),
    "",
    IFERROR(IF(_xlfn.XLOOKUP($A14, INDIRECT("'" &amp; AF$2 &amp; "'!$A:$A"), INDIRECT("'" &amp; AF$2 &amp; "'!$B:$B"), "")&lt;&gt;"", "✓", "✗"), "✗")
)</f>
        <v/>
      </c>
      <c r="AG14">
        <f t="array" ref="AG14">IF(
    ISNUMBER(VALUE(LEFT($A14, 1))),
    "",
    IFERROR(IF(_xlfn.XLOOKUP($A14, INDIRECT("'" &amp; AG$2 &amp; "'!$A:$A"), INDIRECT("'" &amp; AG$2 &amp; "'!$B:$B"), "")&lt;&gt;"", "✓", "✗"), "✗")
)</f>
        <v/>
      </c>
    </row>
    <row r="15">
      <c r="A15" t="inlineStr">
        <is>
          <t>Job Level</t>
        </is>
      </c>
      <c r="B15">
        <f t="array" ref="B15">IF(
    ISNUMBER(VALUE(LEFT($A15, 1))),
    "",
    IFERROR(IF(_xlfn.XLOOKUP($A15, INDIRECT("'" &amp; B$2 &amp; "'!$A:$A"), INDIRECT("'" &amp; B$2 &amp; "'!$B:$B"), "")&lt;&gt;"", "✓", "✗"), "✗")
)</f>
        <v/>
      </c>
      <c r="C15">
        <f t="array" ref="C15">IF(
    ISNUMBER(VALUE(LEFT($A15, 1))),
    "",
    IFERROR(IF(_xlfn.XLOOKUP($A15, INDIRECT("'" &amp; C$2 &amp; "'!$A:$A"), INDIRECT("'" &amp; C$2 &amp; "'!$B:$B"), "")&lt;&gt;"", "✓", "✗"), "✗")
)</f>
        <v/>
      </c>
      <c r="D15">
        <f t="array" ref="D15">IF(
    ISNUMBER(VALUE(LEFT($A15, 1))),
    "",
    IFERROR(IF(_xlfn.XLOOKUP($A15, INDIRECT("'" &amp; D$2 &amp; "'!$A:$A"), INDIRECT("'" &amp; D$2 &amp; "'!$B:$B"), "")&lt;&gt;"", "✓", "✗"), "✗")
)</f>
        <v/>
      </c>
      <c r="E15">
        <f t="array" ref="E15">IF(
    ISNUMBER(VALUE(LEFT($A15, 1))),
    "",
    IFERROR(IF(_xlfn.XLOOKUP($A15, INDIRECT("'" &amp; E$2 &amp; "'!$A:$A"), INDIRECT("'" &amp; E$2 &amp; "'!$B:$B"), "")&lt;&gt;"", "✓", "✗"), "✗")
)</f>
        <v/>
      </c>
      <c r="F15">
        <f t="array" ref="F15">IF(
    ISNUMBER(VALUE(LEFT($A15, 1))),
    "",
    IFERROR(IF(_xlfn.XLOOKUP($A15, INDIRECT("'" &amp; F$2 &amp; "'!$A:$A"), INDIRECT("'" &amp; F$2 &amp; "'!$B:$B"), "")&lt;&gt;"", "✓", "✗"), "✗")
)</f>
        <v/>
      </c>
      <c r="G15">
        <f t="array" ref="G15">IF(
    ISNUMBER(VALUE(LEFT($A15, 1))),
    "",
    IFERROR(IF(_xlfn.XLOOKUP($A15, INDIRECT("'" &amp; G$2 &amp; "'!$A:$A"), INDIRECT("'" &amp; G$2 &amp; "'!$B:$B"), "")&lt;&gt;"", "✓", "✗"), "✗")
)</f>
        <v/>
      </c>
      <c r="H15">
        <f t="array" ref="H15">IF(
    ISNUMBER(VALUE(LEFT($A15, 1))),
    "",
    IFERROR(IF(_xlfn.XLOOKUP($A15, INDIRECT("'" &amp; H$2 &amp; "'!$A:$A"), INDIRECT("'" &amp; H$2 &amp; "'!$B:$B"), "")&lt;&gt;"", "✓", "✗"), "✗")
)</f>
        <v/>
      </c>
      <c r="I15">
        <f t="array" ref="I15">IF(
    ISNUMBER(VALUE(LEFT($A15, 1))),
    "",
    IFERROR(IF(_xlfn.XLOOKUP($A15, INDIRECT("'" &amp; I$2 &amp; "'!$A:$A"), INDIRECT("'" &amp; I$2 &amp; "'!$B:$B"), "")&lt;&gt;"", "✓", "✗"), "✗")
)</f>
        <v/>
      </c>
      <c r="J15">
        <f t="array" ref="J15">IF(
    ISNUMBER(VALUE(LEFT($A15, 1))),
    "",
    IFERROR(IF(_xlfn.XLOOKUP($A15, INDIRECT("'" &amp; J$2 &amp; "'!$A:$A"), INDIRECT("'" &amp; J$2 &amp; "'!$B:$B"), "")&lt;&gt;"", "✓", "✗"), "✗")
)</f>
        <v/>
      </c>
      <c r="K15">
        <f t="array" ref="K15">IF(
    ISNUMBER(VALUE(LEFT($A15, 1))),
    "",
    IFERROR(IF(_xlfn.XLOOKUP($A15, INDIRECT("'" &amp; K$2 &amp; "'!$A:$A"), INDIRECT("'" &amp; K$2 &amp; "'!$B:$B"), "")&lt;&gt;"", "✓", "✗"), "✗")
)</f>
        <v/>
      </c>
      <c r="L15">
        <f t="array" ref="L15">IF(
    ISNUMBER(VALUE(LEFT($A15, 1))),
    "",
    IFERROR(IF(_xlfn.XLOOKUP($A15, INDIRECT("'" &amp; L$2 &amp; "'!$A:$A"), INDIRECT("'" &amp; L$2 &amp; "'!$B:$B"), "")&lt;&gt;"", "✓", "✗"), "✗")
)</f>
        <v/>
      </c>
      <c r="M15">
        <f t="array" ref="M15">IF(
    ISNUMBER(VALUE(LEFT($A15, 1))),
    "",
    IFERROR(IF(_xlfn.XLOOKUP($A15, INDIRECT("'" &amp; M$2 &amp; "'!$A:$A"), INDIRECT("'" &amp; M$2 &amp; "'!$B:$B"), "")&lt;&gt;"", "✓", "✗"), "✗")
)</f>
        <v/>
      </c>
      <c r="N15">
        <f t="array" ref="N15">IF(
    ISNUMBER(VALUE(LEFT($A15, 1))),
    "",
    IFERROR(IF(_xlfn.XLOOKUP($A15, INDIRECT("'" &amp; N$2 &amp; "'!$A:$A"), INDIRECT("'" &amp; N$2 &amp; "'!$B:$B"), "")&lt;&gt;"", "✓", "✗"), "✗")
)</f>
        <v/>
      </c>
      <c r="O15">
        <f t="array" ref="O15">IF(
    ISNUMBER(VALUE(LEFT($A15, 1))),
    "",
    IFERROR(IF(_xlfn.XLOOKUP($A15, INDIRECT("'" &amp; O$2 &amp; "'!$A:$A"), INDIRECT("'" &amp; O$2 &amp; "'!$B:$B"), "")&lt;&gt;"", "✓", "✗"), "✗")
)</f>
        <v/>
      </c>
      <c r="P15">
        <f t="array" ref="P15">IF(
    ISNUMBER(VALUE(LEFT($A15, 1))),
    "",
    IFERROR(IF(_xlfn.XLOOKUP($A15, INDIRECT("'" &amp; P$2 &amp; "'!$A:$A"), INDIRECT("'" &amp; P$2 &amp; "'!$B:$B"), "")&lt;&gt;"", "✓", "✗"), "✗")
)</f>
        <v/>
      </c>
      <c r="Q15">
        <f t="array" ref="Q15">IF(
    ISNUMBER(VALUE(LEFT($A15, 1))),
    "",
    IFERROR(IF(_xlfn.XLOOKUP($A15, INDIRECT("'" &amp; Q$2 &amp; "'!$A:$A"), INDIRECT("'" &amp; Q$2 &amp; "'!$B:$B"), "")&lt;&gt;"", "✓", "✗"), "✗")
)</f>
        <v/>
      </c>
      <c r="R15">
        <f t="array" ref="R15">IF(
    ISNUMBER(VALUE(LEFT($A15, 1))),
    "",
    IFERROR(IF(_xlfn.XLOOKUP($A15, INDIRECT("'" &amp; R$2 &amp; "'!$A:$A"), INDIRECT("'" &amp; R$2 &amp; "'!$B:$B"), "")&lt;&gt;"", "✓", "✗"), "✗")
)</f>
        <v/>
      </c>
      <c r="S15">
        <f t="array" ref="S15">IF(
    ISNUMBER(VALUE(LEFT($A15, 1))),
    "",
    IFERROR(IF(_xlfn.XLOOKUP($A15, INDIRECT("'" &amp; S$2 &amp; "'!$A:$A"), INDIRECT("'" &amp; S$2 &amp; "'!$B:$B"), "")&lt;&gt;"", "✓", "✗"), "✗")
)</f>
        <v/>
      </c>
      <c r="T15">
        <f t="array" ref="T15">IF(
    ISNUMBER(VALUE(LEFT($A15, 1))),
    "",
    IFERROR(IF(_xlfn.XLOOKUP($A15, INDIRECT("'" &amp; T$2 &amp; "'!$A:$A"), INDIRECT("'" &amp; T$2 &amp; "'!$B:$B"), "")&lt;&gt;"", "✓", "✗"), "✗")
)</f>
        <v/>
      </c>
      <c r="U15">
        <f t="array" ref="U15">IF(
    ISNUMBER(VALUE(LEFT($A15, 1))),
    "",
    IFERROR(IF(_xlfn.XLOOKUP($A15, INDIRECT("'" &amp; U$2 &amp; "'!$A:$A"), INDIRECT("'" &amp; U$2 &amp; "'!$B:$B"), "")&lt;&gt;"", "✓", "✗"), "✗")
)</f>
        <v/>
      </c>
      <c r="V15">
        <f t="array" ref="V15">IF(
    ISNUMBER(VALUE(LEFT($A15, 1))),
    "",
    IFERROR(IF(_xlfn.XLOOKUP($A15, INDIRECT("'" &amp; V$2 &amp; "'!$A:$A"), INDIRECT("'" &amp; V$2 &amp; "'!$B:$B"), "")&lt;&gt;"", "✓", "✗"), "✗")
)</f>
        <v/>
      </c>
      <c r="W15">
        <f t="array" ref="W15">IF(
    ISNUMBER(VALUE(LEFT($A15, 1))),
    "",
    IFERROR(IF(_xlfn.XLOOKUP($A15, INDIRECT("'" &amp; W$2 &amp; "'!$A:$A"), INDIRECT("'" &amp; W$2 &amp; "'!$B:$B"), "")&lt;&gt;"", "✓", "✗"), "✗")
)</f>
        <v/>
      </c>
      <c r="X15">
        <f t="array" ref="X15">IF(
    ISNUMBER(VALUE(LEFT($A15, 1))),
    "",
    IFERROR(IF(_xlfn.XLOOKUP($A15, INDIRECT("'" &amp; X$2 &amp; "'!$A:$A"), INDIRECT("'" &amp; X$2 &amp; "'!$B:$B"), "")&lt;&gt;"", "✓", "✗"), "✗")
)</f>
        <v/>
      </c>
      <c r="Y15">
        <f t="array" ref="Y15">IF(
    ISNUMBER(VALUE(LEFT($A15, 1))),
    "",
    IFERROR(IF(_xlfn.XLOOKUP($A15, INDIRECT("'" &amp; Y$2 &amp; "'!$A:$A"), INDIRECT("'" &amp; Y$2 &amp; "'!$B:$B"), "")&lt;&gt;"", "✓", "✗"), "✗")
)</f>
        <v/>
      </c>
      <c r="Z15">
        <f t="array" ref="Z15">IF(
    ISNUMBER(VALUE(LEFT($A15, 1))),
    "",
    IFERROR(IF(_xlfn.XLOOKUP($A15, INDIRECT("'" &amp; Z$2 &amp; "'!$A:$A"), INDIRECT("'" &amp; Z$2 &amp; "'!$B:$B"), "")&lt;&gt;"", "✓", "✗"), "✗")
)</f>
        <v/>
      </c>
      <c r="AA15">
        <f t="array" ref="AA15">IF(
    ISNUMBER(VALUE(LEFT($A15, 1))),
    "",
    IFERROR(IF(_xlfn.XLOOKUP($A15, INDIRECT("'" &amp; AA$2 &amp; "'!$A:$A"), INDIRECT("'" &amp; AA$2 &amp; "'!$B:$B"), "")&lt;&gt;"", "✓", "✗"), "✗")
)</f>
        <v/>
      </c>
      <c r="AB15">
        <f t="array" ref="AB15">IF(
    ISNUMBER(VALUE(LEFT($A15, 1))),
    "",
    IFERROR(IF(_xlfn.XLOOKUP($A15, INDIRECT("'" &amp; AB$2 &amp; "'!$A:$A"), INDIRECT("'" &amp; AB$2 &amp; "'!$B:$B"), "")&lt;&gt;"", "✓", "✗"), "✗")
)</f>
        <v/>
      </c>
      <c r="AC15">
        <f t="array" ref="AC15">IF(
    ISNUMBER(VALUE(LEFT($A15, 1))),
    "",
    IFERROR(IF(_xlfn.XLOOKUP($A15, INDIRECT("'" &amp; AC$2 &amp; "'!$A:$A"), INDIRECT("'" &amp; AC$2 &amp; "'!$B:$B"), "")&lt;&gt;"", "✓", "✗"), "✗")
)</f>
        <v/>
      </c>
      <c r="AD15">
        <f t="array" ref="AD15">IF(
    ISNUMBER(VALUE(LEFT($A15, 1))),
    "",
    IFERROR(IF(_xlfn.XLOOKUP($A15, INDIRECT("'" &amp; AD$2 &amp; "'!$A:$A"), INDIRECT("'" &amp; AD$2 &amp; "'!$B:$B"), "")&lt;&gt;"", "✓", "✗"), "✗")
)</f>
        <v/>
      </c>
      <c r="AE15">
        <f t="array" ref="AE15">IF(
    ISNUMBER(VALUE(LEFT($A15, 1))),
    "",
    IFERROR(IF(_xlfn.XLOOKUP($A15, INDIRECT("'" &amp; AE$2 &amp; "'!$A:$A"), INDIRECT("'" &amp; AE$2 &amp; "'!$B:$B"), "")&lt;&gt;"", "✓", "✗"), "✗")
)</f>
        <v/>
      </c>
      <c r="AF15">
        <f t="array" ref="AF15">IF(
    ISNUMBER(VALUE(LEFT($A15, 1))),
    "",
    IFERROR(IF(_xlfn.XLOOKUP($A15, INDIRECT("'" &amp; AF$2 &amp; "'!$A:$A"), INDIRECT("'" &amp; AF$2 &amp; "'!$B:$B"), "")&lt;&gt;"", "✓", "✗"), "✗")
)</f>
        <v/>
      </c>
      <c r="AG15">
        <f t="array" ref="AG15">IF(
    ISNUMBER(VALUE(LEFT($A15, 1))),
    "",
    IFERROR(IF(_xlfn.XLOOKUP($A15, INDIRECT("'" &amp; AG$2 &amp; "'!$A:$A"), INDIRECT("'" &amp; AG$2 &amp; "'!$B:$B"), "")&lt;&gt;"", "✓", "✗"), "✗")
)</f>
        <v/>
      </c>
    </row>
    <row r="16">
      <c r="A16" t="inlineStr">
        <is>
          <t>Job Department</t>
        </is>
      </c>
      <c r="B16">
        <f t="array" ref="B16">IF(
    ISNUMBER(VALUE(LEFT($A16, 1))),
    "",
    IFERROR(IF(_xlfn.XLOOKUP($A16, INDIRECT("'" &amp; B$2 &amp; "'!$A:$A"), INDIRECT("'" &amp; B$2 &amp; "'!$B:$B"), "")&lt;&gt;"", "✓", "✗"), "✗")
)</f>
        <v/>
      </c>
      <c r="C16">
        <f t="array" ref="C16">IF(
    ISNUMBER(VALUE(LEFT($A16, 1))),
    "",
    IFERROR(IF(_xlfn.XLOOKUP($A16, INDIRECT("'" &amp; C$2 &amp; "'!$A:$A"), INDIRECT("'" &amp; C$2 &amp; "'!$B:$B"), "")&lt;&gt;"", "✓", "✗"), "✗")
)</f>
        <v/>
      </c>
      <c r="D16">
        <f t="array" ref="D16">IF(
    ISNUMBER(VALUE(LEFT($A16, 1))),
    "",
    IFERROR(IF(_xlfn.XLOOKUP($A16, INDIRECT("'" &amp; D$2 &amp; "'!$A:$A"), INDIRECT("'" &amp; D$2 &amp; "'!$B:$B"), "")&lt;&gt;"", "✓", "✗"), "✗")
)</f>
        <v/>
      </c>
      <c r="E16">
        <f t="array" ref="E16">IF(
    ISNUMBER(VALUE(LEFT($A16, 1))),
    "",
    IFERROR(IF(_xlfn.XLOOKUP($A16, INDIRECT("'" &amp; E$2 &amp; "'!$A:$A"), INDIRECT("'" &amp; E$2 &amp; "'!$B:$B"), "")&lt;&gt;"", "✓", "✗"), "✗")
)</f>
        <v/>
      </c>
      <c r="F16">
        <f t="array" ref="F16">IF(
    ISNUMBER(VALUE(LEFT($A16, 1))),
    "",
    IFERROR(IF(_xlfn.XLOOKUP($A16, INDIRECT("'" &amp; F$2 &amp; "'!$A:$A"), INDIRECT("'" &amp; F$2 &amp; "'!$B:$B"), "")&lt;&gt;"", "✓", "✗"), "✗")
)</f>
        <v/>
      </c>
      <c r="G16">
        <f t="array" ref="G16">IF(
    ISNUMBER(VALUE(LEFT($A16, 1))),
    "",
    IFERROR(IF(_xlfn.XLOOKUP($A16, INDIRECT("'" &amp; G$2 &amp; "'!$A:$A"), INDIRECT("'" &amp; G$2 &amp; "'!$B:$B"), "")&lt;&gt;"", "✓", "✗"), "✗")
)</f>
        <v/>
      </c>
      <c r="H16">
        <f t="array" ref="H16">IF(
    ISNUMBER(VALUE(LEFT($A16, 1))),
    "",
    IFERROR(IF(_xlfn.XLOOKUP($A16, INDIRECT("'" &amp; H$2 &amp; "'!$A:$A"), INDIRECT("'" &amp; H$2 &amp; "'!$B:$B"), "")&lt;&gt;"", "✓", "✗"), "✗")
)</f>
        <v/>
      </c>
      <c r="I16">
        <f t="array" ref="I16">IF(
    ISNUMBER(VALUE(LEFT($A16, 1))),
    "",
    IFERROR(IF(_xlfn.XLOOKUP($A16, INDIRECT("'" &amp; I$2 &amp; "'!$A:$A"), INDIRECT("'" &amp; I$2 &amp; "'!$B:$B"), "")&lt;&gt;"", "✓", "✗"), "✗")
)</f>
        <v/>
      </c>
      <c r="J16">
        <f t="array" ref="J16">IF(
    ISNUMBER(VALUE(LEFT($A16, 1))),
    "",
    IFERROR(IF(_xlfn.XLOOKUP($A16, INDIRECT("'" &amp; J$2 &amp; "'!$A:$A"), INDIRECT("'" &amp; J$2 &amp; "'!$B:$B"), "")&lt;&gt;"", "✓", "✗"), "✗")
)</f>
        <v/>
      </c>
      <c r="K16">
        <f t="array" ref="K16">IF(
    ISNUMBER(VALUE(LEFT($A16, 1))),
    "",
    IFERROR(IF(_xlfn.XLOOKUP($A16, INDIRECT("'" &amp; K$2 &amp; "'!$A:$A"), INDIRECT("'" &amp; K$2 &amp; "'!$B:$B"), "")&lt;&gt;"", "✓", "✗"), "✗")
)</f>
        <v/>
      </c>
      <c r="L16">
        <f t="array" ref="L16">IF(
    ISNUMBER(VALUE(LEFT($A16, 1))),
    "",
    IFERROR(IF(_xlfn.XLOOKUP($A16, INDIRECT("'" &amp; L$2 &amp; "'!$A:$A"), INDIRECT("'" &amp; L$2 &amp; "'!$B:$B"), "")&lt;&gt;"", "✓", "✗"), "✗")
)</f>
        <v/>
      </c>
      <c r="M16">
        <f t="array" ref="M16">IF(
    ISNUMBER(VALUE(LEFT($A16, 1))),
    "",
    IFERROR(IF(_xlfn.XLOOKUP($A16, INDIRECT("'" &amp; M$2 &amp; "'!$A:$A"), INDIRECT("'" &amp; M$2 &amp; "'!$B:$B"), "")&lt;&gt;"", "✓", "✗"), "✗")
)</f>
        <v/>
      </c>
      <c r="N16">
        <f t="array" ref="N16">IF(
    ISNUMBER(VALUE(LEFT($A16, 1))),
    "",
    IFERROR(IF(_xlfn.XLOOKUP($A16, INDIRECT("'" &amp; N$2 &amp; "'!$A:$A"), INDIRECT("'" &amp; N$2 &amp; "'!$B:$B"), "")&lt;&gt;"", "✓", "✗"), "✗")
)</f>
        <v/>
      </c>
      <c r="O16">
        <f t="array" ref="O16">IF(
    ISNUMBER(VALUE(LEFT($A16, 1))),
    "",
    IFERROR(IF(_xlfn.XLOOKUP($A16, INDIRECT("'" &amp; O$2 &amp; "'!$A:$A"), INDIRECT("'" &amp; O$2 &amp; "'!$B:$B"), "")&lt;&gt;"", "✓", "✗"), "✗")
)</f>
        <v/>
      </c>
      <c r="P16">
        <f t="array" ref="P16">IF(
    ISNUMBER(VALUE(LEFT($A16, 1))),
    "",
    IFERROR(IF(_xlfn.XLOOKUP($A16, INDIRECT("'" &amp; P$2 &amp; "'!$A:$A"), INDIRECT("'" &amp; P$2 &amp; "'!$B:$B"), "")&lt;&gt;"", "✓", "✗"), "✗")
)</f>
        <v/>
      </c>
      <c r="Q16">
        <f t="array" ref="Q16">IF(
    ISNUMBER(VALUE(LEFT($A16, 1))),
    "",
    IFERROR(IF(_xlfn.XLOOKUP($A16, INDIRECT("'" &amp; Q$2 &amp; "'!$A:$A"), INDIRECT("'" &amp; Q$2 &amp; "'!$B:$B"), "")&lt;&gt;"", "✓", "✗"), "✗")
)</f>
        <v/>
      </c>
      <c r="R16">
        <f t="array" ref="R16">IF(
    ISNUMBER(VALUE(LEFT($A16, 1))),
    "",
    IFERROR(IF(_xlfn.XLOOKUP($A16, INDIRECT("'" &amp; R$2 &amp; "'!$A:$A"), INDIRECT("'" &amp; R$2 &amp; "'!$B:$B"), "")&lt;&gt;"", "✓", "✗"), "✗")
)</f>
        <v/>
      </c>
      <c r="S16">
        <f t="array" ref="S16">IF(
    ISNUMBER(VALUE(LEFT($A16, 1))),
    "",
    IFERROR(IF(_xlfn.XLOOKUP($A16, INDIRECT("'" &amp; S$2 &amp; "'!$A:$A"), INDIRECT("'" &amp; S$2 &amp; "'!$B:$B"), "")&lt;&gt;"", "✓", "✗"), "✗")
)</f>
        <v/>
      </c>
      <c r="T16">
        <f t="array" ref="T16">IF(
    ISNUMBER(VALUE(LEFT($A16, 1))),
    "",
    IFERROR(IF(_xlfn.XLOOKUP($A16, INDIRECT("'" &amp; T$2 &amp; "'!$A:$A"), INDIRECT("'" &amp; T$2 &amp; "'!$B:$B"), "")&lt;&gt;"", "✓", "✗"), "✗")
)</f>
        <v/>
      </c>
      <c r="U16">
        <f t="array" ref="U16">IF(
    ISNUMBER(VALUE(LEFT($A16, 1))),
    "",
    IFERROR(IF(_xlfn.XLOOKUP($A16, INDIRECT("'" &amp; U$2 &amp; "'!$A:$A"), INDIRECT("'" &amp; U$2 &amp; "'!$B:$B"), "")&lt;&gt;"", "✓", "✗"), "✗")
)</f>
        <v/>
      </c>
      <c r="V16">
        <f t="array" ref="V16">IF(
    ISNUMBER(VALUE(LEFT($A16, 1))),
    "",
    IFERROR(IF(_xlfn.XLOOKUP($A16, INDIRECT("'" &amp; V$2 &amp; "'!$A:$A"), INDIRECT("'" &amp; V$2 &amp; "'!$B:$B"), "")&lt;&gt;"", "✓", "✗"), "✗")
)</f>
        <v/>
      </c>
      <c r="W16">
        <f t="array" ref="W16">IF(
    ISNUMBER(VALUE(LEFT($A16, 1))),
    "",
    IFERROR(IF(_xlfn.XLOOKUP($A16, INDIRECT("'" &amp; W$2 &amp; "'!$A:$A"), INDIRECT("'" &amp; W$2 &amp; "'!$B:$B"), "")&lt;&gt;"", "✓", "✗"), "✗")
)</f>
        <v/>
      </c>
      <c r="X16">
        <f t="array" ref="X16">IF(
    ISNUMBER(VALUE(LEFT($A16, 1))),
    "",
    IFERROR(IF(_xlfn.XLOOKUP($A16, INDIRECT("'" &amp; X$2 &amp; "'!$A:$A"), INDIRECT("'" &amp; X$2 &amp; "'!$B:$B"), "")&lt;&gt;"", "✓", "✗"), "✗")
)</f>
        <v/>
      </c>
      <c r="Y16">
        <f t="array" ref="Y16">IF(
    ISNUMBER(VALUE(LEFT($A16, 1))),
    "",
    IFERROR(IF(_xlfn.XLOOKUP($A16, INDIRECT("'" &amp; Y$2 &amp; "'!$A:$A"), INDIRECT("'" &amp; Y$2 &amp; "'!$B:$B"), "")&lt;&gt;"", "✓", "✗"), "✗")
)</f>
        <v/>
      </c>
      <c r="Z16">
        <f t="array" ref="Z16">IF(
    ISNUMBER(VALUE(LEFT($A16, 1))),
    "",
    IFERROR(IF(_xlfn.XLOOKUP($A16, INDIRECT("'" &amp; Z$2 &amp; "'!$A:$A"), INDIRECT("'" &amp; Z$2 &amp; "'!$B:$B"), "")&lt;&gt;"", "✓", "✗"), "✗")
)</f>
        <v/>
      </c>
      <c r="AA16">
        <f t="array" ref="AA16">IF(
    ISNUMBER(VALUE(LEFT($A16, 1))),
    "",
    IFERROR(IF(_xlfn.XLOOKUP($A16, INDIRECT("'" &amp; AA$2 &amp; "'!$A:$A"), INDIRECT("'" &amp; AA$2 &amp; "'!$B:$B"), "")&lt;&gt;"", "✓", "✗"), "✗")
)</f>
        <v/>
      </c>
      <c r="AB16">
        <f t="array" ref="AB16">IF(
    ISNUMBER(VALUE(LEFT($A16, 1))),
    "",
    IFERROR(IF(_xlfn.XLOOKUP($A16, INDIRECT("'" &amp; AB$2 &amp; "'!$A:$A"), INDIRECT("'" &amp; AB$2 &amp; "'!$B:$B"), "")&lt;&gt;"", "✓", "✗"), "✗")
)</f>
        <v/>
      </c>
      <c r="AC16">
        <f t="array" ref="AC16">IF(
    ISNUMBER(VALUE(LEFT($A16, 1))),
    "",
    IFERROR(IF(_xlfn.XLOOKUP($A16, INDIRECT("'" &amp; AC$2 &amp; "'!$A:$A"), INDIRECT("'" &amp; AC$2 &amp; "'!$B:$B"), "")&lt;&gt;"", "✓", "✗"), "✗")
)</f>
        <v/>
      </c>
      <c r="AD16">
        <f t="array" ref="AD16">IF(
    ISNUMBER(VALUE(LEFT($A16, 1))),
    "",
    IFERROR(IF(_xlfn.XLOOKUP($A16, INDIRECT("'" &amp; AD$2 &amp; "'!$A:$A"), INDIRECT("'" &amp; AD$2 &amp; "'!$B:$B"), "")&lt;&gt;"", "✓", "✗"), "✗")
)</f>
        <v/>
      </c>
      <c r="AE16">
        <f t="array" ref="AE16">IF(
    ISNUMBER(VALUE(LEFT($A16, 1))),
    "",
    IFERROR(IF(_xlfn.XLOOKUP($A16, INDIRECT("'" &amp; AE$2 &amp; "'!$A:$A"), INDIRECT("'" &amp; AE$2 &amp; "'!$B:$B"), "")&lt;&gt;"", "✓", "✗"), "✗")
)</f>
        <v/>
      </c>
      <c r="AF16">
        <f t="array" ref="AF16">IF(
    ISNUMBER(VALUE(LEFT($A16, 1))),
    "",
    IFERROR(IF(_xlfn.XLOOKUP($A16, INDIRECT("'" &amp; AF$2 &amp; "'!$A:$A"), INDIRECT("'" &amp; AF$2 &amp; "'!$B:$B"), "")&lt;&gt;"", "✓", "✗"), "✗")
)</f>
        <v/>
      </c>
      <c r="AG16">
        <f t="array" ref="AG16">IF(
    ISNUMBER(VALUE(LEFT($A16, 1))),
    "",
    IFERROR(IF(_xlfn.XLOOKUP($A16, INDIRECT("'" &amp; AG$2 &amp; "'!$A:$A"), INDIRECT("'" &amp; AG$2 &amp; "'!$B:$B"), "")&lt;&gt;"", "✓", "✗"), "✗")
)</f>
        <v/>
      </c>
    </row>
    <row r="17">
      <c r="A17" t="inlineStr">
        <is>
          <t>Email</t>
        </is>
      </c>
      <c r="B17">
        <f t="array" ref="B17">IF(
    ISNUMBER(VALUE(LEFT($A17, 1))),
    "",
    IFERROR(IF(_xlfn.XLOOKUP($A17, INDIRECT("'" &amp; B$2 &amp; "'!$A:$A"), INDIRECT("'" &amp; B$2 &amp; "'!$B:$B"), "")&lt;&gt;"", "✓", "✗"), "✗")
)</f>
        <v/>
      </c>
      <c r="C17">
        <f t="array" ref="C17">IF(
    ISNUMBER(VALUE(LEFT($A17, 1))),
    "",
    IFERROR(IF(_xlfn.XLOOKUP($A17, INDIRECT("'" &amp; C$2 &amp; "'!$A:$A"), INDIRECT("'" &amp; C$2 &amp; "'!$B:$B"), "")&lt;&gt;"", "✓", "✗"), "✗")
)</f>
        <v/>
      </c>
      <c r="D17">
        <f t="array" ref="D17">IF(
    ISNUMBER(VALUE(LEFT($A17, 1))),
    "",
    IFERROR(IF(_xlfn.XLOOKUP($A17, INDIRECT("'" &amp; D$2 &amp; "'!$A:$A"), INDIRECT("'" &amp; D$2 &amp; "'!$B:$B"), "")&lt;&gt;"", "✓", "✗"), "✗")
)</f>
        <v/>
      </c>
      <c r="E17">
        <f t="array" ref="E17">IF(
    ISNUMBER(VALUE(LEFT($A17, 1))),
    "",
    IFERROR(IF(_xlfn.XLOOKUP($A17, INDIRECT("'" &amp; E$2 &amp; "'!$A:$A"), INDIRECT("'" &amp; E$2 &amp; "'!$B:$B"), "")&lt;&gt;"", "✓", "✗"), "✗")
)</f>
        <v/>
      </c>
      <c r="F17">
        <f t="array" ref="F17">IF(
    ISNUMBER(VALUE(LEFT($A17, 1))),
    "",
    IFERROR(IF(_xlfn.XLOOKUP($A17, INDIRECT("'" &amp; F$2 &amp; "'!$A:$A"), INDIRECT("'" &amp; F$2 &amp; "'!$B:$B"), "")&lt;&gt;"", "✓", "✗"), "✗")
)</f>
        <v/>
      </c>
      <c r="G17">
        <f t="array" ref="G17">IF(
    ISNUMBER(VALUE(LEFT($A17, 1))),
    "",
    IFERROR(IF(_xlfn.XLOOKUP($A17, INDIRECT("'" &amp; G$2 &amp; "'!$A:$A"), INDIRECT("'" &amp; G$2 &amp; "'!$B:$B"), "")&lt;&gt;"", "✓", "✗"), "✗")
)</f>
        <v/>
      </c>
      <c r="H17">
        <f t="array" ref="H17">IF(
    ISNUMBER(VALUE(LEFT($A17, 1))),
    "",
    IFERROR(IF(_xlfn.XLOOKUP($A17, INDIRECT("'" &amp; H$2 &amp; "'!$A:$A"), INDIRECT("'" &amp; H$2 &amp; "'!$B:$B"), "")&lt;&gt;"", "✓", "✗"), "✗")
)</f>
        <v/>
      </c>
      <c r="I17">
        <f t="array" ref="I17">IF(
    ISNUMBER(VALUE(LEFT($A17, 1))),
    "",
    IFERROR(IF(_xlfn.XLOOKUP($A17, INDIRECT("'" &amp; I$2 &amp; "'!$A:$A"), INDIRECT("'" &amp; I$2 &amp; "'!$B:$B"), "")&lt;&gt;"", "✓", "✗"), "✗")
)</f>
        <v/>
      </c>
      <c r="J17">
        <f t="array" ref="J17">IF(
    ISNUMBER(VALUE(LEFT($A17, 1))),
    "",
    IFERROR(IF(_xlfn.XLOOKUP($A17, INDIRECT("'" &amp; J$2 &amp; "'!$A:$A"), INDIRECT("'" &amp; J$2 &amp; "'!$B:$B"), "")&lt;&gt;"", "✓", "✗"), "✗")
)</f>
        <v/>
      </c>
      <c r="K17">
        <f t="array" ref="K17">IF(
    ISNUMBER(VALUE(LEFT($A17, 1))),
    "",
    IFERROR(IF(_xlfn.XLOOKUP($A17, INDIRECT("'" &amp; K$2 &amp; "'!$A:$A"), INDIRECT("'" &amp; K$2 &amp; "'!$B:$B"), "")&lt;&gt;"", "✓", "✗"), "✗")
)</f>
        <v/>
      </c>
      <c r="L17">
        <f t="array" ref="L17">IF(
    ISNUMBER(VALUE(LEFT($A17, 1))),
    "",
    IFERROR(IF(_xlfn.XLOOKUP($A17, INDIRECT("'" &amp; L$2 &amp; "'!$A:$A"), INDIRECT("'" &amp; L$2 &amp; "'!$B:$B"), "")&lt;&gt;"", "✓", "✗"), "✗")
)</f>
        <v/>
      </c>
      <c r="M17">
        <f t="array" ref="M17">IF(
    ISNUMBER(VALUE(LEFT($A17, 1))),
    "",
    IFERROR(IF(_xlfn.XLOOKUP($A17, INDIRECT("'" &amp; M$2 &amp; "'!$A:$A"), INDIRECT("'" &amp; M$2 &amp; "'!$B:$B"), "")&lt;&gt;"", "✓", "✗"), "✗")
)</f>
        <v/>
      </c>
      <c r="N17">
        <f t="array" ref="N17">IF(
    ISNUMBER(VALUE(LEFT($A17, 1))),
    "",
    IFERROR(IF(_xlfn.XLOOKUP($A17, INDIRECT("'" &amp; N$2 &amp; "'!$A:$A"), INDIRECT("'" &amp; N$2 &amp; "'!$B:$B"), "")&lt;&gt;"", "✓", "✗"), "✗")
)</f>
        <v/>
      </c>
      <c r="O17">
        <f t="array" ref="O17">IF(
    ISNUMBER(VALUE(LEFT($A17, 1))),
    "",
    IFERROR(IF(_xlfn.XLOOKUP($A17, INDIRECT("'" &amp; O$2 &amp; "'!$A:$A"), INDIRECT("'" &amp; O$2 &amp; "'!$B:$B"), "")&lt;&gt;"", "✓", "✗"), "✗")
)</f>
        <v/>
      </c>
      <c r="P17">
        <f t="array" ref="P17">IF(
    ISNUMBER(VALUE(LEFT($A17, 1))),
    "",
    IFERROR(IF(_xlfn.XLOOKUP($A17, INDIRECT("'" &amp; P$2 &amp; "'!$A:$A"), INDIRECT("'" &amp; P$2 &amp; "'!$B:$B"), "")&lt;&gt;"", "✓", "✗"), "✗")
)</f>
        <v/>
      </c>
      <c r="Q17">
        <f t="array" ref="Q17">IF(
    ISNUMBER(VALUE(LEFT($A17, 1))),
    "",
    IFERROR(IF(_xlfn.XLOOKUP($A17, INDIRECT("'" &amp; Q$2 &amp; "'!$A:$A"), INDIRECT("'" &amp; Q$2 &amp; "'!$B:$B"), "")&lt;&gt;"", "✓", "✗"), "✗")
)</f>
        <v/>
      </c>
      <c r="R17">
        <f t="array" ref="R17">IF(
    ISNUMBER(VALUE(LEFT($A17, 1))),
    "",
    IFERROR(IF(_xlfn.XLOOKUP($A17, INDIRECT("'" &amp; R$2 &amp; "'!$A:$A"), INDIRECT("'" &amp; R$2 &amp; "'!$B:$B"), "")&lt;&gt;"", "✓", "✗"), "✗")
)</f>
        <v/>
      </c>
      <c r="S17">
        <f t="array" ref="S17">IF(
    ISNUMBER(VALUE(LEFT($A17, 1))),
    "",
    IFERROR(IF(_xlfn.XLOOKUP($A17, INDIRECT("'" &amp; S$2 &amp; "'!$A:$A"), INDIRECT("'" &amp; S$2 &amp; "'!$B:$B"), "")&lt;&gt;"", "✓", "✗"), "✗")
)</f>
        <v/>
      </c>
      <c r="T17">
        <f t="array" ref="T17">IF(
    ISNUMBER(VALUE(LEFT($A17, 1))),
    "",
    IFERROR(IF(_xlfn.XLOOKUP($A17, INDIRECT("'" &amp; T$2 &amp; "'!$A:$A"), INDIRECT("'" &amp; T$2 &amp; "'!$B:$B"), "")&lt;&gt;"", "✓", "✗"), "✗")
)</f>
        <v/>
      </c>
      <c r="U17">
        <f t="array" ref="U17">IF(
    ISNUMBER(VALUE(LEFT($A17, 1))),
    "",
    IFERROR(IF(_xlfn.XLOOKUP($A17, INDIRECT("'" &amp; U$2 &amp; "'!$A:$A"), INDIRECT("'" &amp; U$2 &amp; "'!$B:$B"), "")&lt;&gt;"", "✓", "✗"), "✗")
)</f>
        <v/>
      </c>
      <c r="V17">
        <f t="array" ref="V17">IF(
    ISNUMBER(VALUE(LEFT($A17, 1))),
    "",
    IFERROR(IF(_xlfn.XLOOKUP($A17, INDIRECT("'" &amp; V$2 &amp; "'!$A:$A"), INDIRECT("'" &amp; V$2 &amp; "'!$B:$B"), "")&lt;&gt;"", "✓", "✗"), "✗")
)</f>
        <v/>
      </c>
      <c r="W17">
        <f t="array" ref="W17">IF(
    ISNUMBER(VALUE(LEFT($A17, 1))),
    "",
    IFERROR(IF(_xlfn.XLOOKUP($A17, INDIRECT("'" &amp; W$2 &amp; "'!$A:$A"), INDIRECT("'" &amp; W$2 &amp; "'!$B:$B"), "")&lt;&gt;"", "✓", "✗"), "✗")
)</f>
        <v/>
      </c>
      <c r="X17">
        <f t="array" ref="X17">IF(
    ISNUMBER(VALUE(LEFT($A17, 1))),
    "",
    IFERROR(IF(_xlfn.XLOOKUP($A17, INDIRECT("'" &amp; X$2 &amp; "'!$A:$A"), INDIRECT("'" &amp; X$2 &amp; "'!$B:$B"), "")&lt;&gt;"", "✓", "✗"), "✗")
)</f>
        <v/>
      </c>
      <c r="Y17">
        <f t="array" ref="Y17">IF(
    ISNUMBER(VALUE(LEFT($A17, 1))),
    "",
    IFERROR(IF(_xlfn.XLOOKUP($A17, INDIRECT("'" &amp; Y$2 &amp; "'!$A:$A"), INDIRECT("'" &amp; Y$2 &amp; "'!$B:$B"), "")&lt;&gt;"", "✓", "✗"), "✗")
)</f>
        <v/>
      </c>
      <c r="Z17">
        <f t="array" ref="Z17">IF(
    ISNUMBER(VALUE(LEFT($A17, 1))),
    "",
    IFERROR(IF(_xlfn.XLOOKUP($A17, INDIRECT("'" &amp; Z$2 &amp; "'!$A:$A"), INDIRECT("'" &amp; Z$2 &amp; "'!$B:$B"), "")&lt;&gt;"", "✓", "✗"), "✗")
)</f>
        <v/>
      </c>
      <c r="AA17">
        <f t="array" ref="AA17">IF(
    ISNUMBER(VALUE(LEFT($A17, 1))),
    "",
    IFERROR(IF(_xlfn.XLOOKUP($A17, INDIRECT("'" &amp; AA$2 &amp; "'!$A:$A"), INDIRECT("'" &amp; AA$2 &amp; "'!$B:$B"), "")&lt;&gt;"", "✓", "✗"), "✗")
)</f>
        <v/>
      </c>
      <c r="AB17">
        <f t="array" ref="AB17">IF(
    ISNUMBER(VALUE(LEFT($A17, 1))),
    "",
    IFERROR(IF(_xlfn.XLOOKUP($A17, INDIRECT("'" &amp; AB$2 &amp; "'!$A:$A"), INDIRECT("'" &amp; AB$2 &amp; "'!$B:$B"), "")&lt;&gt;"", "✓", "✗"), "✗")
)</f>
        <v/>
      </c>
      <c r="AC17">
        <f t="array" ref="AC17">IF(
    ISNUMBER(VALUE(LEFT($A17, 1))),
    "",
    IFERROR(IF(_xlfn.XLOOKUP($A17, INDIRECT("'" &amp; AC$2 &amp; "'!$A:$A"), INDIRECT("'" &amp; AC$2 &amp; "'!$B:$B"), "")&lt;&gt;"", "✓", "✗"), "✗")
)</f>
        <v/>
      </c>
      <c r="AD17">
        <f t="array" ref="AD17">IF(
    ISNUMBER(VALUE(LEFT($A17, 1))),
    "",
    IFERROR(IF(_xlfn.XLOOKUP($A17, INDIRECT("'" &amp; AD$2 &amp; "'!$A:$A"), INDIRECT("'" &amp; AD$2 &amp; "'!$B:$B"), "")&lt;&gt;"", "✓", "✗"), "✗")
)</f>
        <v/>
      </c>
      <c r="AE17">
        <f t="array" ref="AE17">IF(
    ISNUMBER(VALUE(LEFT($A17, 1))),
    "",
    IFERROR(IF(_xlfn.XLOOKUP($A17, INDIRECT("'" &amp; AE$2 &amp; "'!$A:$A"), INDIRECT("'" &amp; AE$2 &amp; "'!$B:$B"), "")&lt;&gt;"", "✓", "✗"), "✗")
)</f>
        <v/>
      </c>
      <c r="AF17">
        <f t="array" ref="AF17">IF(
    ISNUMBER(VALUE(LEFT($A17, 1))),
    "",
    IFERROR(IF(_xlfn.XLOOKUP($A17, INDIRECT("'" &amp; AF$2 &amp; "'!$A:$A"), INDIRECT("'" &amp; AF$2 &amp; "'!$B:$B"), "")&lt;&gt;"", "✓", "✗"), "✗")
)</f>
        <v/>
      </c>
      <c r="AG17">
        <f t="array" ref="AG17">IF(
    ISNUMBER(VALUE(LEFT($A17, 1))),
    "",
    IFERROR(IF(_xlfn.XLOOKUP($A17, INDIRECT("'" &amp; AG$2 &amp; "'!$A:$A"), INDIRECT("'" &amp; AG$2 &amp; "'!$B:$B"), "")&lt;&gt;"", "✓", "✗"), "✗")
)</f>
        <v/>
      </c>
    </row>
    <row r="18">
      <c r="A18" t="inlineStr">
        <is>
          <t>Email Status</t>
        </is>
      </c>
      <c r="B18">
        <f t="array" ref="B18">IF(
    ISNUMBER(VALUE(LEFT($A18, 1))),
    "",
    IFERROR(IF(_xlfn.XLOOKUP($A18, INDIRECT("'" &amp; B$2 &amp; "'!$A:$A"), INDIRECT("'" &amp; B$2 &amp; "'!$B:$B"), "")&lt;&gt;"", "✓", "✗"), "✗")
)</f>
        <v/>
      </c>
      <c r="C18">
        <f t="array" ref="C18">IF(
    ISNUMBER(VALUE(LEFT($A18, 1))),
    "",
    IFERROR(IF(_xlfn.XLOOKUP($A18, INDIRECT("'" &amp; C$2 &amp; "'!$A:$A"), INDIRECT("'" &amp; C$2 &amp; "'!$B:$B"), "")&lt;&gt;"", "✓", "✗"), "✗")
)</f>
        <v/>
      </c>
      <c r="D18">
        <f t="array" ref="D18">IF(
    ISNUMBER(VALUE(LEFT($A18, 1))),
    "",
    IFERROR(IF(_xlfn.XLOOKUP($A18, INDIRECT("'" &amp; D$2 &amp; "'!$A:$A"), INDIRECT("'" &amp; D$2 &amp; "'!$B:$B"), "")&lt;&gt;"", "✓", "✗"), "✗")
)</f>
        <v/>
      </c>
      <c r="E18">
        <f t="array" ref="E18">IF(
    ISNUMBER(VALUE(LEFT($A18, 1))),
    "",
    IFERROR(IF(_xlfn.XLOOKUP($A18, INDIRECT("'" &amp; E$2 &amp; "'!$A:$A"), INDIRECT("'" &amp; E$2 &amp; "'!$B:$B"), "")&lt;&gt;"", "✓", "✗"), "✗")
)</f>
        <v/>
      </c>
      <c r="F18">
        <f t="array" ref="F18">IF(
    ISNUMBER(VALUE(LEFT($A18, 1))),
    "",
    IFERROR(IF(_xlfn.XLOOKUP($A18, INDIRECT("'" &amp; F$2 &amp; "'!$A:$A"), INDIRECT("'" &amp; F$2 &amp; "'!$B:$B"), "")&lt;&gt;"", "✓", "✗"), "✗")
)</f>
        <v/>
      </c>
      <c r="G18">
        <f t="array" ref="G18">IF(
    ISNUMBER(VALUE(LEFT($A18, 1))),
    "",
    IFERROR(IF(_xlfn.XLOOKUP($A18, INDIRECT("'" &amp; G$2 &amp; "'!$A:$A"), INDIRECT("'" &amp; G$2 &amp; "'!$B:$B"), "")&lt;&gt;"", "✓", "✗"), "✗")
)</f>
        <v/>
      </c>
      <c r="H18">
        <f t="array" ref="H18">IF(
    ISNUMBER(VALUE(LEFT($A18, 1))),
    "",
    IFERROR(IF(_xlfn.XLOOKUP($A18, INDIRECT("'" &amp; H$2 &amp; "'!$A:$A"), INDIRECT("'" &amp; H$2 &amp; "'!$B:$B"), "")&lt;&gt;"", "✓", "✗"), "✗")
)</f>
        <v/>
      </c>
      <c r="I18">
        <f t="array" ref="I18">IF(
    ISNUMBER(VALUE(LEFT($A18, 1))),
    "",
    IFERROR(IF(_xlfn.XLOOKUP($A18, INDIRECT("'" &amp; I$2 &amp; "'!$A:$A"), INDIRECT("'" &amp; I$2 &amp; "'!$B:$B"), "")&lt;&gt;"", "✓", "✗"), "✗")
)</f>
        <v/>
      </c>
      <c r="J18">
        <f t="array" ref="J18">IF(
    ISNUMBER(VALUE(LEFT($A18, 1))),
    "",
    IFERROR(IF(_xlfn.XLOOKUP($A18, INDIRECT("'" &amp; J$2 &amp; "'!$A:$A"), INDIRECT("'" &amp; J$2 &amp; "'!$B:$B"), "")&lt;&gt;"", "✓", "✗"), "✗")
)</f>
        <v/>
      </c>
      <c r="K18">
        <f t="array" ref="K18">IF(
    ISNUMBER(VALUE(LEFT($A18, 1))),
    "",
    IFERROR(IF(_xlfn.XLOOKUP($A18, INDIRECT("'" &amp; K$2 &amp; "'!$A:$A"), INDIRECT("'" &amp; K$2 &amp; "'!$B:$B"), "")&lt;&gt;"", "✓", "✗"), "✗")
)</f>
        <v/>
      </c>
      <c r="L18">
        <f t="array" ref="L18">IF(
    ISNUMBER(VALUE(LEFT($A18, 1))),
    "",
    IFERROR(IF(_xlfn.XLOOKUP($A18, INDIRECT("'" &amp; L$2 &amp; "'!$A:$A"), INDIRECT("'" &amp; L$2 &amp; "'!$B:$B"), "")&lt;&gt;"", "✓", "✗"), "✗")
)</f>
        <v/>
      </c>
      <c r="M18">
        <f t="array" ref="M18">IF(
    ISNUMBER(VALUE(LEFT($A18, 1))),
    "",
    IFERROR(IF(_xlfn.XLOOKUP($A18, INDIRECT("'" &amp; M$2 &amp; "'!$A:$A"), INDIRECT("'" &amp; M$2 &amp; "'!$B:$B"), "")&lt;&gt;"", "✓", "✗"), "✗")
)</f>
        <v/>
      </c>
      <c r="N18">
        <f t="array" ref="N18">IF(
    ISNUMBER(VALUE(LEFT($A18, 1))),
    "",
    IFERROR(IF(_xlfn.XLOOKUP($A18, INDIRECT("'" &amp; N$2 &amp; "'!$A:$A"), INDIRECT("'" &amp; N$2 &amp; "'!$B:$B"), "")&lt;&gt;"", "✓", "✗"), "✗")
)</f>
        <v/>
      </c>
      <c r="O18">
        <f t="array" ref="O18">IF(
    ISNUMBER(VALUE(LEFT($A18, 1))),
    "",
    IFERROR(IF(_xlfn.XLOOKUP($A18, INDIRECT("'" &amp; O$2 &amp; "'!$A:$A"), INDIRECT("'" &amp; O$2 &amp; "'!$B:$B"), "")&lt;&gt;"", "✓", "✗"), "✗")
)</f>
        <v/>
      </c>
      <c r="P18">
        <f t="array" ref="P18">IF(
    ISNUMBER(VALUE(LEFT($A18, 1))),
    "",
    IFERROR(IF(_xlfn.XLOOKUP($A18, INDIRECT("'" &amp; P$2 &amp; "'!$A:$A"), INDIRECT("'" &amp; P$2 &amp; "'!$B:$B"), "")&lt;&gt;"", "✓", "✗"), "✗")
)</f>
        <v/>
      </c>
      <c r="Q18">
        <f t="array" ref="Q18">IF(
    ISNUMBER(VALUE(LEFT($A18, 1))),
    "",
    IFERROR(IF(_xlfn.XLOOKUP($A18, INDIRECT("'" &amp; Q$2 &amp; "'!$A:$A"), INDIRECT("'" &amp; Q$2 &amp; "'!$B:$B"), "")&lt;&gt;"", "✓", "✗"), "✗")
)</f>
        <v/>
      </c>
      <c r="R18">
        <f t="array" ref="R18">IF(
    ISNUMBER(VALUE(LEFT($A18, 1))),
    "",
    IFERROR(IF(_xlfn.XLOOKUP($A18, INDIRECT("'" &amp; R$2 &amp; "'!$A:$A"), INDIRECT("'" &amp; R$2 &amp; "'!$B:$B"), "")&lt;&gt;"", "✓", "✗"), "✗")
)</f>
        <v/>
      </c>
      <c r="S18">
        <f t="array" ref="S18">IF(
    ISNUMBER(VALUE(LEFT($A18, 1))),
    "",
    IFERROR(IF(_xlfn.XLOOKUP($A18, INDIRECT("'" &amp; S$2 &amp; "'!$A:$A"), INDIRECT("'" &amp; S$2 &amp; "'!$B:$B"), "")&lt;&gt;"", "✓", "✗"), "✗")
)</f>
        <v/>
      </c>
      <c r="T18">
        <f t="array" ref="T18">IF(
    ISNUMBER(VALUE(LEFT($A18, 1))),
    "",
    IFERROR(IF(_xlfn.XLOOKUP($A18, INDIRECT("'" &amp; T$2 &amp; "'!$A:$A"), INDIRECT("'" &amp; T$2 &amp; "'!$B:$B"), "")&lt;&gt;"", "✓", "✗"), "✗")
)</f>
        <v/>
      </c>
      <c r="U18">
        <f t="array" ref="U18">IF(
    ISNUMBER(VALUE(LEFT($A18, 1))),
    "",
    IFERROR(IF(_xlfn.XLOOKUP($A18, INDIRECT("'" &amp; U$2 &amp; "'!$A:$A"), INDIRECT("'" &amp; U$2 &amp; "'!$B:$B"), "")&lt;&gt;"", "✓", "✗"), "✗")
)</f>
        <v/>
      </c>
      <c r="V18">
        <f t="array" ref="V18">IF(
    ISNUMBER(VALUE(LEFT($A18, 1))),
    "",
    IFERROR(IF(_xlfn.XLOOKUP($A18, INDIRECT("'" &amp; V$2 &amp; "'!$A:$A"), INDIRECT("'" &amp; V$2 &amp; "'!$B:$B"), "")&lt;&gt;"", "✓", "✗"), "✗")
)</f>
        <v/>
      </c>
      <c r="W18">
        <f t="array" ref="W18">IF(
    ISNUMBER(VALUE(LEFT($A18, 1))),
    "",
    IFERROR(IF(_xlfn.XLOOKUP($A18, INDIRECT("'" &amp; W$2 &amp; "'!$A:$A"), INDIRECT("'" &amp; W$2 &amp; "'!$B:$B"), "")&lt;&gt;"", "✓", "✗"), "✗")
)</f>
        <v/>
      </c>
      <c r="X18">
        <f t="array" ref="X18">IF(
    ISNUMBER(VALUE(LEFT($A18, 1))),
    "",
    IFERROR(IF(_xlfn.XLOOKUP($A18, INDIRECT("'" &amp; X$2 &amp; "'!$A:$A"), INDIRECT("'" &amp; X$2 &amp; "'!$B:$B"), "")&lt;&gt;"", "✓", "✗"), "✗")
)</f>
        <v/>
      </c>
      <c r="Y18">
        <f t="array" ref="Y18">IF(
    ISNUMBER(VALUE(LEFT($A18, 1))),
    "",
    IFERROR(IF(_xlfn.XLOOKUP($A18, INDIRECT("'" &amp; Y$2 &amp; "'!$A:$A"), INDIRECT("'" &amp; Y$2 &amp; "'!$B:$B"), "")&lt;&gt;"", "✓", "✗"), "✗")
)</f>
        <v/>
      </c>
      <c r="Z18">
        <f t="array" ref="Z18">IF(
    ISNUMBER(VALUE(LEFT($A18, 1))),
    "",
    IFERROR(IF(_xlfn.XLOOKUP($A18, INDIRECT("'" &amp; Z$2 &amp; "'!$A:$A"), INDIRECT("'" &amp; Z$2 &amp; "'!$B:$B"), "")&lt;&gt;"", "✓", "✗"), "✗")
)</f>
        <v/>
      </c>
      <c r="AA18">
        <f t="array" ref="AA18">IF(
    ISNUMBER(VALUE(LEFT($A18, 1))),
    "",
    IFERROR(IF(_xlfn.XLOOKUP($A18, INDIRECT("'" &amp; AA$2 &amp; "'!$A:$A"), INDIRECT("'" &amp; AA$2 &amp; "'!$B:$B"), "")&lt;&gt;"", "✓", "✗"), "✗")
)</f>
        <v/>
      </c>
      <c r="AB18">
        <f t="array" ref="AB18">IF(
    ISNUMBER(VALUE(LEFT($A18, 1))),
    "",
    IFERROR(IF(_xlfn.XLOOKUP($A18, INDIRECT("'" &amp; AB$2 &amp; "'!$A:$A"), INDIRECT("'" &amp; AB$2 &amp; "'!$B:$B"), "")&lt;&gt;"", "✓", "✗"), "✗")
)</f>
        <v/>
      </c>
      <c r="AC18">
        <f t="array" ref="AC18">IF(
    ISNUMBER(VALUE(LEFT($A18, 1))),
    "",
    IFERROR(IF(_xlfn.XLOOKUP($A18, INDIRECT("'" &amp; AC$2 &amp; "'!$A:$A"), INDIRECT("'" &amp; AC$2 &amp; "'!$B:$B"), "")&lt;&gt;"", "✓", "✗"), "✗")
)</f>
        <v/>
      </c>
      <c r="AD18">
        <f t="array" ref="AD18">IF(
    ISNUMBER(VALUE(LEFT($A18, 1))),
    "",
    IFERROR(IF(_xlfn.XLOOKUP($A18, INDIRECT("'" &amp; AD$2 &amp; "'!$A:$A"), INDIRECT("'" &amp; AD$2 &amp; "'!$B:$B"), "")&lt;&gt;"", "✓", "✗"), "✗")
)</f>
        <v/>
      </c>
      <c r="AE18">
        <f t="array" ref="AE18">IF(
    ISNUMBER(VALUE(LEFT($A18, 1))),
    "",
    IFERROR(IF(_xlfn.XLOOKUP($A18, INDIRECT("'" &amp; AE$2 &amp; "'!$A:$A"), INDIRECT("'" &amp; AE$2 &amp; "'!$B:$B"), "")&lt;&gt;"", "✓", "✗"), "✗")
)</f>
        <v/>
      </c>
      <c r="AF18">
        <f t="array" ref="AF18">IF(
    ISNUMBER(VALUE(LEFT($A18, 1))),
    "",
    IFERROR(IF(_xlfn.XLOOKUP($A18, INDIRECT("'" &amp; AF$2 &amp; "'!$A:$A"), INDIRECT("'" &amp; AF$2 &amp; "'!$B:$B"), "")&lt;&gt;"", "✓", "✗"), "✗")
)</f>
        <v/>
      </c>
      <c r="AG18">
        <f t="array" ref="AG18">IF(
    ISNUMBER(VALUE(LEFT($A18, 1))),
    "",
    IFERROR(IF(_xlfn.XLOOKUP($A18, INDIRECT("'" &amp; AG$2 &amp; "'!$A:$A"), INDIRECT("'" &amp; AG$2 &amp; "'!$B:$B"), "")&lt;&gt;"", "✓", "✗"), "✗")
)</f>
        <v/>
      </c>
    </row>
    <row r="19">
      <c r="A19" t="inlineStr">
        <is>
          <t>OK to Email</t>
        </is>
      </c>
      <c r="B19">
        <f t="array" ref="B19">IF(
    ISNUMBER(VALUE(LEFT($A19, 1))),
    "",
    IFERROR(IF(_xlfn.XLOOKUP($A19, INDIRECT("'" &amp; B$2 &amp; "'!$A:$A"), INDIRECT("'" &amp; B$2 &amp; "'!$B:$B"), "")&lt;&gt;"", "✓", "✗"), "✗")
)</f>
        <v/>
      </c>
      <c r="C19">
        <f t="array" ref="C19">IF(
    ISNUMBER(VALUE(LEFT($A19, 1))),
    "",
    IFERROR(IF(_xlfn.XLOOKUP($A19, INDIRECT("'" &amp; C$2 &amp; "'!$A:$A"), INDIRECT("'" &amp; C$2 &amp; "'!$B:$B"), "")&lt;&gt;"", "✓", "✗"), "✗")
)</f>
        <v/>
      </c>
      <c r="D19">
        <f t="array" ref="D19">IF(
    ISNUMBER(VALUE(LEFT($A19, 1))),
    "",
    IFERROR(IF(_xlfn.XLOOKUP($A19, INDIRECT("'" &amp; D$2 &amp; "'!$A:$A"), INDIRECT("'" &amp; D$2 &amp; "'!$B:$B"), "")&lt;&gt;"", "✓", "✗"), "✗")
)</f>
        <v/>
      </c>
      <c r="E19">
        <f t="array" ref="E19">IF(
    ISNUMBER(VALUE(LEFT($A19, 1))),
    "",
    IFERROR(IF(_xlfn.XLOOKUP($A19, INDIRECT("'" &amp; E$2 &amp; "'!$A:$A"), INDIRECT("'" &amp; E$2 &amp; "'!$B:$B"), "")&lt;&gt;"", "✓", "✗"), "✗")
)</f>
        <v/>
      </c>
      <c r="F19">
        <f t="array" ref="F19">IF(
    ISNUMBER(VALUE(LEFT($A19, 1))),
    "",
    IFERROR(IF(_xlfn.XLOOKUP($A19, INDIRECT("'" &amp; F$2 &amp; "'!$A:$A"), INDIRECT("'" &amp; F$2 &amp; "'!$B:$B"), "")&lt;&gt;"", "✓", "✗"), "✗")
)</f>
        <v/>
      </c>
      <c r="G19">
        <f t="array" ref="G19">IF(
    ISNUMBER(VALUE(LEFT($A19, 1))),
    "",
    IFERROR(IF(_xlfn.XLOOKUP($A19, INDIRECT("'" &amp; G$2 &amp; "'!$A:$A"), INDIRECT("'" &amp; G$2 &amp; "'!$B:$B"), "")&lt;&gt;"", "✓", "✗"), "✗")
)</f>
        <v/>
      </c>
      <c r="H19">
        <f t="array" ref="H19">IF(
    ISNUMBER(VALUE(LEFT($A19, 1))),
    "",
    IFERROR(IF(_xlfn.XLOOKUP($A19, INDIRECT("'" &amp; H$2 &amp; "'!$A:$A"), INDIRECT("'" &amp; H$2 &amp; "'!$B:$B"), "")&lt;&gt;"", "✓", "✗"), "✗")
)</f>
        <v/>
      </c>
      <c r="I19">
        <f t="array" ref="I19">IF(
    ISNUMBER(VALUE(LEFT($A19, 1))),
    "",
    IFERROR(IF(_xlfn.XLOOKUP($A19, INDIRECT("'" &amp; I$2 &amp; "'!$A:$A"), INDIRECT("'" &amp; I$2 &amp; "'!$B:$B"), "")&lt;&gt;"", "✓", "✗"), "✗")
)</f>
        <v/>
      </c>
      <c r="J19">
        <f t="array" ref="J19">IF(
    ISNUMBER(VALUE(LEFT($A19, 1))),
    "",
    IFERROR(IF(_xlfn.XLOOKUP($A19, INDIRECT("'" &amp; J$2 &amp; "'!$A:$A"), INDIRECT("'" &amp; J$2 &amp; "'!$B:$B"), "")&lt;&gt;"", "✓", "✗"), "✗")
)</f>
        <v/>
      </c>
      <c r="K19">
        <f t="array" ref="K19">IF(
    ISNUMBER(VALUE(LEFT($A19, 1))),
    "",
    IFERROR(IF(_xlfn.XLOOKUP($A19, INDIRECT("'" &amp; K$2 &amp; "'!$A:$A"), INDIRECT("'" &amp; K$2 &amp; "'!$B:$B"), "")&lt;&gt;"", "✓", "✗"), "✗")
)</f>
        <v/>
      </c>
      <c r="L19">
        <f t="array" ref="L19">IF(
    ISNUMBER(VALUE(LEFT($A19, 1))),
    "",
    IFERROR(IF(_xlfn.XLOOKUP($A19, INDIRECT("'" &amp; L$2 &amp; "'!$A:$A"), INDIRECT("'" &amp; L$2 &amp; "'!$B:$B"), "")&lt;&gt;"", "✓", "✗"), "✗")
)</f>
        <v/>
      </c>
      <c r="M19">
        <f t="array" ref="M19">IF(
    ISNUMBER(VALUE(LEFT($A19, 1))),
    "",
    IFERROR(IF(_xlfn.XLOOKUP($A19, INDIRECT("'" &amp; M$2 &amp; "'!$A:$A"), INDIRECT("'" &amp; M$2 &amp; "'!$B:$B"), "")&lt;&gt;"", "✓", "✗"), "✗")
)</f>
        <v/>
      </c>
      <c r="N19">
        <f t="array" ref="N19">IF(
    ISNUMBER(VALUE(LEFT($A19, 1))),
    "",
    IFERROR(IF(_xlfn.XLOOKUP($A19, INDIRECT("'" &amp; N$2 &amp; "'!$A:$A"), INDIRECT("'" &amp; N$2 &amp; "'!$B:$B"), "")&lt;&gt;"", "✓", "✗"), "✗")
)</f>
        <v/>
      </c>
      <c r="O19">
        <f t="array" ref="O19">IF(
    ISNUMBER(VALUE(LEFT($A19, 1))),
    "",
    IFERROR(IF(_xlfn.XLOOKUP($A19, INDIRECT("'" &amp; O$2 &amp; "'!$A:$A"), INDIRECT("'" &amp; O$2 &amp; "'!$B:$B"), "")&lt;&gt;"", "✓", "✗"), "✗")
)</f>
        <v/>
      </c>
      <c r="P19">
        <f t="array" ref="P19">IF(
    ISNUMBER(VALUE(LEFT($A19, 1))),
    "",
    IFERROR(IF(_xlfn.XLOOKUP($A19, INDIRECT("'" &amp; P$2 &amp; "'!$A:$A"), INDIRECT("'" &amp; P$2 &amp; "'!$B:$B"), "")&lt;&gt;"", "✓", "✗"), "✗")
)</f>
        <v/>
      </c>
      <c r="Q19">
        <f t="array" ref="Q19">IF(
    ISNUMBER(VALUE(LEFT($A19, 1))),
    "",
    IFERROR(IF(_xlfn.XLOOKUP($A19, INDIRECT("'" &amp; Q$2 &amp; "'!$A:$A"), INDIRECT("'" &amp; Q$2 &amp; "'!$B:$B"), "")&lt;&gt;"", "✓", "✗"), "✗")
)</f>
        <v/>
      </c>
      <c r="R19">
        <f t="array" ref="R19">IF(
    ISNUMBER(VALUE(LEFT($A19, 1))),
    "",
    IFERROR(IF(_xlfn.XLOOKUP($A19, INDIRECT("'" &amp; R$2 &amp; "'!$A:$A"), INDIRECT("'" &amp; R$2 &amp; "'!$B:$B"), "")&lt;&gt;"", "✓", "✗"), "✗")
)</f>
        <v/>
      </c>
      <c r="S19">
        <f t="array" ref="S19">IF(
    ISNUMBER(VALUE(LEFT($A19, 1))),
    "",
    IFERROR(IF(_xlfn.XLOOKUP($A19, INDIRECT("'" &amp; S$2 &amp; "'!$A:$A"), INDIRECT("'" &amp; S$2 &amp; "'!$B:$B"), "")&lt;&gt;"", "✓", "✗"), "✗")
)</f>
        <v/>
      </c>
      <c r="T19">
        <f t="array" ref="T19">IF(
    ISNUMBER(VALUE(LEFT($A19, 1))),
    "",
    IFERROR(IF(_xlfn.XLOOKUP($A19, INDIRECT("'" &amp; T$2 &amp; "'!$A:$A"), INDIRECT("'" &amp; T$2 &amp; "'!$B:$B"), "")&lt;&gt;"", "✓", "✗"), "✗")
)</f>
        <v/>
      </c>
      <c r="U19">
        <f t="array" ref="U19">IF(
    ISNUMBER(VALUE(LEFT($A19, 1))),
    "",
    IFERROR(IF(_xlfn.XLOOKUP($A19, INDIRECT("'" &amp; U$2 &amp; "'!$A:$A"), INDIRECT("'" &amp; U$2 &amp; "'!$B:$B"), "")&lt;&gt;"", "✓", "✗"), "✗")
)</f>
        <v/>
      </c>
      <c r="V19">
        <f t="array" ref="V19">IF(
    ISNUMBER(VALUE(LEFT($A19, 1))),
    "",
    IFERROR(IF(_xlfn.XLOOKUP($A19, INDIRECT("'" &amp; V$2 &amp; "'!$A:$A"), INDIRECT("'" &amp; V$2 &amp; "'!$B:$B"), "")&lt;&gt;"", "✓", "✗"), "✗")
)</f>
        <v/>
      </c>
      <c r="W19">
        <f t="array" ref="W19">IF(
    ISNUMBER(VALUE(LEFT($A19, 1))),
    "",
    IFERROR(IF(_xlfn.XLOOKUP($A19, INDIRECT("'" &amp; W$2 &amp; "'!$A:$A"), INDIRECT("'" &amp; W$2 &amp; "'!$B:$B"), "")&lt;&gt;"", "✓", "✗"), "✗")
)</f>
        <v/>
      </c>
      <c r="X19">
        <f t="array" ref="X19">IF(
    ISNUMBER(VALUE(LEFT($A19, 1))),
    "",
    IFERROR(IF(_xlfn.XLOOKUP($A19, INDIRECT("'" &amp; X$2 &amp; "'!$A:$A"), INDIRECT("'" &amp; X$2 &amp; "'!$B:$B"), "")&lt;&gt;"", "✓", "✗"), "✗")
)</f>
        <v/>
      </c>
      <c r="Y19">
        <f t="array" ref="Y19">IF(
    ISNUMBER(VALUE(LEFT($A19, 1))),
    "",
    IFERROR(IF(_xlfn.XLOOKUP($A19, INDIRECT("'" &amp; Y$2 &amp; "'!$A:$A"), INDIRECT("'" &amp; Y$2 &amp; "'!$B:$B"), "")&lt;&gt;"", "✓", "✗"), "✗")
)</f>
        <v/>
      </c>
      <c r="Z19">
        <f t="array" ref="Z19">IF(
    ISNUMBER(VALUE(LEFT($A19, 1))),
    "",
    IFERROR(IF(_xlfn.XLOOKUP($A19, INDIRECT("'" &amp; Z$2 &amp; "'!$A:$A"), INDIRECT("'" &amp; Z$2 &amp; "'!$B:$B"), "")&lt;&gt;"", "✓", "✗"), "✗")
)</f>
        <v/>
      </c>
      <c r="AA19">
        <f t="array" ref="AA19">IF(
    ISNUMBER(VALUE(LEFT($A19, 1))),
    "",
    IFERROR(IF(_xlfn.XLOOKUP($A19, INDIRECT("'" &amp; AA$2 &amp; "'!$A:$A"), INDIRECT("'" &amp; AA$2 &amp; "'!$B:$B"), "")&lt;&gt;"", "✓", "✗"), "✗")
)</f>
        <v/>
      </c>
      <c r="AB19">
        <f t="array" ref="AB19">IF(
    ISNUMBER(VALUE(LEFT($A19, 1))),
    "",
    IFERROR(IF(_xlfn.XLOOKUP($A19, INDIRECT("'" &amp; AB$2 &amp; "'!$A:$A"), INDIRECT("'" &amp; AB$2 &amp; "'!$B:$B"), "")&lt;&gt;"", "✓", "✗"), "✗")
)</f>
        <v/>
      </c>
      <c r="AC19">
        <f t="array" ref="AC19">IF(
    ISNUMBER(VALUE(LEFT($A19, 1))),
    "",
    IFERROR(IF(_xlfn.XLOOKUP($A19, INDIRECT("'" &amp; AC$2 &amp; "'!$A:$A"), INDIRECT("'" &amp; AC$2 &amp; "'!$B:$B"), "")&lt;&gt;"", "✓", "✗"), "✗")
)</f>
        <v/>
      </c>
      <c r="AD19">
        <f t="array" ref="AD19">IF(
    ISNUMBER(VALUE(LEFT($A19, 1))),
    "",
    IFERROR(IF(_xlfn.XLOOKUP($A19, INDIRECT("'" &amp; AD$2 &amp; "'!$A:$A"), INDIRECT("'" &amp; AD$2 &amp; "'!$B:$B"), "")&lt;&gt;"", "✓", "✗"), "✗")
)</f>
        <v/>
      </c>
      <c r="AE19">
        <f t="array" ref="AE19">IF(
    ISNUMBER(VALUE(LEFT($A19, 1))),
    "",
    IFERROR(IF(_xlfn.XLOOKUP($A19, INDIRECT("'" &amp; AE$2 &amp; "'!$A:$A"), INDIRECT("'" &amp; AE$2 &amp; "'!$B:$B"), "")&lt;&gt;"", "✓", "✗"), "✗")
)</f>
        <v/>
      </c>
      <c r="AF19">
        <f t="array" ref="AF19">IF(
    ISNUMBER(VALUE(LEFT($A19, 1))),
    "",
    IFERROR(IF(_xlfn.XLOOKUP($A19, INDIRECT("'" &amp; AF$2 &amp; "'!$A:$A"), INDIRECT("'" &amp; AF$2 &amp; "'!$B:$B"), "")&lt;&gt;"", "✓", "✗"), "✗")
)</f>
        <v/>
      </c>
      <c r="AG19">
        <f t="array" ref="AG19">IF(
    ISNUMBER(VALUE(LEFT($A19, 1))),
    "",
    IFERROR(IF(_xlfn.XLOOKUP($A19, INDIRECT("'" &amp; AG$2 &amp; "'!$A:$A"), INDIRECT("'" &amp; AG$2 &amp; "'!$B:$B"), "")&lt;&gt;"", "✓", "✗"), "✗")
)</f>
        <v/>
      </c>
    </row>
    <row r="20">
      <c r="A20" t="inlineStr">
        <is>
          <t>Phone Status</t>
        </is>
      </c>
      <c r="B20">
        <f t="array" ref="B20">IF(
    ISNUMBER(VALUE(LEFT($A20, 1))),
    "",
    IFERROR(IF(_xlfn.XLOOKUP($A20, INDIRECT("'" &amp; B$2 &amp; "'!$A:$A"), INDIRECT("'" &amp; B$2 &amp; "'!$B:$B"), "")&lt;&gt;"", "✓", "✗"), "✗")
)</f>
        <v/>
      </c>
      <c r="C20">
        <f t="array" ref="C20">IF(
    ISNUMBER(VALUE(LEFT($A20, 1))),
    "",
    IFERROR(IF(_xlfn.XLOOKUP($A20, INDIRECT("'" &amp; C$2 &amp; "'!$A:$A"), INDIRECT("'" &amp; C$2 &amp; "'!$B:$B"), "")&lt;&gt;"", "✓", "✗"), "✗")
)</f>
        <v/>
      </c>
      <c r="D20">
        <f t="array" ref="D20">IF(
    ISNUMBER(VALUE(LEFT($A20, 1))),
    "",
    IFERROR(IF(_xlfn.XLOOKUP($A20, INDIRECT("'" &amp; D$2 &amp; "'!$A:$A"), INDIRECT("'" &amp; D$2 &amp; "'!$B:$B"), "")&lt;&gt;"", "✓", "✗"), "✗")
)</f>
        <v/>
      </c>
      <c r="E20">
        <f t="array" ref="E20">IF(
    ISNUMBER(VALUE(LEFT($A20, 1))),
    "",
    IFERROR(IF(_xlfn.XLOOKUP($A20, INDIRECT("'" &amp; E$2 &amp; "'!$A:$A"), INDIRECT("'" &amp; E$2 &amp; "'!$B:$B"), "")&lt;&gt;"", "✓", "✗"), "✗")
)</f>
        <v/>
      </c>
      <c r="F20">
        <f t="array" ref="F20">IF(
    ISNUMBER(VALUE(LEFT($A20, 1))),
    "",
    IFERROR(IF(_xlfn.XLOOKUP($A20, INDIRECT("'" &amp; F$2 &amp; "'!$A:$A"), INDIRECT("'" &amp; F$2 &amp; "'!$B:$B"), "")&lt;&gt;"", "✓", "✗"), "✗")
)</f>
        <v/>
      </c>
      <c r="G20">
        <f t="array" ref="G20">IF(
    ISNUMBER(VALUE(LEFT($A20, 1))),
    "",
    IFERROR(IF(_xlfn.XLOOKUP($A20, INDIRECT("'" &amp; G$2 &amp; "'!$A:$A"), INDIRECT("'" &amp; G$2 &amp; "'!$B:$B"), "")&lt;&gt;"", "✓", "✗"), "✗")
)</f>
        <v/>
      </c>
      <c r="H20">
        <f t="array" ref="H20">IF(
    ISNUMBER(VALUE(LEFT($A20, 1))),
    "",
    IFERROR(IF(_xlfn.XLOOKUP($A20, INDIRECT("'" &amp; H$2 &amp; "'!$A:$A"), INDIRECT("'" &amp; H$2 &amp; "'!$B:$B"), "")&lt;&gt;"", "✓", "✗"), "✗")
)</f>
        <v/>
      </c>
      <c r="I20">
        <f t="array" ref="I20">IF(
    ISNUMBER(VALUE(LEFT($A20, 1))),
    "",
    IFERROR(IF(_xlfn.XLOOKUP($A20, INDIRECT("'" &amp; I$2 &amp; "'!$A:$A"), INDIRECT("'" &amp; I$2 &amp; "'!$B:$B"), "")&lt;&gt;"", "✓", "✗"), "✗")
)</f>
        <v/>
      </c>
      <c r="J20">
        <f t="array" ref="J20">IF(
    ISNUMBER(VALUE(LEFT($A20, 1))),
    "",
    IFERROR(IF(_xlfn.XLOOKUP($A20, INDIRECT("'" &amp; J$2 &amp; "'!$A:$A"), INDIRECT("'" &amp; J$2 &amp; "'!$B:$B"), "")&lt;&gt;"", "✓", "✗"), "✗")
)</f>
        <v/>
      </c>
      <c r="K20">
        <f t="array" ref="K20">IF(
    ISNUMBER(VALUE(LEFT($A20, 1))),
    "",
    IFERROR(IF(_xlfn.XLOOKUP($A20, INDIRECT("'" &amp; K$2 &amp; "'!$A:$A"), INDIRECT("'" &amp; K$2 &amp; "'!$B:$B"), "")&lt;&gt;"", "✓", "✗"), "✗")
)</f>
        <v/>
      </c>
      <c r="L20">
        <f t="array" ref="L20">IF(
    ISNUMBER(VALUE(LEFT($A20, 1))),
    "",
    IFERROR(IF(_xlfn.XLOOKUP($A20, INDIRECT("'" &amp; L$2 &amp; "'!$A:$A"), INDIRECT("'" &amp; L$2 &amp; "'!$B:$B"), "")&lt;&gt;"", "✓", "✗"), "✗")
)</f>
        <v/>
      </c>
      <c r="M20">
        <f t="array" ref="M20">IF(
    ISNUMBER(VALUE(LEFT($A20, 1))),
    "",
    IFERROR(IF(_xlfn.XLOOKUP($A20, INDIRECT("'" &amp; M$2 &amp; "'!$A:$A"), INDIRECT("'" &amp; M$2 &amp; "'!$B:$B"), "")&lt;&gt;"", "✓", "✗"), "✗")
)</f>
        <v/>
      </c>
      <c r="N20">
        <f t="array" ref="N20">IF(
    ISNUMBER(VALUE(LEFT($A20, 1))),
    "",
    IFERROR(IF(_xlfn.XLOOKUP($A20, INDIRECT("'" &amp; N$2 &amp; "'!$A:$A"), INDIRECT("'" &amp; N$2 &amp; "'!$B:$B"), "")&lt;&gt;"", "✓", "✗"), "✗")
)</f>
        <v/>
      </c>
      <c r="O20">
        <f t="array" ref="O20">IF(
    ISNUMBER(VALUE(LEFT($A20, 1))),
    "",
    IFERROR(IF(_xlfn.XLOOKUP($A20, INDIRECT("'" &amp; O$2 &amp; "'!$A:$A"), INDIRECT("'" &amp; O$2 &amp; "'!$B:$B"), "")&lt;&gt;"", "✓", "✗"), "✗")
)</f>
        <v/>
      </c>
      <c r="P20">
        <f t="array" ref="P20">IF(
    ISNUMBER(VALUE(LEFT($A20, 1))),
    "",
    IFERROR(IF(_xlfn.XLOOKUP($A20, INDIRECT("'" &amp; P$2 &amp; "'!$A:$A"), INDIRECT("'" &amp; P$2 &amp; "'!$B:$B"), "")&lt;&gt;"", "✓", "✗"), "✗")
)</f>
        <v/>
      </c>
      <c r="Q20">
        <f t="array" ref="Q20">IF(
    ISNUMBER(VALUE(LEFT($A20, 1))),
    "",
    IFERROR(IF(_xlfn.XLOOKUP($A20, INDIRECT("'" &amp; Q$2 &amp; "'!$A:$A"), INDIRECT("'" &amp; Q$2 &amp; "'!$B:$B"), "")&lt;&gt;"", "✓", "✗"), "✗")
)</f>
        <v/>
      </c>
      <c r="R20">
        <f t="array" ref="R20">IF(
    ISNUMBER(VALUE(LEFT($A20, 1))),
    "",
    IFERROR(IF(_xlfn.XLOOKUP($A20, INDIRECT("'" &amp; R$2 &amp; "'!$A:$A"), INDIRECT("'" &amp; R$2 &amp; "'!$B:$B"), "")&lt;&gt;"", "✓", "✗"), "✗")
)</f>
        <v/>
      </c>
      <c r="S20">
        <f t="array" ref="S20">IF(
    ISNUMBER(VALUE(LEFT($A20, 1))),
    "",
    IFERROR(IF(_xlfn.XLOOKUP($A20, INDIRECT("'" &amp; S$2 &amp; "'!$A:$A"), INDIRECT("'" &amp; S$2 &amp; "'!$B:$B"), "")&lt;&gt;"", "✓", "✗"), "✗")
)</f>
        <v/>
      </c>
      <c r="T20">
        <f t="array" ref="T20">IF(
    ISNUMBER(VALUE(LEFT($A20, 1))),
    "",
    IFERROR(IF(_xlfn.XLOOKUP($A20, INDIRECT("'" &amp; T$2 &amp; "'!$A:$A"), INDIRECT("'" &amp; T$2 &amp; "'!$B:$B"), "")&lt;&gt;"", "✓", "✗"), "✗")
)</f>
        <v/>
      </c>
      <c r="U20">
        <f t="array" ref="U20">IF(
    ISNUMBER(VALUE(LEFT($A20, 1))),
    "",
    IFERROR(IF(_xlfn.XLOOKUP($A20, INDIRECT("'" &amp; U$2 &amp; "'!$A:$A"), INDIRECT("'" &amp; U$2 &amp; "'!$B:$B"), "")&lt;&gt;"", "✓", "✗"), "✗")
)</f>
        <v/>
      </c>
      <c r="V20">
        <f t="array" ref="V20">IF(
    ISNUMBER(VALUE(LEFT($A20, 1))),
    "",
    IFERROR(IF(_xlfn.XLOOKUP($A20, INDIRECT("'" &amp; V$2 &amp; "'!$A:$A"), INDIRECT("'" &amp; V$2 &amp; "'!$B:$B"), "")&lt;&gt;"", "✓", "✗"), "✗")
)</f>
        <v/>
      </c>
      <c r="W20">
        <f t="array" ref="W20">IF(
    ISNUMBER(VALUE(LEFT($A20, 1))),
    "",
    IFERROR(IF(_xlfn.XLOOKUP($A20, INDIRECT("'" &amp; W$2 &amp; "'!$A:$A"), INDIRECT("'" &amp; W$2 &amp; "'!$B:$B"), "")&lt;&gt;"", "✓", "✗"), "✗")
)</f>
        <v/>
      </c>
      <c r="X20">
        <f t="array" ref="X20">IF(
    ISNUMBER(VALUE(LEFT($A20, 1))),
    "",
    IFERROR(IF(_xlfn.XLOOKUP($A20, INDIRECT("'" &amp; X$2 &amp; "'!$A:$A"), INDIRECT("'" &amp; X$2 &amp; "'!$B:$B"), "")&lt;&gt;"", "✓", "✗"), "✗")
)</f>
        <v/>
      </c>
      <c r="Y20">
        <f t="array" ref="Y20">IF(
    ISNUMBER(VALUE(LEFT($A20, 1))),
    "",
    IFERROR(IF(_xlfn.XLOOKUP($A20, INDIRECT("'" &amp; Y$2 &amp; "'!$A:$A"), INDIRECT("'" &amp; Y$2 &amp; "'!$B:$B"), "")&lt;&gt;"", "✓", "✗"), "✗")
)</f>
        <v/>
      </c>
      <c r="Z20">
        <f t="array" ref="Z20">IF(
    ISNUMBER(VALUE(LEFT($A20, 1))),
    "",
    IFERROR(IF(_xlfn.XLOOKUP($A20, INDIRECT("'" &amp; Z$2 &amp; "'!$A:$A"), INDIRECT("'" &amp; Z$2 &amp; "'!$B:$B"), "")&lt;&gt;"", "✓", "✗"), "✗")
)</f>
        <v/>
      </c>
      <c r="AA20">
        <f t="array" ref="AA20">IF(
    ISNUMBER(VALUE(LEFT($A20, 1))),
    "",
    IFERROR(IF(_xlfn.XLOOKUP($A20, INDIRECT("'" &amp; AA$2 &amp; "'!$A:$A"), INDIRECT("'" &amp; AA$2 &amp; "'!$B:$B"), "")&lt;&gt;"", "✓", "✗"), "✗")
)</f>
        <v/>
      </c>
      <c r="AB20">
        <f t="array" ref="AB20">IF(
    ISNUMBER(VALUE(LEFT($A20, 1))),
    "",
    IFERROR(IF(_xlfn.XLOOKUP($A20, INDIRECT("'" &amp; AB$2 &amp; "'!$A:$A"), INDIRECT("'" &amp; AB$2 &amp; "'!$B:$B"), "")&lt;&gt;"", "✓", "✗"), "✗")
)</f>
        <v/>
      </c>
      <c r="AC20">
        <f t="array" ref="AC20">IF(
    ISNUMBER(VALUE(LEFT($A20, 1))),
    "",
    IFERROR(IF(_xlfn.XLOOKUP($A20, INDIRECT("'" &amp; AC$2 &amp; "'!$A:$A"), INDIRECT("'" &amp; AC$2 &amp; "'!$B:$B"), "")&lt;&gt;"", "✓", "✗"), "✗")
)</f>
        <v/>
      </c>
      <c r="AD20">
        <f t="array" ref="AD20">IF(
    ISNUMBER(VALUE(LEFT($A20, 1))),
    "",
    IFERROR(IF(_xlfn.XLOOKUP($A20, INDIRECT("'" &amp; AD$2 &amp; "'!$A:$A"), INDIRECT("'" &amp; AD$2 &amp; "'!$B:$B"), "")&lt;&gt;"", "✓", "✗"), "✗")
)</f>
        <v/>
      </c>
      <c r="AE20">
        <f t="array" ref="AE20">IF(
    ISNUMBER(VALUE(LEFT($A20, 1))),
    "",
    IFERROR(IF(_xlfn.XLOOKUP($A20, INDIRECT("'" &amp; AE$2 &amp; "'!$A:$A"), INDIRECT("'" &amp; AE$2 &amp; "'!$B:$B"), "")&lt;&gt;"", "✓", "✗"), "✗")
)</f>
        <v/>
      </c>
      <c r="AF20">
        <f t="array" ref="AF20">IF(
    ISNUMBER(VALUE(LEFT($A20, 1))),
    "",
    IFERROR(IF(_xlfn.XLOOKUP($A20, INDIRECT("'" &amp; AF$2 &amp; "'!$A:$A"), INDIRECT("'" &amp; AF$2 &amp; "'!$B:$B"), "")&lt;&gt;"", "✓", "✗"), "✗")
)</f>
        <v/>
      </c>
      <c r="AG20">
        <f t="array" ref="AG20">IF(
    ISNUMBER(VALUE(LEFT($A20, 1))),
    "",
    IFERROR(IF(_xlfn.XLOOKUP($A20, INDIRECT("'" &amp; AG$2 &amp; "'!$A:$A"), INDIRECT("'" &amp; AG$2 &amp; "'!$B:$B"), "")&lt;&gt;"", "✓", "✗"), "✗")
)</f>
        <v/>
      </c>
    </row>
    <row r="21">
      <c r="A21" t="inlineStr">
        <is>
          <t>OK to Call</t>
        </is>
      </c>
      <c r="B21">
        <f t="array" ref="B21">IF(
    ISNUMBER(VALUE(LEFT($A21, 1))),
    "",
    IFERROR(IF(_xlfn.XLOOKUP($A21, INDIRECT("'" &amp; B$2 &amp; "'!$A:$A"), INDIRECT("'" &amp; B$2 &amp; "'!$B:$B"), "")&lt;&gt;"", "✓", "✗"), "✗")
)</f>
        <v/>
      </c>
      <c r="C21">
        <f t="array" ref="C21">IF(
    ISNUMBER(VALUE(LEFT($A21, 1))),
    "",
    IFERROR(IF(_xlfn.XLOOKUP($A21, INDIRECT("'" &amp; C$2 &amp; "'!$A:$A"), INDIRECT("'" &amp; C$2 &amp; "'!$B:$B"), "")&lt;&gt;"", "✓", "✗"), "✗")
)</f>
        <v/>
      </c>
      <c r="D21">
        <f t="array" ref="D21">IF(
    ISNUMBER(VALUE(LEFT($A21, 1))),
    "",
    IFERROR(IF(_xlfn.XLOOKUP($A21, INDIRECT("'" &amp; D$2 &amp; "'!$A:$A"), INDIRECT("'" &amp; D$2 &amp; "'!$B:$B"), "")&lt;&gt;"", "✓", "✗"), "✗")
)</f>
        <v/>
      </c>
      <c r="E21">
        <f t="array" ref="E21">IF(
    ISNUMBER(VALUE(LEFT($A21, 1))),
    "",
    IFERROR(IF(_xlfn.XLOOKUP($A21, INDIRECT("'" &amp; E$2 &amp; "'!$A:$A"), INDIRECT("'" &amp; E$2 &amp; "'!$B:$B"), "")&lt;&gt;"", "✓", "✗"), "✗")
)</f>
        <v/>
      </c>
      <c r="F21">
        <f t="array" ref="F21">IF(
    ISNUMBER(VALUE(LEFT($A21, 1))),
    "",
    IFERROR(IF(_xlfn.XLOOKUP($A21, INDIRECT("'" &amp; F$2 &amp; "'!$A:$A"), INDIRECT("'" &amp; F$2 &amp; "'!$B:$B"), "")&lt;&gt;"", "✓", "✗"), "✗")
)</f>
        <v/>
      </c>
      <c r="G21">
        <f t="array" ref="G21">IF(
    ISNUMBER(VALUE(LEFT($A21, 1))),
    "",
    IFERROR(IF(_xlfn.XLOOKUP($A21, INDIRECT("'" &amp; G$2 &amp; "'!$A:$A"), INDIRECT("'" &amp; G$2 &amp; "'!$B:$B"), "")&lt;&gt;"", "✓", "✗"), "✗")
)</f>
        <v/>
      </c>
      <c r="H21">
        <f t="array" ref="H21">IF(
    ISNUMBER(VALUE(LEFT($A21, 1))),
    "",
    IFERROR(IF(_xlfn.XLOOKUP($A21, INDIRECT("'" &amp; H$2 &amp; "'!$A:$A"), INDIRECT("'" &amp; H$2 &amp; "'!$B:$B"), "")&lt;&gt;"", "✓", "✗"), "✗")
)</f>
        <v/>
      </c>
      <c r="I21">
        <f t="array" ref="I21">IF(
    ISNUMBER(VALUE(LEFT($A21, 1))),
    "",
    IFERROR(IF(_xlfn.XLOOKUP($A21, INDIRECT("'" &amp; I$2 &amp; "'!$A:$A"), INDIRECT("'" &amp; I$2 &amp; "'!$B:$B"), "")&lt;&gt;"", "✓", "✗"), "✗")
)</f>
        <v/>
      </c>
      <c r="J21">
        <f t="array" ref="J21">IF(
    ISNUMBER(VALUE(LEFT($A21, 1))),
    "",
    IFERROR(IF(_xlfn.XLOOKUP($A21, INDIRECT("'" &amp; J$2 &amp; "'!$A:$A"), INDIRECT("'" &amp; J$2 &amp; "'!$B:$B"), "")&lt;&gt;"", "✓", "✗"), "✗")
)</f>
        <v/>
      </c>
      <c r="K21">
        <f t="array" ref="K21">IF(
    ISNUMBER(VALUE(LEFT($A21, 1))),
    "",
    IFERROR(IF(_xlfn.XLOOKUP($A21, INDIRECT("'" &amp; K$2 &amp; "'!$A:$A"), INDIRECT("'" &amp; K$2 &amp; "'!$B:$B"), "")&lt;&gt;"", "✓", "✗"), "✗")
)</f>
        <v/>
      </c>
      <c r="L21">
        <f t="array" ref="L21">IF(
    ISNUMBER(VALUE(LEFT($A21, 1))),
    "",
    IFERROR(IF(_xlfn.XLOOKUP($A21, INDIRECT("'" &amp; L$2 &amp; "'!$A:$A"), INDIRECT("'" &amp; L$2 &amp; "'!$B:$B"), "")&lt;&gt;"", "✓", "✗"), "✗")
)</f>
        <v/>
      </c>
      <c r="M21">
        <f t="array" ref="M21">IF(
    ISNUMBER(VALUE(LEFT($A21, 1))),
    "",
    IFERROR(IF(_xlfn.XLOOKUP($A21, INDIRECT("'" &amp; M$2 &amp; "'!$A:$A"), INDIRECT("'" &amp; M$2 &amp; "'!$B:$B"), "")&lt;&gt;"", "✓", "✗"), "✗")
)</f>
        <v/>
      </c>
      <c r="N21">
        <f t="array" ref="N21">IF(
    ISNUMBER(VALUE(LEFT($A21, 1))),
    "",
    IFERROR(IF(_xlfn.XLOOKUP($A21, INDIRECT("'" &amp; N$2 &amp; "'!$A:$A"), INDIRECT("'" &amp; N$2 &amp; "'!$B:$B"), "")&lt;&gt;"", "✓", "✗"), "✗")
)</f>
        <v/>
      </c>
      <c r="O21">
        <f t="array" ref="O21">IF(
    ISNUMBER(VALUE(LEFT($A21, 1))),
    "",
    IFERROR(IF(_xlfn.XLOOKUP($A21, INDIRECT("'" &amp; O$2 &amp; "'!$A:$A"), INDIRECT("'" &amp; O$2 &amp; "'!$B:$B"), "")&lt;&gt;"", "✓", "✗"), "✗")
)</f>
        <v/>
      </c>
      <c r="P21">
        <f t="array" ref="P21">IF(
    ISNUMBER(VALUE(LEFT($A21, 1))),
    "",
    IFERROR(IF(_xlfn.XLOOKUP($A21, INDIRECT("'" &amp; P$2 &amp; "'!$A:$A"), INDIRECT("'" &amp; P$2 &amp; "'!$B:$B"), "")&lt;&gt;"", "✓", "✗"), "✗")
)</f>
        <v/>
      </c>
      <c r="Q21">
        <f t="array" ref="Q21">IF(
    ISNUMBER(VALUE(LEFT($A21, 1))),
    "",
    IFERROR(IF(_xlfn.XLOOKUP($A21, INDIRECT("'" &amp; Q$2 &amp; "'!$A:$A"), INDIRECT("'" &amp; Q$2 &amp; "'!$B:$B"), "")&lt;&gt;"", "✓", "✗"), "✗")
)</f>
        <v/>
      </c>
      <c r="R21">
        <f t="array" ref="R21">IF(
    ISNUMBER(VALUE(LEFT($A21, 1))),
    "",
    IFERROR(IF(_xlfn.XLOOKUP($A21, INDIRECT("'" &amp; R$2 &amp; "'!$A:$A"), INDIRECT("'" &amp; R$2 &amp; "'!$B:$B"), "")&lt;&gt;"", "✓", "✗"), "✗")
)</f>
        <v/>
      </c>
      <c r="S21">
        <f t="array" ref="S21">IF(
    ISNUMBER(VALUE(LEFT($A21, 1))),
    "",
    IFERROR(IF(_xlfn.XLOOKUP($A21, INDIRECT("'" &amp; S$2 &amp; "'!$A:$A"), INDIRECT("'" &amp; S$2 &amp; "'!$B:$B"), "")&lt;&gt;"", "✓", "✗"), "✗")
)</f>
        <v/>
      </c>
      <c r="T21">
        <f t="array" ref="T21">IF(
    ISNUMBER(VALUE(LEFT($A21, 1))),
    "",
    IFERROR(IF(_xlfn.XLOOKUP($A21, INDIRECT("'" &amp; T$2 &amp; "'!$A:$A"), INDIRECT("'" &amp; T$2 &amp; "'!$B:$B"), "")&lt;&gt;"", "✓", "✗"), "✗")
)</f>
        <v/>
      </c>
      <c r="U21">
        <f t="array" ref="U21">IF(
    ISNUMBER(VALUE(LEFT($A21, 1))),
    "",
    IFERROR(IF(_xlfn.XLOOKUP($A21, INDIRECT("'" &amp; U$2 &amp; "'!$A:$A"), INDIRECT("'" &amp; U$2 &amp; "'!$B:$B"), "")&lt;&gt;"", "✓", "✗"), "✗")
)</f>
        <v/>
      </c>
      <c r="V21">
        <f t="array" ref="V21">IF(
    ISNUMBER(VALUE(LEFT($A21, 1))),
    "",
    IFERROR(IF(_xlfn.XLOOKUP($A21, INDIRECT("'" &amp; V$2 &amp; "'!$A:$A"), INDIRECT("'" &amp; V$2 &amp; "'!$B:$B"), "")&lt;&gt;"", "✓", "✗"), "✗")
)</f>
        <v/>
      </c>
      <c r="W21">
        <f t="array" ref="W21">IF(
    ISNUMBER(VALUE(LEFT($A21, 1))),
    "",
    IFERROR(IF(_xlfn.XLOOKUP($A21, INDIRECT("'" &amp; W$2 &amp; "'!$A:$A"), INDIRECT("'" &amp; W$2 &amp; "'!$B:$B"), "")&lt;&gt;"", "✓", "✗"), "✗")
)</f>
        <v/>
      </c>
      <c r="X21">
        <f t="array" ref="X21">IF(
    ISNUMBER(VALUE(LEFT($A21, 1))),
    "",
    IFERROR(IF(_xlfn.XLOOKUP($A21, INDIRECT("'" &amp; X$2 &amp; "'!$A:$A"), INDIRECT("'" &amp; X$2 &amp; "'!$B:$B"), "")&lt;&gt;"", "✓", "✗"), "✗")
)</f>
        <v/>
      </c>
      <c r="Y21">
        <f t="array" ref="Y21">IF(
    ISNUMBER(VALUE(LEFT($A21, 1))),
    "",
    IFERROR(IF(_xlfn.XLOOKUP($A21, INDIRECT("'" &amp; Y$2 &amp; "'!$A:$A"), INDIRECT("'" &amp; Y$2 &amp; "'!$B:$B"), "")&lt;&gt;"", "✓", "✗"), "✗")
)</f>
        <v/>
      </c>
      <c r="Z21">
        <f t="array" ref="Z21">IF(
    ISNUMBER(VALUE(LEFT($A21, 1))),
    "",
    IFERROR(IF(_xlfn.XLOOKUP($A21, INDIRECT("'" &amp; Z$2 &amp; "'!$A:$A"), INDIRECT("'" &amp; Z$2 &amp; "'!$B:$B"), "")&lt;&gt;"", "✓", "✗"), "✗")
)</f>
        <v/>
      </c>
      <c r="AA21">
        <f t="array" ref="AA21">IF(
    ISNUMBER(VALUE(LEFT($A21, 1))),
    "",
    IFERROR(IF(_xlfn.XLOOKUP($A21, INDIRECT("'" &amp; AA$2 &amp; "'!$A:$A"), INDIRECT("'" &amp; AA$2 &amp; "'!$B:$B"), "")&lt;&gt;"", "✓", "✗"), "✗")
)</f>
        <v/>
      </c>
      <c r="AB21">
        <f t="array" ref="AB21">IF(
    ISNUMBER(VALUE(LEFT($A21, 1))),
    "",
    IFERROR(IF(_xlfn.XLOOKUP($A21, INDIRECT("'" &amp; AB$2 &amp; "'!$A:$A"), INDIRECT("'" &amp; AB$2 &amp; "'!$B:$B"), "")&lt;&gt;"", "✓", "✗"), "✗")
)</f>
        <v/>
      </c>
      <c r="AC21">
        <f t="array" ref="AC21">IF(
    ISNUMBER(VALUE(LEFT($A21, 1))),
    "",
    IFERROR(IF(_xlfn.XLOOKUP($A21, INDIRECT("'" &amp; AC$2 &amp; "'!$A:$A"), INDIRECT("'" &amp; AC$2 &amp; "'!$B:$B"), "")&lt;&gt;"", "✓", "✗"), "✗")
)</f>
        <v/>
      </c>
      <c r="AD21">
        <f t="array" ref="AD21">IF(
    ISNUMBER(VALUE(LEFT($A21, 1))),
    "",
    IFERROR(IF(_xlfn.XLOOKUP($A21, INDIRECT("'" &amp; AD$2 &amp; "'!$A:$A"), INDIRECT("'" &amp; AD$2 &amp; "'!$B:$B"), "")&lt;&gt;"", "✓", "✗"), "✗")
)</f>
        <v/>
      </c>
      <c r="AE21">
        <f t="array" ref="AE21">IF(
    ISNUMBER(VALUE(LEFT($A21, 1))),
    "",
    IFERROR(IF(_xlfn.XLOOKUP($A21, INDIRECT("'" &amp; AE$2 &amp; "'!$A:$A"), INDIRECT("'" &amp; AE$2 &amp; "'!$B:$B"), "")&lt;&gt;"", "✓", "✗"), "✗")
)</f>
        <v/>
      </c>
      <c r="AF21">
        <f t="array" ref="AF21">IF(
    ISNUMBER(VALUE(LEFT($A21, 1))),
    "",
    IFERROR(IF(_xlfn.XLOOKUP($A21, INDIRECT("'" &amp; AF$2 &amp; "'!$A:$A"), INDIRECT("'" &amp; AF$2 &amp; "'!$B:$B"), "")&lt;&gt;"", "✓", "✗"), "✗")
)</f>
        <v/>
      </c>
      <c r="AG21">
        <f t="array" ref="AG21">IF(
    ISNUMBER(VALUE(LEFT($A21, 1))),
    "",
    IFERROR(IF(_xlfn.XLOOKUP($A21, INDIRECT("'" &amp; AG$2 &amp; "'!$A:$A"), INDIRECT("'" &amp; AG$2 &amp; "'!$B:$B"), "")&lt;&gt;"", "✓", "✗"), "✗")
)</f>
        <v/>
      </c>
    </row>
    <row r="22">
      <c r="A22" t="inlineStr">
        <is>
          <t>Partner Flag</t>
        </is>
      </c>
      <c r="B22">
        <f t="array" ref="B22">IF(
    ISNUMBER(VALUE(LEFT($A22, 1))),
    "",
    IFERROR(IF(_xlfn.XLOOKUP($A22, INDIRECT("'" &amp; B$2 &amp; "'!$A:$A"), INDIRECT("'" &amp; B$2 &amp; "'!$B:$B"), "")&lt;&gt;"", "✓", "✗"), "✗")
)</f>
        <v/>
      </c>
      <c r="C22">
        <f t="array" ref="C22">IF(
    ISNUMBER(VALUE(LEFT($A22, 1))),
    "",
    IFERROR(IF(_xlfn.XLOOKUP($A22, INDIRECT("'" &amp; C$2 &amp; "'!$A:$A"), INDIRECT("'" &amp; C$2 &amp; "'!$B:$B"), "")&lt;&gt;"", "✓", "✗"), "✗")
)</f>
        <v/>
      </c>
      <c r="D22">
        <f t="array" ref="D22">IF(
    ISNUMBER(VALUE(LEFT($A22, 1))),
    "",
    IFERROR(IF(_xlfn.XLOOKUP($A22, INDIRECT("'" &amp; D$2 &amp; "'!$A:$A"), INDIRECT("'" &amp; D$2 &amp; "'!$B:$B"), "")&lt;&gt;"", "✓", "✗"), "✗")
)</f>
        <v/>
      </c>
      <c r="E22">
        <f t="array" ref="E22">IF(
    ISNUMBER(VALUE(LEFT($A22, 1))),
    "",
    IFERROR(IF(_xlfn.XLOOKUP($A22, INDIRECT("'" &amp; E$2 &amp; "'!$A:$A"), INDIRECT("'" &amp; E$2 &amp; "'!$B:$B"), "")&lt;&gt;"", "✓", "✗"), "✗")
)</f>
        <v/>
      </c>
      <c r="F22">
        <f t="array" ref="F22">IF(
    ISNUMBER(VALUE(LEFT($A22, 1))),
    "",
    IFERROR(IF(_xlfn.XLOOKUP($A22, INDIRECT("'" &amp; F$2 &amp; "'!$A:$A"), INDIRECT("'" &amp; F$2 &amp; "'!$B:$B"), "")&lt;&gt;"", "✓", "✗"), "✗")
)</f>
        <v/>
      </c>
      <c r="G22">
        <f t="array" ref="G22">IF(
    ISNUMBER(VALUE(LEFT($A22, 1))),
    "",
    IFERROR(IF(_xlfn.XLOOKUP($A22, INDIRECT("'" &amp; G$2 &amp; "'!$A:$A"), INDIRECT("'" &amp; G$2 &amp; "'!$B:$B"), "")&lt;&gt;"", "✓", "✗"), "✗")
)</f>
        <v/>
      </c>
      <c r="H22">
        <f t="array" ref="H22">IF(
    ISNUMBER(VALUE(LEFT($A22, 1))),
    "",
    IFERROR(IF(_xlfn.XLOOKUP($A22, INDIRECT("'" &amp; H$2 &amp; "'!$A:$A"), INDIRECT("'" &amp; H$2 &amp; "'!$B:$B"), "")&lt;&gt;"", "✓", "✗"), "✗")
)</f>
        <v/>
      </c>
      <c r="I22">
        <f t="array" ref="I22">IF(
    ISNUMBER(VALUE(LEFT($A22, 1))),
    "",
    IFERROR(IF(_xlfn.XLOOKUP($A22, INDIRECT("'" &amp; I$2 &amp; "'!$A:$A"), INDIRECT("'" &amp; I$2 &amp; "'!$B:$B"), "")&lt;&gt;"", "✓", "✗"), "✗")
)</f>
        <v/>
      </c>
      <c r="J22">
        <f t="array" ref="J22">IF(
    ISNUMBER(VALUE(LEFT($A22, 1))),
    "",
    IFERROR(IF(_xlfn.XLOOKUP($A22, INDIRECT("'" &amp; J$2 &amp; "'!$A:$A"), INDIRECT("'" &amp; J$2 &amp; "'!$B:$B"), "")&lt;&gt;"", "✓", "✗"), "✗")
)</f>
        <v/>
      </c>
      <c r="K22">
        <f t="array" ref="K22">IF(
    ISNUMBER(VALUE(LEFT($A22, 1))),
    "",
    IFERROR(IF(_xlfn.XLOOKUP($A22, INDIRECT("'" &amp; K$2 &amp; "'!$A:$A"), INDIRECT("'" &amp; K$2 &amp; "'!$B:$B"), "")&lt;&gt;"", "✓", "✗"), "✗")
)</f>
        <v/>
      </c>
      <c r="L22">
        <f t="array" ref="L22">IF(
    ISNUMBER(VALUE(LEFT($A22, 1))),
    "",
    IFERROR(IF(_xlfn.XLOOKUP($A22, INDIRECT("'" &amp; L$2 &amp; "'!$A:$A"), INDIRECT("'" &amp; L$2 &amp; "'!$B:$B"), "")&lt;&gt;"", "✓", "✗"), "✗")
)</f>
        <v/>
      </c>
      <c r="M22">
        <f t="array" ref="M22">IF(
    ISNUMBER(VALUE(LEFT($A22, 1))),
    "",
    IFERROR(IF(_xlfn.XLOOKUP($A22, INDIRECT("'" &amp; M$2 &amp; "'!$A:$A"), INDIRECT("'" &amp; M$2 &amp; "'!$B:$B"), "")&lt;&gt;"", "✓", "✗"), "✗")
)</f>
        <v/>
      </c>
      <c r="N22">
        <f t="array" ref="N22">IF(
    ISNUMBER(VALUE(LEFT($A22, 1))),
    "",
    IFERROR(IF(_xlfn.XLOOKUP($A22, INDIRECT("'" &amp; N$2 &amp; "'!$A:$A"), INDIRECT("'" &amp; N$2 &amp; "'!$B:$B"), "")&lt;&gt;"", "✓", "✗"), "✗")
)</f>
        <v/>
      </c>
      <c r="O22">
        <f t="array" ref="O22">IF(
    ISNUMBER(VALUE(LEFT($A22, 1))),
    "",
    IFERROR(IF(_xlfn.XLOOKUP($A22, INDIRECT("'" &amp; O$2 &amp; "'!$A:$A"), INDIRECT("'" &amp; O$2 &amp; "'!$B:$B"), "")&lt;&gt;"", "✓", "✗"), "✗")
)</f>
        <v/>
      </c>
      <c r="P22">
        <f t="array" ref="P22">IF(
    ISNUMBER(VALUE(LEFT($A22, 1))),
    "",
    IFERROR(IF(_xlfn.XLOOKUP($A22, INDIRECT("'" &amp; P$2 &amp; "'!$A:$A"), INDIRECT("'" &amp; P$2 &amp; "'!$B:$B"), "")&lt;&gt;"", "✓", "✗"), "✗")
)</f>
        <v/>
      </c>
      <c r="Q22">
        <f t="array" ref="Q22">IF(
    ISNUMBER(VALUE(LEFT($A22, 1))),
    "",
    IFERROR(IF(_xlfn.XLOOKUP($A22, INDIRECT("'" &amp; Q$2 &amp; "'!$A:$A"), INDIRECT("'" &amp; Q$2 &amp; "'!$B:$B"), "")&lt;&gt;"", "✓", "✗"), "✗")
)</f>
        <v/>
      </c>
      <c r="R22">
        <f t="array" ref="R22">IF(
    ISNUMBER(VALUE(LEFT($A22, 1))),
    "",
    IFERROR(IF(_xlfn.XLOOKUP($A22, INDIRECT("'" &amp; R$2 &amp; "'!$A:$A"), INDIRECT("'" &amp; R$2 &amp; "'!$B:$B"), "")&lt;&gt;"", "✓", "✗"), "✗")
)</f>
        <v/>
      </c>
      <c r="S22">
        <f t="array" ref="S22">IF(
    ISNUMBER(VALUE(LEFT($A22, 1))),
    "",
    IFERROR(IF(_xlfn.XLOOKUP($A22, INDIRECT("'" &amp; S$2 &amp; "'!$A:$A"), INDIRECT("'" &amp; S$2 &amp; "'!$B:$B"), "")&lt;&gt;"", "✓", "✗"), "✗")
)</f>
        <v/>
      </c>
      <c r="T22">
        <f t="array" ref="T22">IF(
    ISNUMBER(VALUE(LEFT($A22, 1))),
    "",
    IFERROR(IF(_xlfn.XLOOKUP($A22, INDIRECT("'" &amp; T$2 &amp; "'!$A:$A"), INDIRECT("'" &amp; T$2 &amp; "'!$B:$B"), "")&lt;&gt;"", "✓", "✗"), "✗")
)</f>
        <v/>
      </c>
      <c r="U22">
        <f t="array" ref="U22">IF(
    ISNUMBER(VALUE(LEFT($A22, 1))),
    "",
    IFERROR(IF(_xlfn.XLOOKUP($A22, INDIRECT("'" &amp; U$2 &amp; "'!$A:$A"), INDIRECT("'" &amp; U$2 &amp; "'!$B:$B"), "")&lt;&gt;"", "✓", "✗"), "✗")
)</f>
        <v/>
      </c>
      <c r="V22">
        <f t="array" ref="V22">IF(
    ISNUMBER(VALUE(LEFT($A22, 1))),
    "",
    IFERROR(IF(_xlfn.XLOOKUP($A22, INDIRECT("'" &amp; V$2 &amp; "'!$A:$A"), INDIRECT("'" &amp; V$2 &amp; "'!$B:$B"), "")&lt;&gt;"", "✓", "✗"), "✗")
)</f>
        <v/>
      </c>
      <c r="W22">
        <f t="array" ref="W22">IF(
    ISNUMBER(VALUE(LEFT($A22, 1))),
    "",
    IFERROR(IF(_xlfn.XLOOKUP($A22, INDIRECT("'" &amp; W$2 &amp; "'!$A:$A"), INDIRECT("'" &amp; W$2 &amp; "'!$B:$B"), "")&lt;&gt;"", "✓", "✗"), "✗")
)</f>
        <v/>
      </c>
      <c r="X22">
        <f t="array" ref="X22">IF(
    ISNUMBER(VALUE(LEFT($A22, 1))),
    "",
    IFERROR(IF(_xlfn.XLOOKUP($A22, INDIRECT("'" &amp; X$2 &amp; "'!$A:$A"), INDIRECT("'" &amp; X$2 &amp; "'!$B:$B"), "")&lt;&gt;"", "✓", "✗"), "✗")
)</f>
        <v/>
      </c>
      <c r="Y22">
        <f t="array" ref="Y22">IF(
    ISNUMBER(VALUE(LEFT($A22, 1))),
    "",
    IFERROR(IF(_xlfn.XLOOKUP($A22, INDIRECT("'" &amp; Y$2 &amp; "'!$A:$A"), INDIRECT("'" &amp; Y$2 &amp; "'!$B:$B"), "")&lt;&gt;"", "✓", "✗"), "✗")
)</f>
        <v/>
      </c>
      <c r="Z22">
        <f t="array" ref="Z22">IF(
    ISNUMBER(VALUE(LEFT($A22, 1))),
    "",
    IFERROR(IF(_xlfn.XLOOKUP($A22, INDIRECT("'" &amp; Z$2 &amp; "'!$A:$A"), INDIRECT("'" &amp; Z$2 &amp; "'!$B:$B"), "")&lt;&gt;"", "✓", "✗"), "✗")
)</f>
        <v/>
      </c>
      <c r="AA22">
        <f t="array" ref="AA22">IF(
    ISNUMBER(VALUE(LEFT($A22, 1))),
    "",
    IFERROR(IF(_xlfn.XLOOKUP($A22, INDIRECT("'" &amp; AA$2 &amp; "'!$A:$A"), INDIRECT("'" &amp; AA$2 &amp; "'!$B:$B"), "")&lt;&gt;"", "✓", "✗"), "✗")
)</f>
        <v/>
      </c>
      <c r="AB22">
        <f t="array" ref="AB22">IF(
    ISNUMBER(VALUE(LEFT($A22, 1))),
    "",
    IFERROR(IF(_xlfn.XLOOKUP($A22, INDIRECT("'" &amp; AB$2 &amp; "'!$A:$A"), INDIRECT("'" &amp; AB$2 &amp; "'!$B:$B"), "")&lt;&gt;"", "✓", "✗"), "✗")
)</f>
        <v/>
      </c>
      <c r="AC22">
        <f t="array" ref="AC22">IF(
    ISNUMBER(VALUE(LEFT($A22, 1))),
    "",
    IFERROR(IF(_xlfn.XLOOKUP($A22, INDIRECT("'" &amp; AC$2 &amp; "'!$A:$A"), INDIRECT("'" &amp; AC$2 &amp; "'!$B:$B"), "")&lt;&gt;"", "✓", "✗"), "✗")
)</f>
        <v/>
      </c>
      <c r="AD22">
        <f t="array" ref="AD22">IF(
    ISNUMBER(VALUE(LEFT($A22, 1))),
    "",
    IFERROR(IF(_xlfn.XLOOKUP($A22, INDIRECT("'" &amp; AD$2 &amp; "'!$A:$A"), INDIRECT("'" &amp; AD$2 &amp; "'!$B:$B"), "")&lt;&gt;"", "✓", "✗"), "✗")
)</f>
        <v/>
      </c>
      <c r="AE22">
        <f t="array" ref="AE22">IF(
    ISNUMBER(VALUE(LEFT($A22, 1))),
    "",
    IFERROR(IF(_xlfn.XLOOKUP($A22, INDIRECT("'" &amp; AE$2 &amp; "'!$A:$A"), INDIRECT("'" &amp; AE$2 &amp; "'!$B:$B"), "")&lt;&gt;"", "✓", "✗"), "✗")
)</f>
        <v/>
      </c>
      <c r="AF22">
        <f t="array" ref="AF22">IF(
    ISNUMBER(VALUE(LEFT($A22, 1))),
    "",
    IFERROR(IF(_xlfn.XLOOKUP($A22, INDIRECT("'" &amp; AF$2 &amp; "'!$A:$A"), INDIRECT("'" &amp; AF$2 &amp; "'!$B:$B"), "")&lt;&gt;"", "✓", "✗"), "✗")
)</f>
        <v/>
      </c>
      <c r="AG22">
        <f t="array" ref="AG22">IF(
    ISNUMBER(VALUE(LEFT($A22, 1))),
    "",
    IFERROR(IF(_xlfn.XLOOKUP($A22, INDIRECT("'" &amp; AG$2 &amp; "'!$A:$A"), INDIRECT("'" &amp; AG$2 &amp; "'!$B:$B"), "")&lt;&gt;"", "✓", "✗"), "✗")
)</f>
        <v/>
      </c>
    </row>
    <row r="23">
      <c r="A23" t="inlineStr">
        <is>
          <t>Student Flag</t>
        </is>
      </c>
      <c r="B23">
        <f t="array" ref="B23">IF(
    ISNUMBER(VALUE(LEFT($A23, 1))),
    "",
    IFERROR(IF(_xlfn.XLOOKUP($A23, INDIRECT("'" &amp; B$2 &amp; "'!$A:$A"), INDIRECT("'" &amp; B$2 &amp; "'!$B:$B"), "")&lt;&gt;"", "✓", "✗"), "✗")
)</f>
        <v/>
      </c>
      <c r="C23">
        <f t="array" ref="C23">IF(
    ISNUMBER(VALUE(LEFT($A23, 1))),
    "",
    IFERROR(IF(_xlfn.XLOOKUP($A23, INDIRECT("'" &amp; C$2 &amp; "'!$A:$A"), INDIRECT("'" &amp; C$2 &amp; "'!$B:$B"), "")&lt;&gt;"", "✓", "✗"), "✗")
)</f>
        <v/>
      </c>
      <c r="D23">
        <f t="array" ref="D23">IF(
    ISNUMBER(VALUE(LEFT($A23, 1))),
    "",
    IFERROR(IF(_xlfn.XLOOKUP($A23, INDIRECT("'" &amp; D$2 &amp; "'!$A:$A"), INDIRECT("'" &amp; D$2 &amp; "'!$B:$B"), "")&lt;&gt;"", "✓", "✗"), "✗")
)</f>
        <v/>
      </c>
      <c r="E23">
        <f t="array" ref="E23">IF(
    ISNUMBER(VALUE(LEFT($A23, 1))),
    "",
    IFERROR(IF(_xlfn.XLOOKUP($A23, INDIRECT("'" &amp; E$2 &amp; "'!$A:$A"), INDIRECT("'" &amp; E$2 &amp; "'!$B:$B"), "")&lt;&gt;"", "✓", "✗"), "✗")
)</f>
        <v/>
      </c>
      <c r="F23">
        <f t="array" ref="F23">IF(
    ISNUMBER(VALUE(LEFT($A23, 1))),
    "",
    IFERROR(IF(_xlfn.XLOOKUP($A23, INDIRECT("'" &amp; F$2 &amp; "'!$A:$A"), INDIRECT("'" &amp; F$2 &amp; "'!$B:$B"), "")&lt;&gt;"", "✓", "✗"), "✗")
)</f>
        <v/>
      </c>
      <c r="G23">
        <f t="array" ref="G23">IF(
    ISNUMBER(VALUE(LEFT($A23, 1))),
    "",
    IFERROR(IF(_xlfn.XLOOKUP($A23, INDIRECT("'" &amp; G$2 &amp; "'!$A:$A"), INDIRECT("'" &amp; G$2 &amp; "'!$B:$B"), "")&lt;&gt;"", "✓", "✗"), "✗")
)</f>
        <v/>
      </c>
      <c r="H23">
        <f t="array" ref="H23">IF(
    ISNUMBER(VALUE(LEFT($A23, 1))),
    "",
    IFERROR(IF(_xlfn.XLOOKUP($A23, INDIRECT("'" &amp; H$2 &amp; "'!$A:$A"), INDIRECT("'" &amp; H$2 &amp; "'!$B:$B"), "")&lt;&gt;"", "✓", "✗"), "✗")
)</f>
        <v/>
      </c>
      <c r="I23">
        <f t="array" ref="I23">IF(
    ISNUMBER(VALUE(LEFT($A23, 1))),
    "",
    IFERROR(IF(_xlfn.XLOOKUP($A23, INDIRECT("'" &amp; I$2 &amp; "'!$A:$A"), INDIRECT("'" &amp; I$2 &amp; "'!$B:$B"), "")&lt;&gt;"", "✓", "✗"), "✗")
)</f>
        <v/>
      </c>
      <c r="J23">
        <f t="array" ref="J23">IF(
    ISNUMBER(VALUE(LEFT($A23, 1))),
    "",
    IFERROR(IF(_xlfn.XLOOKUP($A23, INDIRECT("'" &amp; J$2 &amp; "'!$A:$A"), INDIRECT("'" &amp; J$2 &amp; "'!$B:$B"), "")&lt;&gt;"", "✓", "✗"), "✗")
)</f>
        <v/>
      </c>
      <c r="K23">
        <f t="array" ref="K23">IF(
    ISNUMBER(VALUE(LEFT($A23, 1))),
    "",
    IFERROR(IF(_xlfn.XLOOKUP($A23, INDIRECT("'" &amp; K$2 &amp; "'!$A:$A"), INDIRECT("'" &amp; K$2 &amp; "'!$B:$B"), "")&lt;&gt;"", "✓", "✗"), "✗")
)</f>
        <v/>
      </c>
      <c r="L23">
        <f t="array" ref="L23">IF(
    ISNUMBER(VALUE(LEFT($A23, 1))),
    "",
    IFERROR(IF(_xlfn.XLOOKUP($A23, INDIRECT("'" &amp; L$2 &amp; "'!$A:$A"), INDIRECT("'" &amp; L$2 &amp; "'!$B:$B"), "")&lt;&gt;"", "✓", "✗"), "✗")
)</f>
        <v/>
      </c>
      <c r="M23">
        <f t="array" ref="M23">IF(
    ISNUMBER(VALUE(LEFT($A23, 1))),
    "",
    IFERROR(IF(_xlfn.XLOOKUP($A23, INDIRECT("'" &amp; M$2 &amp; "'!$A:$A"), INDIRECT("'" &amp; M$2 &amp; "'!$B:$B"), "")&lt;&gt;"", "✓", "✗"), "✗")
)</f>
        <v/>
      </c>
      <c r="N23">
        <f t="array" ref="N23">IF(
    ISNUMBER(VALUE(LEFT($A23, 1))),
    "",
    IFERROR(IF(_xlfn.XLOOKUP($A23, INDIRECT("'" &amp; N$2 &amp; "'!$A:$A"), INDIRECT("'" &amp; N$2 &amp; "'!$B:$B"), "")&lt;&gt;"", "✓", "✗"), "✗")
)</f>
        <v/>
      </c>
      <c r="O23">
        <f t="array" ref="O23">IF(
    ISNUMBER(VALUE(LEFT($A23, 1))),
    "",
    IFERROR(IF(_xlfn.XLOOKUP($A23, INDIRECT("'" &amp; O$2 &amp; "'!$A:$A"), INDIRECT("'" &amp; O$2 &amp; "'!$B:$B"), "")&lt;&gt;"", "✓", "✗"), "✗")
)</f>
        <v/>
      </c>
      <c r="P23">
        <f t="array" ref="P23">IF(
    ISNUMBER(VALUE(LEFT($A23, 1))),
    "",
    IFERROR(IF(_xlfn.XLOOKUP($A23, INDIRECT("'" &amp; P$2 &amp; "'!$A:$A"), INDIRECT("'" &amp; P$2 &amp; "'!$B:$B"), "")&lt;&gt;"", "✓", "✗"), "✗")
)</f>
        <v/>
      </c>
      <c r="Q23">
        <f t="array" ref="Q23">IF(
    ISNUMBER(VALUE(LEFT($A23, 1))),
    "",
    IFERROR(IF(_xlfn.XLOOKUP($A23, INDIRECT("'" &amp; Q$2 &amp; "'!$A:$A"), INDIRECT("'" &amp; Q$2 &amp; "'!$B:$B"), "")&lt;&gt;"", "✓", "✗"), "✗")
)</f>
        <v/>
      </c>
      <c r="R23">
        <f t="array" ref="R23">IF(
    ISNUMBER(VALUE(LEFT($A23, 1))),
    "",
    IFERROR(IF(_xlfn.XLOOKUP($A23, INDIRECT("'" &amp; R$2 &amp; "'!$A:$A"), INDIRECT("'" &amp; R$2 &amp; "'!$B:$B"), "")&lt;&gt;"", "✓", "✗"), "✗")
)</f>
        <v/>
      </c>
      <c r="S23">
        <f t="array" ref="S23">IF(
    ISNUMBER(VALUE(LEFT($A23, 1))),
    "",
    IFERROR(IF(_xlfn.XLOOKUP($A23, INDIRECT("'" &amp; S$2 &amp; "'!$A:$A"), INDIRECT("'" &amp; S$2 &amp; "'!$B:$B"), "")&lt;&gt;"", "✓", "✗"), "✗")
)</f>
        <v/>
      </c>
      <c r="T23">
        <f t="array" ref="T23">IF(
    ISNUMBER(VALUE(LEFT($A23, 1))),
    "",
    IFERROR(IF(_xlfn.XLOOKUP($A23, INDIRECT("'" &amp; T$2 &amp; "'!$A:$A"), INDIRECT("'" &amp; T$2 &amp; "'!$B:$B"), "")&lt;&gt;"", "✓", "✗"), "✗")
)</f>
        <v/>
      </c>
      <c r="U23">
        <f t="array" ref="U23">IF(
    ISNUMBER(VALUE(LEFT($A23, 1))),
    "",
    IFERROR(IF(_xlfn.XLOOKUP($A23, INDIRECT("'" &amp; U$2 &amp; "'!$A:$A"), INDIRECT("'" &amp; U$2 &amp; "'!$B:$B"), "")&lt;&gt;"", "✓", "✗"), "✗")
)</f>
        <v/>
      </c>
      <c r="V23">
        <f t="array" ref="V23">IF(
    ISNUMBER(VALUE(LEFT($A23, 1))),
    "",
    IFERROR(IF(_xlfn.XLOOKUP($A23, INDIRECT("'" &amp; V$2 &amp; "'!$A:$A"), INDIRECT("'" &amp; V$2 &amp; "'!$B:$B"), "")&lt;&gt;"", "✓", "✗"), "✗")
)</f>
        <v/>
      </c>
      <c r="W23">
        <f t="array" ref="W23">IF(
    ISNUMBER(VALUE(LEFT($A23, 1))),
    "",
    IFERROR(IF(_xlfn.XLOOKUP($A23, INDIRECT("'" &amp; W$2 &amp; "'!$A:$A"), INDIRECT("'" &amp; W$2 &amp; "'!$B:$B"), "")&lt;&gt;"", "✓", "✗"), "✗")
)</f>
        <v/>
      </c>
      <c r="X23">
        <f t="array" ref="X23">IF(
    ISNUMBER(VALUE(LEFT($A23, 1))),
    "",
    IFERROR(IF(_xlfn.XLOOKUP($A23, INDIRECT("'" &amp; X$2 &amp; "'!$A:$A"), INDIRECT("'" &amp; X$2 &amp; "'!$B:$B"), "")&lt;&gt;"", "✓", "✗"), "✗")
)</f>
        <v/>
      </c>
      <c r="Y23">
        <f t="array" ref="Y23">IF(
    ISNUMBER(VALUE(LEFT($A23, 1))),
    "",
    IFERROR(IF(_xlfn.XLOOKUP($A23, INDIRECT("'" &amp; Y$2 &amp; "'!$A:$A"), INDIRECT("'" &amp; Y$2 &amp; "'!$B:$B"), "")&lt;&gt;"", "✓", "✗"), "✗")
)</f>
        <v/>
      </c>
      <c r="Z23">
        <f t="array" ref="Z23">IF(
    ISNUMBER(VALUE(LEFT($A23, 1))),
    "",
    IFERROR(IF(_xlfn.XLOOKUP($A23, INDIRECT("'" &amp; Z$2 &amp; "'!$A:$A"), INDIRECT("'" &amp; Z$2 &amp; "'!$B:$B"), "")&lt;&gt;"", "✓", "✗"), "✗")
)</f>
        <v/>
      </c>
      <c r="AA23">
        <f t="array" ref="AA23">IF(
    ISNUMBER(VALUE(LEFT($A23, 1))),
    "",
    IFERROR(IF(_xlfn.XLOOKUP($A23, INDIRECT("'" &amp; AA$2 &amp; "'!$A:$A"), INDIRECT("'" &amp; AA$2 &amp; "'!$B:$B"), "")&lt;&gt;"", "✓", "✗"), "✗")
)</f>
        <v/>
      </c>
      <c r="AB23">
        <f t="array" ref="AB23">IF(
    ISNUMBER(VALUE(LEFT($A23, 1))),
    "",
    IFERROR(IF(_xlfn.XLOOKUP($A23, INDIRECT("'" &amp; AB$2 &amp; "'!$A:$A"), INDIRECT("'" &amp; AB$2 &amp; "'!$B:$B"), "")&lt;&gt;"", "✓", "✗"), "✗")
)</f>
        <v/>
      </c>
      <c r="AC23">
        <f t="array" ref="AC23">IF(
    ISNUMBER(VALUE(LEFT($A23, 1))),
    "",
    IFERROR(IF(_xlfn.XLOOKUP($A23, INDIRECT("'" &amp; AC$2 &amp; "'!$A:$A"), INDIRECT("'" &amp; AC$2 &amp; "'!$B:$B"), "")&lt;&gt;"", "✓", "✗"), "✗")
)</f>
        <v/>
      </c>
      <c r="AD23">
        <f t="array" ref="AD23">IF(
    ISNUMBER(VALUE(LEFT($A23, 1))),
    "",
    IFERROR(IF(_xlfn.XLOOKUP($A23, INDIRECT("'" &amp; AD$2 &amp; "'!$A:$A"), INDIRECT("'" &amp; AD$2 &amp; "'!$B:$B"), "")&lt;&gt;"", "✓", "✗"), "✗")
)</f>
        <v/>
      </c>
      <c r="AE23">
        <f t="array" ref="AE23">IF(
    ISNUMBER(VALUE(LEFT($A23, 1))),
    "",
    IFERROR(IF(_xlfn.XLOOKUP($A23, INDIRECT("'" &amp; AE$2 &amp; "'!$A:$A"), INDIRECT("'" &amp; AE$2 &amp; "'!$B:$B"), "")&lt;&gt;"", "✓", "✗"), "✗")
)</f>
        <v/>
      </c>
      <c r="AF23">
        <f t="array" ref="AF23">IF(
    ISNUMBER(VALUE(LEFT($A23, 1))),
    "",
    IFERROR(IF(_xlfn.XLOOKUP($A23, INDIRECT("'" &amp; AF$2 &amp; "'!$A:$A"), INDIRECT("'" &amp; AF$2 &amp; "'!$B:$B"), "")&lt;&gt;"", "✓", "✗"), "✗")
)</f>
        <v/>
      </c>
      <c r="AG23">
        <f t="array" ref="AG23">IF(
    ISNUMBER(VALUE(LEFT($A23, 1))),
    "",
    IFERROR(IF(_xlfn.XLOOKUP($A23, INDIRECT("'" &amp; AG$2 &amp; "'!$A:$A"), INDIRECT("'" &amp; AG$2 &amp; "'!$B:$B"), "")&lt;&gt;"", "✓", "✗"), "✗")
)</f>
        <v/>
      </c>
    </row>
    <row r="24">
      <c r="A24" t="inlineStr">
        <is>
          <t>Decision Maker Type</t>
        </is>
      </c>
      <c r="B24">
        <f t="array" ref="B24">IF(
    ISNUMBER(VALUE(LEFT($A24, 1))),
    "",
    IFERROR(IF(_xlfn.XLOOKUP($A24, INDIRECT("'" &amp; B$2 &amp; "'!$A:$A"), INDIRECT("'" &amp; B$2 &amp; "'!$B:$B"), "")&lt;&gt;"", "✓", "✗"), "✗")
)</f>
        <v/>
      </c>
      <c r="C24">
        <f t="array" ref="C24">IF(
    ISNUMBER(VALUE(LEFT($A24, 1))),
    "",
    IFERROR(IF(_xlfn.XLOOKUP($A24, INDIRECT("'" &amp; C$2 &amp; "'!$A:$A"), INDIRECT("'" &amp; C$2 &amp; "'!$B:$B"), "")&lt;&gt;"", "✓", "✗"), "✗")
)</f>
        <v/>
      </c>
      <c r="D24">
        <f t="array" ref="D24">IF(
    ISNUMBER(VALUE(LEFT($A24, 1))),
    "",
    IFERROR(IF(_xlfn.XLOOKUP($A24, INDIRECT("'" &amp; D$2 &amp; "'!$A:$A"), INDIRECT("'" &amp; D$2 &amp; "'!$B:$B"), "")&lt;&gt;"", "✓", "✗"), "✗")
)</f>
        <v/>
      </c>
      <c r="E24">
        <f t="array" ref="E24">IF(
    ISNUMBER(VALUE(LEFT($A24, 1))),
    "",
    IFERROR(IF(_xlfn.XLOOKUP($A24, INDIRECT("'" &amp; E$2 &amp; "'!$A:$A"), INDIRECT("'" &amp; E$2 &amp; "'!$B:$B"), "")&lt;&gt;"", "✓", "✗"), "✗")
)</f>
        <v/>
      </c>
      <c r="F24">
        <f t="array" ref="F24">IF(
    ISNUMBER(VALUE(LEFT($A24, 1))),
    "",
    IFERROR(IF(_xlfn.XLOOKUP($A24, INDIRECT("'" &amp; F$2 &amp; "'!$A:$A"), INDIRECT("'" &amp; F$2 &amp; "'!$B:$B"), "")&lt;&gt;"", "✓", "✗"), "✗")
)</f>
        <v/>
      </c>
      <c r="G24">
        <f t="array" ref="G24">IF(
    ISNUMBER(VALUE(LEFT($A24, 1))),
    "",
    IFERROR(IF(_xlfn.XLOOKUP($A24, INDIRECT("'" &amp; G$2 &amp; "'!$A:$A"), INDIRECT("'" &amp; G$2 &amp; "'!$B:$B"), "")&lt;&gt;"", "✓", "✗"), "✗")
)</f>
        <v/>
      </c>
      <c r="H24">
        <f t="array" ref="H24">IF(
    ISNUMBER(VALUE(LEFT($A24, 1))),
    "",
    IFERROR(IF(_xlfn.XLOOKUP($A24, INDIRECT("'" &amp; H$2 &amp; "'!$A:$A"), INDIRECT("'" &amp; H$2 &amp; "'!$B:$B"), "")&lt;&gt;"", "✓", "✗"), "✗")
)</f>
        <v/>
      </c>
      <c r="I24">
        <f t="array" ref="I24">IF(
    ISNUMBER(VALUE(LEFT($A24, 1))),
    "",
    IFERROR(IF(_xlfn.XLOOKUP($A24, INDIRECT("'" &amp; I$2 &amp; "'!$A:$A"), INDIRECT("'" &amp; I$2 &amp; "'!$B:$B"), "")&lt;&gt;"", "✓", "✗"), "✗")
)</f>
        <v/>
      </c>
      <c r="J24">
        <f t="array" ref="J24">IF(
    ISNUMBER(VALUE(LEFT($A24, 1))),
    "",
    IFERROR(IF(_xlfn.XLOOKUP($A24, INDIRECT("'" &amp; J$2 &amp; "'!$A:$A"), INDIRECT("'" &amp; J$2 &amp; "'!$B:$B"), "")&lt;&gt;"", "✓", "✗"), "✗")
)</f>
        <v/>
      </c>
      <c r="K24">
        <f t="array" ref="K24">IF(
    ISNUMBER(VALUE(LEFT($A24, 1))),
    "",
    IFERROR(IF(_xlfn.XLOOKUP($A24, INDIRECT("'" &amp; K$2 &amp; "'!$A:$A"), INDIRECT("'" &amp; K$2 &amp; "'!$B:$B"), "")&lt;&gt;"", "✓", "✗"), "✗")
)</f>
        <v/>
      </c>
      <c r="L24">
        <f t="array" ref="L24">IF(
    ISNUMBER(VALUE(LEFT($A24, 1))),
    "",
    IFERROR(IF(_xlfn.XLOOKUP($A24, INDIRECT("'" &amp; L$2 &amp; "'!$A:$A"), INDIRECT("'" &amp; L$2 &amp; "'!$B:$B"), "")&lt;&gt;"", "✓", "✗"), "✗")
)</f>
        <v/>
      </c>
      <c r="M24">
        <f t="array" ref="M24">IF(
    ISNUMBER(VALUE(LEFT($A24, 1))),
    "",
    IFERROR(IF(_xlfn.XLOOKUP($A24, INDIRECT("'" &amp; M$2 &amp; "'!$A:$A"), INDIRECT("'" &amp; M$2 &amp; "'!$B:$B"), "")&lt;&gt;"", "✓", "✗"), "✗")
)</f>
        <v/>
      </c>
      <c r="N24">
        <f t="array" ref="N24">IF(
    ISNUMBER(VALUE(LEFT($A24, 1))),
    "",
    IFERROR(IF(_xlfn.XLOOKUP($A24, INDIRECT("'" &amp; N$2 &amp; "'!$A:$A"), INDIRECT("'" &amp; N$2 &amp; "'!$B:$B"), "")&lt;&gt;"", "✓", "✗"), "✗")
)</f>
        <v/>
      </c>
      <c r="O24">
        <f t="array" ref="O24">IF(
    ISNUMBER(VALUE(LEFT($A24, 1))),
    "",
    IFERROR(IF(_xlfn.XLOOKUP($A24, INDIRECT("'" &amp; O$2 &amp; "'!$A:$A"), INDIRECT("'" &amp; O$2 &amp; "'!$B:$B"), "")&lt;&gt;"", "✓", "✗"), "✗")
)</f>
        <v/>
      </c>
      <c r="P24">
        <f t="array" ref="P24">IF(
    ISNUMBER(VALUE(LEFT($A24, 1))),
    "",
    IFERROR(IF(_xlfn.XLOOKUP($A24, INDIRECT("'" &amp; P$2 &amp; "'!$A:$A"), INDIRECT("'" &amp; P$2 &amp; "'!$B:$B"), "")&lt;&gt;"", "✓", "✗"), "✗")
)</f>
        <v/>
      </c>
      <c r="Q24">
        <f t="array" ref="Q24">IF(
    ISNUMBER(VALUE(LEFT($A24, 1))),
    "",
    IFERROR(IF(_xlfn.XLOOKUP($A24, INDIRECT("'" &amp; Q$2 &amp; "'!$A:$A"), INDIRECT("'" &amp; Q$2 &amp; "'!$B:$B"), "")&lt;&gt;"", "✓", "✗"), "✗")
)</f>
        <v/>
      </c>
      <c r="R24">
        <f t="array" ref="R24">IF(
    ISNUMBER(VALUE(LEFT($A24, 1))),
    "",
    IFERROR(IF(_xlfn.XLOOKUP($A24, INDIRECT("'" &amp; R$2 &amp; "'!$A:$A"), INDIRECT("'" &amp; R$2 &amp; "'!$B:$B"), "")&lt;&gt;"", "✓", "✗"), "✗")
)</f>
        <v/>
      </c>
      <c r="S24">
        <f t="array" ref="S24">IF(
    ISNUMBER(VALUE(LEFT($A24, 1))),
    "",
    IFERROR(IF(_xlfn.XLOOKUP($A24, INDIRECT("'" &amp; S$2 &amp; "'!$A:$A"), INDIRECT("'" &amp; S$2 &amp; "'!$B:$B"), "")&lt;&gt;"", "✓", "✗"), "✗")
)</f>
        <v/>
      </c>
      <c r="T24">
        <f t="array" ref="T24">IF(
    ISNUMBER(VALUE(LEFT($A24, 1))),
    "",
    IFERROR(IF(_xlfn.XLOOKUP($A24, INDIRECT("'" &amp; T$2 &amp; "'!$A:$A"), INDIRECT("'" &amp; T$2 &amp; "'!$B:$B"), "")&lt;&gt;"", "✓", "✗"), "✗")
)</f>
        <v/>
      </c>
      <c r="U24">
        <f t="array" ref="U24">IF(
    ISNUMBER(VALUE(LEFT($A24, 1))),
    "",
    IFERROR(IF(_xlfn.XLOOKUP($A24, INDIRECT("'" &amp; U$2 &amp; "'!$A:$A"), INDIRECT("'" &amp; U$2 &amp; "'!$B:$B"), "")&lt;&gt;"", "✓", "✗"), "✗")
)</f>
        <v/>
      </c>
      <c r="V24">
        <f t="array" ref="V24">IF(
    ISNUMBER(VALUE(LEFT($A24, 1))),
    "",
    IFERROR(IF(_xlfn.XLOOKUP($A24, INDIRECT("'" &amp; V$2 &amp; "'!$A:$A"), INDIRECT("'" &amp; V$2 &amp; "'!$B:$B"), "")&lt;&gt;"", "✓", "✗"), "✗")
)</f>
        <v/>
      </c>
      <c r="W24">
        <f t="array" ref="W24">IF(
    ISNUMBER(VALUE(LEFT($A24, 1))),
    "",
    IFERROR(IF(_xlfn.XLOOKUP($A24, INDIRECT("'" &amp; W$2 &amp; "'!$A:$A"), INDIRECT("'" &amp; W$2 &amp; "'!$B:$B"), "")&lt;&gt;"", "✓", "✗"), "✗")
)</f>
        <v/>
      </c>
      <c r="X24">
        <f t="array" ref="X24">IF(
    ISNUMBER(VALUE(LEFT($A24, 1))),
    "",
    IFERROR(IF(_xlfn.XLOOKUP($A24, INDIRECT("'" &amp; X$2 &amp; "'!$A:$A"), INDIRECT("'" &amp; X$2 &amp; "'!$B:$B"), "")&lt;&gt;"", "✓", "✗"), "✗")
)</f>
        <v/>
      </c>
      <c r="Y24">
        <f t="array" ref="Y24">IF(
    ISNUMBER(VALUE(LEFT($A24, 1))),
    "",
    IFERROR(IF(_xlfn.XLOOKUP($A24, INDIRECT("'" &amp; Y$2 &amp; "'!$A:$A"), INDIRECT("'" &amp; Y$2 &amp; "'!$B:$B"), "")&lt;&gt;"", "✓", "✗"), "✗")
)</f>
        <v/>
      </c>
      <c r="Z24">
        <f t="array" ref="Z24">IF(
    ISNUMBER(VALUE(LEFT($A24, 1))),
    "",
    IFERROR(IF(_xlfn.XLOOKUP($A24, INDIRECT("'" &amp; Z$2 &amp; "'!$A:$A"), INDIRECT("'" &amp; Z$2 &amp; "'!$B:$B"), "")&lt;&gt;"", "✓", "✗"), "✗")
)</f>
        <v/>
      </c>
      <c r="AA24">
        <f t="array" ref="AA24">IF(
    ISNUMBER(VALUE(LEFT($A24, 1))),
    "",
    IFERROR(IF(_xlfn.XLOOKUP($A24, INDIRECT("'" &amp; AA$2 &amp; "'!$A:$A"), INDIRECT("'" &amp; AA$2 &amp; "'!$B:$B"), "")&lt;&gt;"", "✓", "✗"), "✗")
)</f>
        <v/>
      </c>
      <c r="AB24">
        <f t="array" ref="AB24">IF(
    ISNUMBER(VALUE(LEFT($A24, 1))),
    "",
    IFERROR(IF(_xlfn.XLOOKUP($A24, INDIRECT("'" &amp; AB$2 &amp; "'!$A:$A"), INDIRECT("'" &amp; AB$2 &amp; "'!$B:$B"), "")&lt;&gt;"", "✓", "✗"), "✗")
)</f>
        <v/>
      </c>
      <c r="AC24">
        <f t="array" ref="AC24">IF(
    ISNUMBER(VALUE(LEFT($A24, 1))),
    "",
    IFERROR(IF(_xlfn.XLOOKUP($A24, INDIRECT("'" &amp; AC$2 &amp; "'!$A:$A"), INDIRECT("'" &amp; AC$2 &amp; "'!$B:$B"), "")&lt;&gt;"", "✓", "✗"), "✗")
)</f>
        <v/>
      </c>
      <c r="AD24">
        <f t="array" ref="AD24">IF(
    ISNUMBER(VALUE(LEFT($A24, 1))),
    "",
    IFERROR(IF(_xlfn.XLOOKUP($A24, INDIRECT("'" &amp; AD$2 &amp; "'!$A:$A"), INDIRECT("'" &amp; AD$2 &amp; "'!$B:$B"), "")&lt;&gt;"", "✓", "✗"), "✗")
)</f>
        <v/>
      </c>
      <c r="AE24">
        <f t="array" ref="AE24">IF(
    ISNUMBER(VALUE(LEFT($A24, 1))),
    "",
    IFERROR(IF(_xlfn.XLOOKUP($A24, INDIRECT("'" &amp; AE$2 &amp; "'!$A:$A"), INDIRECT("'" &amp; AE$2 &amp; "'!$B:$B"), "")&lt;&gt;"", "✓", "✗"), "✗")
)</f>
        <v/>
      </c>
      <c r="AF24">
        <f t="array" ref="AF24">IF(
    ISNUMBER(VALUE(LEFT($A24, 1))),
    "",
    IFERROR(IF(_xlfn.XLOOKUP($A24, INDIRECT("'" &amp; AF$2 &amp; "'!$A:$A"), INDIRECT("'" &amp; AF$2 &amp; "'!$B:$B"), "")&lt;&gt;"", "✓", "✗"), "✗")
)</f>
        <v/>
      </c>
      <c r="AG24">
        <f t="array" ref="AG24">IF(
    ISNUMBER(VALUE(LEFT($A24, 1))),
    "",
    IFERROR(IF(_xlfn.XLOOKUP($A24, INDIRECT("'" &amp; AG$2 &amp; "'!$A:$A"), INDIRECT("'" &amp; AG$2 &amp; "'!$B:$B"), "")&lt;&gt;"", "✓", "✗"), "✗")
)</f>
        <v/>
      </c>
    </row>
    <row r="25">
      <c r="A25" t="inlineStr">
        <is>
          <t>Company Name</t>
        </is>
      </c>
      <c r="B25">
        <f t="array" ref="B25">IF(
    ISNUMBER(VALUE(LEFT($A25, 1))),
    "",
    IFERROR(IF(_xlfn.XLOOKUP($A25, INDIRECT("'" &amp; B$2 &amp; "'!$A:$A"), INDIRECT("'" &amp; B$2 &amp; "'!$B:$B"), "")&lt;&gt;"", "✓", "✗"), "✗")
)</f>
        <v/>
      </c>
      <c r="C25">
        <f t="array" ref="C25">IF(
    ISNUMBER(VALUE(LEFT($A25, 1))),
    "",
    IFERROR(IF(_xlfn.XLOOKUP($A25, INDIRECT("'" &amp; C$2 &amp; "'!$A:$A"), INDIRECT("'" &amp; C$2 &amp; "'!$B:$B"), "")&lt;&gt;"", "✓", "✗"), "✗")
)</f>
        <v/>
      </c>
      <c r="D25">
        <f t="array" ref="D25">IF(
    ISNUMBER(VALUE(LEFT($A25, 1))),
    "",
    IFERROR(IF(_xlfn.XLOOKUP($A25, INDIRECT("'" &amp; D$2 &amp; "'!$A:$A"), INDIRECT("'" &amp; D$2 &amp; "'!$B:$B"), "")&lt;&gt;"", "✓", "✗"), "✗")
)</f>
        <v/>
      </c>
      <c r="E25">
        <f t="array" ref="E25">IF(
    ISNUMBER(VALUE(LEFT($A25, 1))),
    "",
    IFERROR(IF(_xlfn.XLOOKUP($A25, INDIRECT("'" &amp; E$2 &amp; "'!$A:$A"), INDIRECT("'" &amp; E$2 &amp; "'!$B:$B"), "")&lt;&gt;"", "✓", "✗"), "✗")
)</f>
        <v/>
      </c>
      <c r="F25">
        <f t="array" ref="F25">IF(
    ISNUMBER(VALUE(LEFT($A25, 1))),
    "",
    IFERROR(IF(_xlfn.XLOOKUP($A25, INDIRECT("'" &amp; F$2 &amp; "'!$A:$A"), INDIRECT("'" &amp; F$2 &amp; "'!$B:$B"), "")&lt;&gt;"", "✓", "✗"), "✗")
)</f>
        <v/>
      </c>
      <c r="G25">
        <f t="array" ref="G25">IF(
    ISNUMBER(VALUE(LEFT($A25, 1))),
    "",
    IFERROR(IF(_xlfn.XLOOKUP($A25, INDIRECT("'" &amp; G$2 &amp; "'!$A:$A"), INDIRECT("'" &amp; G$2 &amp; "'!$B:$B"), "")&lt;&gt;"", "✓", "✗"), "✗")
)</f>
        <v/>
      </c>
      <c r="H25">
        <f t="array" ref="H25">IF(
    ISNUMBER(VALUE(LEFT($A25, 1))),
    "",
    IFERROR(IF(_xlfn.XLOOKUP($A25, INDIRECT("'" &amp; H$2 &amp; "'!$A:$A"), INDIRECT("'" &amp; H$2 &amp; "'!$B:$B"), "")&lt;&gt;"", "✓", "✗"), "✗")
)</f>
        <v/>
      </c>
      <c r="I25">
        <f t="array" ref="I25">IF(
    ISNUMBER(VALUE(LEFT($A25, 1))),
    "",
    IFERROR(IF(_xlfn.XLOOKUP($A25, INDIRECT("'" &amp; I$2 &amp; "'!$A:$A"), INDIRECT("'" &amp; I$2 &amp; "'!$B:$B"), "")&lt;&gt;"", "✓", "✗"), "✗")
)</f>
        <v/>
      </c>
      <c r="J25">
        <f t="array" ref="J25">IF(
    ISNUMBER(VALUE(LEFT($A25, 1))),
    "",
    IFERROR(IF(_xlfn.XLOOKUP($A25, INDIRECT("'" &amp; J$2 &amp; "'!$A:$A"), INDIRECT("'" &amp; J$2 &amp; "'!$B:$B"), "")&lt;&gt;"", "✓", "✗"), "✗")
)</f>
        <v/>
      </c>
      <c r="K25">
        <f t="array" ref="K25">IF(
    ISNUMBER(VALUE(LEFT($A25, 1))),
    "",
    IFERROR(IF(_xlfn.XLOOKUP($A25, INDIRECT("'" &amp; K$2 &amp; "'!$A:$A"), INDIRECT("'" &amp; K$2 &amp; "'!$B:$B"), "")&lt;&gt;"", "✓", "✗"), "✗")
)</f>
        <v/>
      </c>
      <c r="L25">
        <f t="array" ref="L25">IF(
    ISNUMBER(VALUE(LEFT($A25, 1))),
    "",
    IFERROR(IF(_xlfn.XLOOKUP($A25, INDIRECT("'" &amp; L$2 &amp; "'!$A:$A"), INDIRECT("'" &amp; L$2 &amp; "'!$B:$B"), "")&lt;&gt;"", "✓", "✗"), "✗")
)</f>
        <v/>
      </c>
      <c r="M25">
        <f t="array" ref="M25">IF(
    ISNUMBER(VALUE(LEFT($A25, 1))),
    "",
    IFERROR(IF(_xlfn.XLOOKUP($A25, INDIRECT("'" &amp; M$2 &amp; "'!$A:$A"), INDIRECT("'" &amp; M$2 &amp; "'!$B:$B"), "")&lt;&gt;"", "✓", "✗"), "✗")
)</f>
        <v/>
      </c>
      <c r="N25">
        <f t="array" ref="N25">IF(
    ISNUMBER(VALUE(LEFT($A25, 1))),
    "",
    IFERROR(IF(_xlfn.XLOOKUP($A25, INDIRECT("'" &amp; N$2 &amp; "'!$A:$A"), INDIRECT("'" &amp; N$2 &amp; "'!$B:$B"), "")&lt;&gt;"", "✓", "✗"), "✗")
)</f>
        <v/>
      </c>
      <c r="O25">
        <f t="array" ref="O25">IF(
    ISNUMBER(VALUE(LEFT($A25, 1))),
    "",
    IFERROR(IF(_xlfn.XLOOKUP($A25, INDIRECT("'" &amp; O$2 &amp; "'!$A:$A"), INDIRECT("'" &amp; O$2 &amp; "'!$B:$B"), "")&lt;&gt;"", "✓", "✗"), "✗")
)</f>
        <v/>
      </c>
      <c r="P25">
        <f t="array" ref="P25">IF(
    ISNUMBER(VALUE(LEFT($A25, 1))),
    "",
    IFERROR(IF(_xlfn.XLOOKUP($A25, INDIRECT("'" &amp; P$2 &amp; "'!$A:$A"), INDIRECT("'" &amp; P$2 &amp; "'!$B:$B"), "")&lt;&gt;"", "✓", "✗"), "✗")
)</f>
        <v/>
      </c>
      <c r="Q25">
        <f t="array" ref="Q25">IF(
    ISNUMBER(VALUE(LEFT($A25, 1))),
    "",
    IFERROR(IF(_xlfn.XLOOKUP($A25, INDIRECT("'" &amp; Q$2 &amp; "'!$A:$A"), INDIRECT("'" &amp; Q$2 &amp; "'!$B:$B"), "")&lt;&gt;"", "✓", "✗"), "✗")
)</f>
        <v/>
      </c>
      <c r="R25">
        <f t="array" ref="R25">IF(
    ISNUMBER(VALUE(LEFT($A25, 1))),
    "",
    IFERROR(IF(_xlfn.XLOOKUP($A25, INDIRECT("'" &amp; R$2 &amp; "'!$A:$A"), INDIRECT("'" &amp; R$2 &amp; "'!$B:$B"), "")&lt;&gt;"", "✓", "✗"), "✗")
)</f>
        <v/>
      </c>
      <c r="S25">
        <f t="array" ref="S25">IF(
    ISNUMBER(VALUE(LEFT($A25, 1))),
    "",
    IFERROR(IF(_xlfn.XLOOKUP($A25, INDIRECT("'" &amp; S$2 &amp; "'!$A:$A"), INDIRECT("'" &amp; S$2 &amp; "'!$B:$B"), "")&lt;&gt;"", "✓", "✗"), "✗")
)</f>
        <v/>
      </c>
      <c r="T25">
        <f t="array" ref="T25">IF(
    ISNUMBER(VALUE(LEFT($A25, 1))),
    "",
    IFERROR(IF(_xlfn.XLOOKUP($A25, INDIRECT("'" &amp; T$2 &amp; "'!$A:$A"), INDIRECT("'" &amp; T$2 &amp; "'!$B:$B"), "")&lt;&gt;"", "✓", "✗"), "✗")
)</f>
        <v/>
      </c>
      <c r="U25">
        <f t="array" ref="U25">IF(
    ISNUMBER(VALUE(LEFT($A25, 1))),
    "",
    IFERROR(IF(_xlfn.XLOOKUP($A25, INDIRECT("'" &amp; U$2 &amp; "'!$A:$A"), INDIRECT("'" &amp; U$2 &amp; "'!$B:$B"), "")&lt;&gt;"", "✓", "✗"), "✗")
)</f>
        <v/>
      </c>
      <c r="V25">
        <f t="array" ref="V25">IF(
    ISNUMBER(VALUE(LEFT($A25, 1))),
    "",
    IFERROR(IF(_xlfn.XLOOKUP($A25, INDIRECT("'" &amp; V$2 &amp; "'!$A:$A"), INDIRECT("'" &amp; V$2 &amp; "'!$B:$B"), "")&lt;&gt;"", "✓", "✗"), "✗")
)</f>
        <v/>
      </c>
      <c r="W25">
        <f t="array" ref="W25">IF(
    ISNUMBER(VALUE(LEFT($A25, 1))),
    "",
    IFERROR(IF(_xlfn.XLOOKUP($A25, INDIRECT("'" &amp; W$2 &amp; "'!$A:$A"), INDIRECT("'" &amp; W$2 &amp; "'!$B:$B"), "")&lt;&gt;"", "✓", "✗"), "✗")
)</f>
        <v/>
      </c>
      <c r="X25">
        <f t="array" ref="X25">IF(
    ISNUMBER(VALUE(LEFT($A25, 1))),
    "",
    IFERROR(IF(_xlfn.XLOOKUP($A25, INDIRECT("'" &amp; X$2 &amp; "'!$A:$A"), INDIRECT("'" &amp; X$2 &amp; "'!$B:$B"), "")&lt;&gt;"", "✓", "✗"), "✗")
)</f>
        <v/>
      </c>
      <c r="Y25">
        <f t="array" ref="Y25">IF(
    ISNUMBER(VALUE(LEFT($A25, 1))),
    "",
    IFERROR(IF(_xlfn.XLOOKUP($A25, INDIRECT("'" &amp; Y$2 &amp; "'!$A:$A"), INDIRECT("'" &amp; Y$2 &amp; "'!$B:$B"), "")&lt;&gt;"", "✓", "✗"), "✗")
)</f>
        <v/>
      </c>
      <c r="Z25">
        <f t="array" ref="Z25">IF(
    ISNUMBER(VALUE(LEFT($A25, 1))),
    "",
    IFERROR(IF(_xlfn.XLOOKUP($A25, INDIRECT("'" &amp; Z$2 &amp; "'!$A:$A"), INDIRECT("'" &amp; Z$2 &amp; "'!$B:$B"), "")&lt;&gt;"", "✓", "✗"), "✗")
)</f>
        <v/>
      </c>
      <c r="AA25">
        <f t="array" ref="AA25">IF(
    ISNUMBER(VALUE(LEFT($A25, 1))),
    "",
    IFERROR(IF(_xlfn.XLOOKUP($A25, INDIRECT("'" &amp; AA$2 &amp; "'!$A:$A"), INDIRECT("'" &amp; AA$2 &amp; "'!$B:$B"), "")&lt;&gt;"", "✓", "✗"), "✗")
)</f>
        <v/>
      </c>
      <c r="AB25">
        <f t="array" ref="AB25">IF(
    ISNUMBER(VALUE(LEFT($A25, 1))),
    "",
    IFERROR(IF(_xlfn.XLOOKUP($A25, INDIRECT("'" &amp; AB$2 &amp; "'!$A:$A"), INDIRECT("'" &amp; AB$2 &amp; "'!$B:$B"), "")&lt;&gt;"", "✓", "✗"), "✗")
)</f>
        <v/>
      </c>
      <c r="AC25">
        <f t="array" ref="AC25">IF(
    ISNUMBER(VALUE(LEFT($A25, 1))),
    "",
    IFERROR(IF(_xlfn.XLOOKUP($A25, INDIRECT("'" &amp; AC$2 &amp; "'!$A:$A"), INDIRECT("'" &amp; AC$2 &amp; "'!$B:$B"), "")&lt;&gt;"", "✓", "✗"), "✗")
)</f>
        <v/>
      </c>
      <c r="AD25">
        <f t="array" ref="AD25">IF(
    ISNUMBER(VALUE(LEFT($A25, 1))),
    "",
    IFERROR(IF(_xlfn.XLOOKUP($A25, INDIRECT("'" &amp; AD$2 &amp; "'!$A:$A"), INDIRECT("'" &amp; AD$2 &amp; "'!$B:$B"), "")&lt;&gt;"", "✓", "✗"), "✗")
)</f>
        <v/>
      </c>
      <c r="AE25">
        <f t="array" ref="AE25">IF(
    ISNUMBER(VALUE(LEFT($A25, 1))),
    "",
    IFERROR(IF(_xlfn.XLOOKUP($A25, INDIRECT("'" &amp; AE$2 &amp; "'!$A:$A"), INDIRECT("'" &amp; AE$2 &amp; "'!$B:$B"), "")&lt;&gt;"", "✓", "✗"), "✗")
)</f>
        <v/>
      </c>
      <c r="AF25">
        <f t="array" ref="AF25">IF(
    ISNUMBER(VALUE(LEFT($A25, 1))),
    "",
    IFERROR(IF(_xlfn.XLOOKUP($A25, INDIRECT("'" &amp; AF$2 &amp; "'!$A:$A"), INDIRECT("'" &amp; AF$2 &amp; "'!$B:$B"), "")&lt;&gt;"", "✓", "✗"), "✗")
)</f>
        <v/>
      </c>
      <c r="AG25">
        <f t="array" ref="AG25">IF(
    ISNUMBER(VALUE(LEFT($A25, 1))),
    "",
    IFERROR(IF(_xlfn.XLOOKUP($A25, INDIRECT("'" &amp; AG$2 &amp; "'!$A:$A"), INDIRECT("'" &amp; AG$2 &amp; "'!$B:$B"), "")&lt;&gt;"", "✓", "✗"), "✗")
)</f>
        <v/>
      </c>
    </row>
    <row r="26">
      <c r="A26" t="inlineStr">
        <is>
          <t xml:space="preserve">Region </t>
        </is>
      </c>
      <c r="B26">
        <f t="array" ref="B26">IF(
    ISNUMBER(VALUE(LEFT($A26, 1))),
    "",
    IFERROR(IF(_xlfn.XLOOKUP($A26, INDIRECT("'" &amp; B$2 &amp; "'!$A:$A"), INDIRECT("'" &amp; B$2 &amp; "'!$B:$B"), "")&lt;&gt;"", "✓", "✗"), "✗")
)</f>
        <v/>
      </c>
      <c r="C26">
        <f t="array" ref="C26">IF(
    ISNUMBER(VALUE(LEFT($A26, 1))),
    "",
    IFERROR(IF(_xlfn.XLOOKUP($A26, INDIRECT("'" &amp; C$2 &amp; "'!$A:$A"), INDIRECT("'" &amp; C$2 &amp; "'!$B:$B"), "")&lt;&gt;"", "✓", "✗"), "✗")
)</f>
        <v/>
      </c>
      <c r="D26">
        <f t="array" ref="D26">IF(
    ISNUMBER(VALUE(LEFT($A26, 1))),
    "",
    IFERROR(IF(_xlfn.XLOOKUP($A26, INDIRECT("'" &amp; D$2 &amp; "'!$A:$A"), INDIRECT("'" &amp; D$2 &amp; "'!$B:$B"), "")&lt;&gt;"", "✓", "✗"), "✗")
)</f>
        <v/>
      </c>
      <c r="E26">
        <f t="array" ref="E26">IF(
    ISNUMBER(VALUE(LEFT($A26, 1))),
    "",
    IFERROR(IF(_xlfn.XLOOKUP($A26, INDIRECT("'" &amp; E$2 &amp; "'!$A:$A"), INDIRECT("'" &amp; E$2 &amp; "'!$B:$B"), "")&lt;&gt;"", "✓", "✗"), "✗")
)</f>
        <v/>
      </c>
      <c r="F26">
        <f t="array" ref="F26">IF(
    ISNUMBER(VALUE(LEFT($A26, 1))),
    "",
    IFERROR(IF(_xlfn.XLOOKUP($A26, INDIRECT("'" &amp; F$2 &amp; "'!$A:$A"), INDIRECT("'" &amp; F$2 &amp; "'!$B:$B"), "")&lt;&gt;"", "✓", "✗"), "✗")
)</f>
        <v/>
      </c>
      <c r="G26">
        <f t="array" ref="G26">IF(
    ISNUMBER(VALUE(LEFT($A26, 1))),
    "",
    IFERROR(IF(_xlfn.XLOOKUP($A26, INDIRECT("'" &amp; G$2 &amp; "'!$A:$A"), INDIRECT("'" &amp; G$2 &amp; "'!$B:$B"), "")&lt;&gt;"", "✓", "✗"), "✗")
)</f>
        <v/>
      </c>
      <c r="H26">
        <f t="array" ref="H26">IF(
    ISNUMBER(VALUE(LEFT($A26, 1))),
    "",
    IFERROR(IF(_xlfn.XLOOKUP($A26, INDIRECT("'" &amp; H$2 &amp; "'!$A:$A"), INDIRECT("'" &amp; H$2 &amp; "'!$B:$B"), "")&lt;&gt;"", "✓", "✗"), "✗")
)</f>
        <v/>
      </c>
      <c r="I26">
        <f t="array" ref="I26">IF(
    ISNUMBER(VALUE(LEFT($A26, 1))),
    "",
    IFERROR(IF(_xlfn.XLOOKUP($A26, INDIRECT("'" &amp; I$2 &amp; "'!$A:$A"), INDIRECT("'" &amp; I$2 &amp; "'!$B:$B"), "")&lt;&gt;"", "✓", "✗"), "✗")
)</f>
        <v/>
      </c>
      <c r="J26">
        <f t="array" ref="J26">IF(
    ISNUMBER(VALUE(LEFT($A26, 1))),
    "",
    IFERROR(IF(_xlfn.XLOOKUP($A26, INDIRECT("'" &amp; J$2 &amp; "'!$A:$A"), INDIRECT("'" &amp; J$2 &amp; "'!$B:$B"), "")&lt;&gt;"", "✓", "✗"), "✗")
)</f>
        <v/>
      </c>
      <c r="K26">
        <f t="array" ref="K26">IF(
    ISNUMBER(VALUE(LEFT($A26, 1))),
    "",
    IFERROR(IF(_xlfn.XLOOKUP($A26, INDIRECT("'" &amp; K$2 &amp; "'!$A:$A"), INDIRECT("'" &amp; K$2 &amp; "'!$B:$B"), "")&lt;&gt;"", "✓", "✗"), "✗")
)</f>
        <v/>
      </c>
      <c r="L26">
        <f t="array" ref="L26">IF(
    ISNUMBER(VALUE(LEFT($A26, 1))),
    "",
    IFERROR(IF(_xlfn.XLOOKUP($A26, INDIRECT("'" &amp; L$2 &amp; "'!$A:$A"), INDIRECT("'" &amp; L$2 &amp; "'!$B:$B"), "")&lt;&gt;"", "✓", "✗"), "✗")
)</f>
        <v/>
      </c>
      <c r="M26">
        <f t="array" ref="M26">IF(
    ISNUMBER(VALUE(LEFT($A26, 1))),
    "",
    IFERROR(IF(_xlfn.XLOOKUP($A26, INDIRECT("'" &amp; M$2 &amp; "'!$A:$A"), INDIRECT("'" &amp; M$2 &amp; "'!$B:$B"), "")&lt;&gt;"", "✓", "✗"), "✗")
)</f>
        <v/>
      </c>
      <c r="N26">
        <f t="array" ref="N26">IF(
    ISNUMBER(VALUE(LEFT($A26, 1))),
    "",
    IFERROR(IF(_xlfn.XLOOKUP($A26, INDIRECT("'" &amp; N$2 &amp; "'!$A:$A"), INDIRECT("'" &amp; N$2 &amp; "'!$B:$B"), "")&lt;&gt;"", "✓", "✗"), "✗")
)</f>
        <v/>
      </c>
      <c r="O26">
        <f t="array" ref="O26">IF(
    ISNUMBER(VALUE(LEFT($A26, 1))),
    "",
    IFERROR(IF(_xlfn.XLOOKUP($A26, INDIRECT("'" &amp; O$2 &amp; "'!$A:$A"), INDIRECT("'" &amp; O$2 &amp; "'!$B:$B"), "")&lt;&gt;"", "✓", "✗"), "✗")
)</f>
        <v/>
      </c>
      <c r="P26">
        <f t="array" ref="P26">IF(
    ISNUMBER(VALUE(LEFT($A26, 1))),
    "",
    IFERROR(IF(_xlfn.XLOOKUP($A26, INDIRECT("'" &amp; P$2 &amp; "'!$A:$A"), INDIRECT("'" &amp; P$2 &amp; "'!$B:$B"), "")&lt;&gt;"", "✓", "✗"), "✗")
)</f>
        <v/>
      </c>
      <c r="Q26">
        <f t="array" ref="Q26">IF(
    ISNUMBER(VALUE(LEFT($A26, 1))),
    "",
    IFERROR(IF(_xlfn.XLOOKUP($A26, INDIRECT("'" &amp; Q$2 &amp; "'!$A:$A"), INDIRECT("'" &amp; Q$2 &amp; "'!$B:$B"), "")&lt;&gt;"", "✓", "✗"), "✗")
)</f>
        <v/>
      </c>
      <c r="R26">
        <f t="array" ref="R26">IF(
    ISNUMBER(VALUE(LEFT($A26, 1))),
    "",
    IFERROR(IF(_xlfn.XLOOKUP($A26, INDIRECT("'" &amp; R$2 &amp; "'!$A:$A"), INDIRECT("'" &amp; R$2 &amp; "'!$B:$B"), "")&lt;&gt;"", "✓", "✗"), "✗")
)</f>
        <v/>
      </c>
      <c r="S26">
        <f t="array" ref="S26">IF(
    ISNUMBER(VALUE(LEFT($A26, 1))),
    "",
    IFERROR(IF(_xlfn.XLOOKUP($A26, INDIRECT("'" &amp; S$2 &amp; "'!$A:$A"), INDIRECT("'" &amp; S$2 &amp; "'!$B:$B"), "")&lt;&gt;"", "✓", "✗"), "✗")
)</f>
        <v/>
      </c>
      <c r="T26">
        <f t="array" ref="T26">IF(
    ISNUMBER(VALUE(LEFT($A26, 1))),
    "",
    IFERROR(IF(_xlfn.XLOOKUP($A26, INDIRECT("'" &amp; T$2 &amp; "'!$A:$A"), INDIRECT("'" &amp; T$2 &amp; "'!$B:$B"), "")&lt;&gt;"", "✓", "✗"), "✗")
)</f>
        <v/>
      </c>
      <c r="U26">
        <f t="array" ref="U26">IF(
    ISNUMBER(VALUE(LEFT($A26, 1))),
    "",
    IFERROR(IF(_xlfn.XLOOKUP($A26, INDIRECT("'" &amp; U$2 &amp; "'!$A:$A"), INDIRECT("'" &amp; U$2 &amp; "'!$B:$B"), "")&lt;&gt;"", "✓", "✗"), "✗")
)</f>
        <v/>
      </c>
      <c r="V26">
        <f t="array" ref="V26">IF(
    ISNUMBER(VALUE(LEFT($A26, 1))),
    "",
    IFERROR(IF(_xlfn.XLOOKUP($A26, INDIRECT("'" &amp; V$2 &amp; "'!$A:$A"), INDIRECT("'" &amp; V$2 &amp; "'!$B:$B"), "")&lt;&gt;"", "✓", "✗"), "✗")
)</f>
        <v/>
      </c>
      <c r="W26">
        <f t="array" ref="W26">IF(
    ISNUMBER(VALUE(LEFT($A26, 1))),
    "",
    IFERROR(IF(_xlfn.XLOOKUP($A26, INDIRECT("'" &amp; W$2 &amp; "'!$A:$A"), INDIRECT("'" &amp; W$2 &amp; "'!$B:$B"), "")&lt;&gt;"", "✓", "✗"), "✗")
)</f>
        <v/>
      </c>
      <c r="X26">
        <f t="array" ref="X26">IF(
    ISNUMBER(VALUE(LEFT($A26, 1))),
    "",
    IFERROR(IF(_xlfn.XLOOKUP($A26, INDIRECT("'" &amp; X$2 &amp; "'!$A:$A"), INDIRECT("'" &amp; X$2 &amp; "'!$B:$B"), "")&lt;&gt;"", "✓", "✗"), "✗")
)</f>
        <v/>
      </c>
      <c r="Y26">
        <f t="array" ref="Y26">IF(
    ISNUMBER(VALUE(LEFT($A26, 1))),
    "",
    IFERROR(IF(_xlfn.XLOOKUP($A26, INDIRECT("'" &amp; Y$2 &amp; "'!$A:$A"), INDIRECT("'" &amp; Y$2 &amp; "'!$B:$B"), "")&lt;&gt;"", "✓", "✗"), "✗")
)</f>
        <v/>
      </c>
      <c r="Z26">
        <f t="array" ref="Z26">IF(
    ISNUMBER(VALUE(LEFT($A26, 1))),
    "",
    IFERROR(IF(_xlfn.XLOOKUP($A26, INDIRECT("'" &amp; Z$2 &amp; "'!$A:$A"), INDIRECT("'" &amp; Z$2 &amp; "'!$B:$B"), "")&lt;&gt;"", "✓", "✗"), "✗")
)</f>
        <v/>
      </c>
      <c r="AA26">
        <f t="array" ref="AA26">IF(
    ISNUMBER(VALUE(LEFT($A26, 1))),
    "",
    IFERROR(IF(_xlfn.XLOOKUP($A26, INDIRECT("'" &amp; AA$2 &amp; "'!$A:$A"), INDIRECT("'" &amp; AA$2 &amp; "'!$B:$B"), "")&lt;&gt;"", "✓", "✗"), "✗")
)</f>
        <v/>
      </c>
      <c r="AB26">
        <f t="array" ref="AB26">IF(
    ISNUMBER(VALUE(LEFT($A26, 1))),
    "",
    IFERROR(IF(_xlfn.XLOOKUP($A26, INDIRECT("'" &amp; AB$2 &amp; "'!$A:$A"), INDIRECT("'" &amp; AB$2 &amp; "'!$B:$B"), "")&lt;&gt;"", "✓", "✗"), "✗")
)</f>
        <v/>
      </c>
      <c r="AC26">
        <f t="array" ref="AC26">IF(
    ISNUMBER(VALUE(LEFT($A26, 1))),
    "",
    IFERROR(IF(_xlfn.XLOOKUP($A26, INDIRECT("'" &amp; AC$2 &amp; "'!$A:$A"), INDIRECT("'" &amp; AC$2 &amp; "'!$B:$B"), "")&lt;&gt;"", "✓", "✗"), "✗")
)</f>
        <v/>
      </c>
      <c r="AD26">
        <f t="array" ref="AD26">IF(
    ISNUMBER(VALUE(LEFT($A26, 1))),
    "",
    IFERROR(IF(_xlfn.XLOOKUP($A26, INDIRECT("'" &amp; AD$2 &amp; "'!$A:$A"), INDIRECT("'" &amp; AD$2 &amp; "'!$B:$B"), "")&lt;&gt;"", "✓", "✗"), "✗")
)</f>
        <v/>
      </c>
      <c r="AE26">
        <f t="array" ref="AE26">IF(
    ISNUMBER(VALUE(LEFT($A26, 1))),
    "",
    IFERROR(IF(_xlfn.XLOOKUP($A26, INDIRECT("'" &amp; AE$2 &amp; "'!$A:$A"), INDIRECT("'" &amp; AE$2 &amp; "'!$B:$B"), "")&lt;&gt;"", "✓", "✗"), "✗")
)</f>
        <v/>
      </c>
      <c r="AF26">
        <f t="array" ref="AF26">IF(
    ISNUMBER(VALUE(LEFT($A26, 1))),
    "",
    IFERROR(IF(_xlfn.XLOOKUP($A26, INDIRECT("'" &amp; AF$2 &amp; "'!$A:$A"), INDIRECT("'" &amp; AF$2 &amp; "'!$B:$B"), "")&lt;&gt;"", "✓", "✗"), "✗")
)</f>
        <v/>
      </c>
      <c r="AG26">
        <f t="array" ref="AG26">IF(
    ISNUMBER(VALUE(LEFT($A26, 1))),
    "",
    IFERROR(IF(_xlfn.XLOOKUP($A26, INDIRECT("'" &amp; AG$2 &amp; "'!$A:$A"), INDIRECT("'" &amp; AG$2 &amp; "'!$B:$B"), "")&lt;&gt;"", "✓", "✗"), "✗")
)</f>
        <v/>
      </c>
    </row>
    <row r="27">
      <c r="A27" t="inlineStr">
        <is>
          <t>3 - Account Identity</t>
        </is>
      </c>
      <c r="B27">
        <f t="array" ref="B27">IF(
    ISNUMBER(VALUE(LEFT($A27, 1))),
    "",
    IFERROR(IF(_xlfn.XLOOKUP($A27, INDIRECT("'" &amp; B$2 &amp; "'!$A:$A"), INDIRECT("'" &amp; B$2 &amp; "'!$B:$B"), "")&lt;&gt;"", "✓", "✗"), "✗")
)</f>
        <v/>
      </c>
      <c r="C27">
        <f t="array" ref="C27">IF(
    ISNUMBER(VALUE(LEFT($A27, 1))),
    "",
    IFERROR(IF(_xlfn.XLOOKUP($A27, INDIRECT("'" &amp; C$2 &amp; "'!$A:$A"), INDIRECT("'" &amp; C$2 &amp; "'!$B:$B"), "")&lt;&gt;"", "✓", "✗"), "✗")
)</f>
        <v/>
      </c>
      <c r="D27">
        <f t="array" ref="D27">IF(
    ISNUMBER(VALUE(LEFT($A27, 1))),
    "",
    IFERROR(IF(_xlfn.XLOOKUP($A27, INDIRECT("'" &amp; D$2 &amp; "'!$A:$A"), INDIRECT("'" &amp; D$2 &amp; "'!$B:$B"), "")&lt;&gt;"", "✓", "✗"), "✗")
)</f>
        <v/>
      </c>
      <c r="E27">
        <f t="array" ref="E27">IF(
    ISNUMBER(VALUE(LEFT($A27, 1))),
    "",
    IFERROR(IF(_xlfn.XLOOKUP($A27, INDIRECT("'" &amp; E$2 &amp; "'!$A:$A"), INDIRECT("'" &amp; E$2 &amp; "'!$B:$B"), "")&lt;&gt;"", "✓", "✗"), "✗")
)</f>
        <v/>
      </c>
      <c r="F27">
        <f t="array" ref="F27">IF(
    ISNUMBER(VALUE(LEFT($A27, 1))),
    "",
    IFERROR(IF(_xlfn.XLOOKUP($A27, INDIRECT("'" &amp; F$2 &amp; "'!$A:$A"), INDIRECT("'" &amp; F$2 &amp; "'!$B:$B"), "")&lt;&gt;"", "✓", "✗"), "✗")
)</f>
        <v/>
      </c>
      <c r="G27">
        <f t="array" ref="G27">IF(
    ISNUMBER(VALUE(LEFT($A27, 1))),
    "",
    IFERROR(IF(_xlfn.XLOOKUP($A27, INDIRECT("'" &amp; G$2 &amp; "'!$A:$A"), INDIRECT("'" &amp; G$2 &amp; "'!$B:$B"), "")&lt;&gt;"", "✓", "✗"), "✗")
)</f>
        <v/>
      </c>
      <c r="H27">
        <f t="array" ref="H27">IF(
    ISNUMBER(VALUE(LEFT($A27, 1))),
    "",
    IFERROR(IF(_xlfn.XLOOKUP($A27, INDIRECT("'" &amp; H$2 &amp; "'!$A:$A"), INDIRECT("'" &amp; H$2 &amp; "'!$B:$B"), "")&lt;&gt;"", "✓", "✗"), "✗")
)</f>
        <v/>
      </c>
      <c r="I27">
        <f t="array" ref="I27">IF(
    ISNUMBER(VALUE(LEFT($A27, 1))),
    "",
    IFERROR(IF(_xlfn.XLOOKUP($A27, INDIRECT("'" &amp; I$2 &amp; "'!$A:$A"), INDIRECT("'" &amp; I$2 &amp; "'!$B:$B"), "")&lt;&gt;"", "✓", "✗"), "✗")
)</f>
        <v/>
      </c>
      <c r="J27">
        <f t="array" ref="J27">IF(
    ISNUMBER(VALUE(LEFT($A27, 1))),
    "",
    IFERROR(IF(_xlfn.XLOOKUP($A27, INDIRECT("'" &amp; J$2 &amp; "'!$A:$A"), INDIRECT("'" &amp; J$2 &amp; "'!$B:$B"), "")&lt;&gt;"", "✓", "✗"), "✗")
)</f>
        <v/>
      </c>
      <c r="K27">
        <f t="array" ref="K27">IF(
    ISNUMBER(VALUE(LEFT($A27, 1))),
    "",
    IFERROR(IF(_xlfn.XLOOKUP($A27, INDIRECT("'" &amp; K$2 &amp; "'!$A:$A"), INDIRECT("'" &amp; K$2 &amp; "'!$B:$B"), "")&lt;&gt;"", "✓", "✗"), "✗")
)</f>
        <v/>
      </c>
      <c r="L27">
        <f t="array" ref="L27">IF(
    ISNUMBER(VALUE(LEFT($A27, 1))),
    "",
    IFERROR(IF(_xlfn.XLOOKUP($A27, INDIRECT("'" &amp; L$2 &amp; "'!$A:$A"), INDIRECT("'" &amp; L$2 &amp; "'!$B:$B"), "")&lt;&gt;"", "✓", "✗"), "✗")
)</f>
        <v/>
      </c>
      <c r="M27">
        <f t="array" ref="M27">IF(
    ISNUMBER(VALUE(LEFT($A27, 1))),
    "",
    IFERROR(IF(_xlfn.XLOOKUP($A27, INDIRECT("'" &amp; M$2 &amp; "'!$A:$A"), INDIRECT("'" &amp; M$2 &amp; "'!$B:$B"), "")&lt;&gt;"", "✓", "✗"), "✗")
)</f>
        <v/>
      </c>
      <c r="N27">
        <f t="array" ref="N27">IF(
    ISNUMBER(VALUE(LEFT($A27, 1))),
    "",
    IFERROR(IF(_xlfn.XLOOKUP($A27, INDIRECT("'" &amp; N$2 &amp; "'!$A:$A"), INDIRECT("'" &amp; N$2 &amp; "'!$B:$B"), "")&lt;&gt;"", "✓", "✗"), "✗")
)</f>
        <v/>
      </c>
      <c r="O27">
        <f t="array" ref="O27">IF(
    ISNUMBER(VALUE(LEFT($A27, 1))),
    "",
    IFERROR(IF(_xlfn.XLOOKUP($A27, INDIRECT("'" &amp; O$2 &amp; "'!$A:$A"), INDIRECT("'" &amp; O$2 &amp; "'!$B:$B"), "")&lt;&gt;"", "✓", "✗"), "✗")
)</f>
        <v/>
      </c>
      <c r="P27">
        <f t="array" ref="P27">IF(
    ISNUMBER(VALUE(LEFT($A27, 1))),
    "",
    IFERROR(IF(_xlfn.XLOOKUP($A27, INDIRECT("'" &amp; P$2 &amp; "'!$A:$A"), INDIRECT("'" &amp; P$2 &amp; "'!$B:$B"), "")&lt;&gt;"", "✓", "✗"), "✗")
)</f>
        <v/>
      </c>
      <c r="Q27">
        <f t="array" ref="Q27">IF(
    ISNUMBER(VALUE(LEFT($A27, 1))),
    "",
    IFERROR(IF(_xlfn.XLOOKUP($A27, INDIRECT("'" &amp; Q$2 &amp; "'!$A:$A"), INDIRECT("'" &amp; Q$2 &amp; "'!$B:$B"), "")&lt;&gt;"", "✓", "✗"), "✗")
)</f>
        <v/>
      </c>
      <c r="R27">
        <f t="array" ref="R27">IF(
    ISNUMBER(VALUE(LEFT($A27, 1))),
    "",
    IFERROR(IF(_xlfn.XLOOKUP($A27, INDIRECT("'" &amp; R$2 &amp; "'!$A:$A"), INDIRECT("'" &amp; R$2 &amp; "'!$B:$B"), "")&lt;&gt;"", "✓", "✗"), "✗")
)</f>
        <v/>
      </c>
      <c r="S27">
        <f t="array" ref="S27">IF(
    ISNUMBER(VALUE(LEFT($A27, 1))),
    "",
    IFERROR(IF(_xlfn.XLOOKUP($A27, INDIRECT("'" &amp; S$2 &amp; "'!$A:$A"), INDIRECT("'" &amp; S$2 &amp; "'!$B:$B"), "")&lt;&gt;"", "✓", "✗"), "✗")
)</f>
        <v/>
      </c>
      <c r="T27">
        <f t="array" ref="T27">IF(
    ISNUMBER(VALUE(LEFT($A27, 1))),
    "",
    IFERROR(IF(_xlfn.XLOOKUP($A27, INDIRECT("'" &amp; T$2 &amp; "'!$A:$A"), INDIRECT("'" &amp; T$2 &amp; "'!$B:$B"), "")&lt;&gt;"", "✓", "✗"), "✗")
)</f>
        <v/>
      </c>
      <c r="U27">
        <f t="array" ref="U27">IF(
    ISNUMBER(VALUE(LEFT($A27, 1))),
    "",
    IFERROR(IF(_xlfn.XLOOKUP($A27, INDIRECT("'" &amp; U$2 &amp; "'!$A:$A"), INDIRECT("'" &amp; U$2 &amp; "'!$B:$B"), "")&lt;&gt;"", "✓", "✗"), "✗")
)</f>
        <v/>
      </c>
      <c r="V27">
        <f t="array" ref="V27">IF(
    ISNUMBER(VALUE(LEFT($A27, 1))),
    "",
    IFERROR(IF(_xlfn.XLOOKUP($A27, INDIRECT("'" &amp; V$2 &amp; "'!$A:$A"), INDIRECT("'" &amp; V$2 &amp; "'!$B:$B"), "")&lt;&gt;"", "✓", "✗"), "✗")
)</f>
        <v/>
      </c>
      <c r="W27">
        <f t="array" ref="W27">IF(
    ISNUMBER(VALUE(LEFT($A27, 1))),
    "",
    IFERROR(IF(_xlfn.XLOOKUP($A27, INDIRECT("'" &amp; W$2 &amp; "'!$A:$A"), INDIRECT("'" &amp; W$2 &amp; "'!$B:$B"), "")&lt;&gt;"", "✓", "✗"), "✗")
)</f>
        <v/>
      </c>
      <c r="X27">
        <f t="array" ref="X27">IF(
    ISNUMBER(VALUE(LEFT($A27, 1))),
    "",
    IFERROR(IF(_xlfn.XLOOKUP($A27, INDIRECT("'" &amp; X$2 &amp; "'!$A:$A"), INDIRECT("'" &amp; X$2 &amp; "'!$B:$B"), "")&lt;&gt;"", "✓", "✗"), "✗")
)</f>
        <v/>
      </c>
      <c r="Y27">
        <f t="array" ref="Y27">IF(
    ISNUMBER(VALUE(LEFT($A27, 1))),
    "",
    IFERROR(IF(_xlfn.XLOOKUP($A27, INDIRECT("'" &amp; Y$2 &amp; "'!$A:$A"), INDIRECT("'" &amp; Y$2 &amp; "'!$B:$B"), "")&lt;&gt;"", "✓", "✗"), "✗")
)</f>
        <v/>
      </c>
      <c r="Z27">
        <f t="array" ref="Z27">IF(
    ISNUMBER(VALUE(LEFT($A27, 1))),
    "",
    IFERROR(IF(_xlfn.XLOOKUP($A27, INDIRECT("'" &amp; Z$2 &amp; "'!$A:$A"), INDIRECT("'" &amp; Z$2 &amp; "'!$B:$B"), "")&lt;&gt;"", "✓", "✗"), "✗")
)</f>
        <v/>
      </c>
      <c r="AA27">
        <f t="array" ref="AA27">IF(
    ISNUMBER(VALUE(LEFT($A27, 1))),
    "",
    IFERROR(IF(_xlfn.XLOOKUP($A27, INDIRECT("'" &amp; AA$2 &amp; "'!$A:$A"), INDIRECT("'" &amp; AA$2 &amp; "'!$B:$B"), "")&lt;&gt;"", "✓", "✗"), "✗")
)</f>
        <v/>
      </c>
      <c r="AB27">
        <f t="array" ref="AB27">IF(
    ISNUMBER(VALUE(LEFT($A27, 1))),
    "",
    IFERROR(IF(_xlfn.XLOOKUP($A27, INDIRECT("'" &amp; AB$2 &amp; "'!$A:$A"), INDIRECT("'" &amp; AB$2 &amp; "'!$B:$B"), "")&lt;&gt;"", "✓", "✗"), "✗")
)</f>
        <v/>
      </c>
      <c r="AC27">
        <f t="array" ref="AC27">IF(
    ISNUMBER(VALUE(LEFT($A27, 1))),
    "",
    IFERROR(IF(_xlfn.XLOOKUP($A27, INDIRECT("'" &amp; AC$2 &amp; "'!$A:$A"), INDIRECT("'" &amp; AC$2 &amp; "'!$B:$B"), "")&lt;&gt;"", "✓", "✗"), "✗")
)</f>
        <v/>
      </c>
      <c r="AD27">
        <f t="array" ref="AD27">IF(
    ISNUMBER(VALUE(LEFT($A27, 1))),
    "",
    IFERROR(IF(_xlfn.XLOOKUP($A27, INDIRECT("'" &amp; AD$2 &amp; "'!$A:$A"), INDIRECT("'" &amp; AD$2 &amp; "'!$B:$B"), "")&lt;&gt;"", "✓", "✗"), "✗")
)</f>
        <v/>
      </c>
      <c r="AE27">
        <f t="array" ref="AE27">IF(
    ISNUMBER(VALUE(LEFT($A27, 1))),
    "",
    IFERROR(IF(_xlfn.XLOOKUP($A27, INDIRECT("'" &amp; AE$2 &amp; "'!$A:$A"), INDIRECT("'" &amp; AE$2 &amp; "'!$B:$B"), "")&lt;&gt;"", "✓", "✗"), "✗")
)</f>
        <v/>
      </c>
      <c r="AF27">
        <f t="array" ref="AF27">IF(
    ISNUMBER(VALUE(LEFT($A27, 1))),
    "",
    IFERROR(IF(_xlfn.XLOOKUP($A27, INDIRECT("'" &amp; AF$2 &amp; "'!$A:$A"), INDIRECT("'" &amp; AF$2 &amp; "'!$B:$B"), "")&lt;&gt;"", "✓", "✗"), "✗")
)</f>
        <v/>
      </c>
      <c r="AG27">
        <f t="array" ref="AG27">IF(
    ISNUMBER(VALUE(LEFT($A27, 1))),
    "",
    IFERROR(IF(_xlfn.XLOOKUP($A27, INDIRECT("'" &amp; AG$2 &amp; "'!$A:$A"), INDIRECT("'" &amp; AG$2 &amp; "'!$B:$B"), "")&lt;&gt;"", "✓", "✗"), "✗")
)</f>
        <v/>
      </c>
    </row>
    <row r="28">
      <c r="A28" t="inlineStr">
        <is>
          <t>CR Party ID</t>
        </is>
      </c>
      <c r="B28">
        <f t="array" ref="B28">IF(
    ISNUMBER(VALUE(LEFT($A28, 1))),
    "",
    IFERROR(IF(_xlfn.XLOOKUP($A28, INDIRECT("'" &amp; B$2 &amp; "'!$A:$A"), INDIRECT("'" &amp; B$2 &amp; "'!$B:$B"), "")&lt;&gt;"", "✓", "✗"), "✗")
)</f>
        <v/>
      </c>
      <c r="C28">
        <f t="array" ref="C28">IF(
    ISNUMBER(VALUE(LEFT($A28, 1))),
    "",
    IFERROR(IF(_xlfn.XLOOKUP($A28, INDIRECT("'" &amp; C$2 &amp; "'!$A:$A"), INDIRECT("'" &amp; C$2 &amp; "'!$B:$B"), "")&lt;&gt;"", "✓", "✗"), "✗")
)</f>
        <v/>
      </c>
      <c r="D28">
        <f t="array" ref="D28">IF(
    ISNUMBER(VALUE(LEFT($A28, 1))),
    "",
    IFERROR(IF(_xlfn.XLOOKUP($A28, INDIRECT("'" &amp; D$2 &amp; "'!$A:$A"), INDIRECT("'" &amp; D$2 &amp; "'!$B:$B"), "")&lt;&gt;"", "✓", "✗"), "✗")
)</f>
        <v/>
      </c>
      <c r="E28">
        <f t="array" ref="E28">IF(
    ISNUMBER(VALUE(LEFT($A28, 1))),
    "",
    IFERROR(IF(_xlfn.XLOOKUP($A28, INDIRECT("'" &amp; E$2 &amp; "'!$A:$A"), INDIRECT("'" &amp; E$2 &amp; "'!$B:$B"), "")&lt;&gt;"", "✓", "✗"), "✗")
)</f>
        <v/>
      </c>
      <c r="F28">
        <f t="array" ref="F28">IF(
    ISNUMBER(VALUE(LEFT($A28, 1))),
    "",
    IFERROR(IF(_xlfn.XLOOKUP($A28, INDIRECT("'" &amp; F$2 &amp; "'!$A:$A"), INDIRECT("'" &amp; F$2 &amp; "'!$B:$B"), "")&lt;&gt;"", "✓", "✗"), "✗")
)</f>
        <v/>
      </c>
      <c r="G28">
        <f t="array" ref="G28">IF(
    ISNUMBER(VALUE(LEFT($A28, 1))),
    "",
    IFERROR(IF(_xlfn.XLOOKUP($A28, INDIRECT("'" &amp; G$2 &amp; "'!$A:$A"), INDIRECT("'" &amp; G$2 &amp; "'!$B:$B"), "")&lt;&gt;"", "✓", "✗"), "✗")
)</f>
        <v/>
      </c>
      <c r="H28">
        <f t="array" ref="H28">IF(
    ISNUMBER(VALUE(LEFT($A28, 1))),
    "",
    IFERROR(IF(_xlfn.XLOOKUP($A28, INDIRECT("'" &amp; H$2 &amp; "'!$A:$A"), INDIRECT("'" &amp; H$2 &amp; "'!$B:$B"), "")&lt;&gt;"", "✓", "✗"), "✗")
)</f>
        <v/>
      </c>
      <c r="I28">
        <f t="array" ref="I28">IF(
    ISNUMBER(VALUE(LEFT($A28, 1))),
    "",
    IFERROR(IF(_xlfn.XLOOKUP($A28, INDIRECT("'" &amp; I$2 &amp; "'!$A:$A"), INDIRECT("'" &amp; I$2 &amp; "'!$B:$B"), "")&lt;&gt;"", "✓", "✗"), "✗")
)</f>
        <v/>
      </c>
      <c r="J28">
        <f t="array" ref="J28">IF(
    ISNUMBER(VALUE(LEFT($A28, 1))),
    "",
    IFERROR(IF(_xlfn.XLOOKUP($A28, INDIRECT("'" &amp; J$2 &amp; "'!$A:$A"), INDIRECT("'" &amp; J$2 &amp; "'!$B:$B"), "")&lt;&gt;"", "✓", "✗"), "✗")
)</f>
        <v/>
      </c>
      <c r="K28">
        <f t="array" ref="K28">IF(
    ISNUMBER(VALUE(LEFT($A28, 1))),
    "",
    IFERROR(IF(_xlfn.XLOOKUP($A28, INDIRECT("'" &amp; K$2 &amp; "'!$A:$A"), INDIRECT("'" &amp; K$2 &amp; "'!$B:$B"), "")&lt;&gt;"", "✓", "✗"), "✗")
)</f>
        <v/>
      </c>
      <c r="L28">
        <f t="array" ref="L28">IF(
    ISNUMBER(VALUE(LEFT($A28, 1))),
    "",
    IFERROR(IF(_xlfn.XLOOKUP($A28, INDIRECT("'" &amp; L$2 &amp; "'!$A:$A"), INDIRECT("'" &amp; L$2 &amp; "'!$B:$B"), "")&lt;&gt;"", "✓", "✗"), "✗")
)</f>
        <v/>
      </c>
      <c r="M28">
        <f t="array" ref="M28">IF(
    ISNUMBER(VALUE(LEFT($A28, 1))),
    "",
    IFERROR(IF(_xlfn.XLOOKUP($A28, INDIRECT("'" &amp; M$2 &amp; "'!$A:$A"), INDIRECT("'" &amp; M$2 &amp; "'!$B:$B"), "")&lt;&gt;"", "✓", "✗"), "✗")
)</f>
        <v/>
      </c>
      <c r="N28">
        <f t="array" ref="N28">IF(
    ISNUMBER(VALUE(LEFT($A28, 1))),
    "",
    IFERROR(IF(_xlfn.XLOOKUP($A28, INDIRECT("'" &amp; N$2 &amp; "'!$A:$A"), INDIRECT("'" &amp; N$2 &amp; "'!$B:$B"), "")&lt;&gt;"", "✓", "✗"), "✗")
)</f>
        <v/>
      </c>
      <c r="O28">
        <f t="array" ref="O28">IF(
    ISNUMBER(VALUE(LEFT($A28, 1))),
    "",
    IFERROR(IF(_xlfn.XLOOKUP($A28, INDIRECT("'" &amp; O$2 &amp; "'!$A:$A"), INDIRECT("'" &amp; O$2 &amp; "'!$B:$B"), "")&lt;&gt;"", "✓", "✗"), "✗")
)</f>
        <v/>
      </c>
      <c r="P28">
        <f t="array" ref="P28">IF(
    ISNUMBER(VALUE(LEFT($A28, 1))),
    "",
    IFERROR(IF(_xlfn.XLOOKUP($A28, INDIRECT("'" &amp; P$2 &amp; "'!$A:$A"), INDIRECT("'" &amp; P$2 &amp; "'!$B:$B"), "")&lt;&gt;"", "✓", "✗"), "✗")
)</f>
        <v/>
      </c>
      <c r="Q28">
        <f t="array" ref="Q28">IF(
    ISNUMBER(VALUE(LEFT($A28, 1))),
    "",
    IFERROR(IF(_xlfn.XLOOKUP($A28, INDIRECT("'" &amp; Q$2 &amp; "'!$A:$A"), INDIRECT("'" &amp; Q$2 &amp; "'!$B:$B"), "")&lt;&gt;"", "✓", "✗"), "✗")
)</f>
        <v/>
      </c>
      <c r="R28">
        <f t="array" ref="R28">IF(
    ISNUMBER(VALUE(LEFT($A28, 1))),
    "",
    IFERROR(IF(_xlfn.XLOOKUP($A28, INDIRECT("'" &amp; R$2 &amp; "'!$A:$A"), INDIRECT("'" &amp; R$2 &amp; "'!$B:$B"), "")&lt;&gt;"", "✓", "✗"), "✗")
)</f>
        <v/>
      </c>
      <c r="S28">
        <f t="array" ref="S28">IF(
    ISNUMBER(VALUE(LEFT($A28, 1))),
    "",
    IFERROR(IF(_xlfn.XLOOKUP($A28, INDIRECT("'" &amp; S$2 &amp; "'!$A:$A"), INDIRECT("'" &amp; S$2 &amp; "'!$B:$B"), "")&lt;&gt;"", "✓", "✗"), "✗")
)</f>
        <v/>
      </c>
      <c r="T28">
        <f t="array" ref="T28">IF(
    ISNUMBER(VALUE(LEFT($A28, 1))),
    "",
    IFERROR(IF(_xlfn.XLOOKUP($A28, INDIRECT("'" &amp; T$2 &amp; "'!$A:$A"), INDIRECT("'" &amp; T$2 &amp; "'!$B:$B"), "")&lt;&gt;"", "✓", "✗"), "✗")
)</f>
        <v/>
      </c>
      <c r="U28">
        <f t="array" ref="U28">IF(
    ISNUMBER(VALUE(LEFT($A28, 1))),
    "",
    IFERROR(IF(_xlfn.XLOOKUP($A28, INDIRECT("'" &amp; U$2 &amp; "'!$A:$A"), INDIRECT("'" &amp; U$2 &amp; "'!$B:$B"), "")&lt;&gt;"", "✓", "✗"), "✗")
)</f>
        <v/>
      </c>
      <c r="V28">
        <f t="array" ref="V28">IF(
    ISNUMBER(VALUE(LEFT($A28, 1))),
    "",
    IFERROR(IF(_xlfn.XLOOKUP($A28, INDIRECT("'" &amp; V$2 &amp; "'!$A:$A"), INDIRECT("'" &amp; V$2 &amp; "'!$B:$B"), "")&lt;&gt;"", "✓", "✗"), "✗")
)</f>
        <v/>
      </c>
      <c r="W28">
        <f t="array" ref="W28">IF(
    ISNUMBER(VALUE(LEFT($A28, 1))),
    "",
    IFERROR(IF(_xlfn.XLOOKUP($A28, INDIRECT("'" &amp; W$2 &amp; "'!$A:$A"), INDIRECT("'" &amp; W$2 &amp; "'!$B:$B"), "")&lt;&gt;"", "✓", "✗"), "✗")
)</f>
        <v/>
      </c>
      <c r="X28">
        <f t="array" ref="X28">IF(
    ISNUMBER(VALUE(LEFT($A28, 1))),
    "",
    IFERROR(IF(_xlfn.XLOOKUP($A28, INDIRECT("'" &amp; X$2 &amp; "'!$A:$A"), INDIRECT("'" &amp; X$2 &amp; "'!$B:$B"), "")&lt;&gt;"", "✓", "✗"), "✗")
)</f>
        <v/>
      </c>
      <c r="Y28">
        <f t="array" ref="Y28">IF(
    ISNUMBER(VALUE(LEFT($A28, 1))),
    "",
    IFERROR(IF(_xlfn.XLOOKUP($A28, INDIRECT("'" &amp; Y$2 &amp; "'!$A:$A"), INDIRECT("'" &amp; Y$2 &amp; "'!$B:$B"), "")&lt;&gt;"", "✓", "✗"), "✗")
)</f>
        <v/>
      </c>
      <c r="Z28">
        <f t="array" ref="Z28">IF(
    ISNUMBER(VALUE(LEFT($A28, 1))),
    "",
    IFERROR(IF(_xlfn.XLOOKUP($A28, INDIRECT("'" &amp; Z$2 &amp; "'!$A:$A"), INDIRECT("'" &amp; Z$2 &amp; "'!$B:$B"), "")&lt;&gt;"", "✓", "✗"), "✗")
)</f>
        <v/>
      </c>
      <c r="AA28">
        <f t="array" ref="AA28">IF(
    ISNUMBER(VALUE(LEFT($A28, 1))),
    "",
    IFERROR(IF(_xlfn.XLOOKUP($A28, INDIRECT("'" &amp; AA$2 &amp; "'!$A:$A"), INDIRECT("'" &amp; AA$2 &amp; "'!$B:$B"), "")&lt;&gt;"", "✓", "✗"), "✗")
)</f>
        <v/>
      </c>
      <c r="AB28">
        <f t="array" ref="AB28">IF(
    ISNUMBER(VALUE(LEFT($A28, 1))),
    "",
    IFERROR(IF(_xlfn.XLOOKUP($A28, INDIRECT("'" &amp; AB$2 &amp; "'!$A:$A"), INDIRECT("'" &amp; AB$2 &amp; "'!$B:$B"), "")&lt;&gt;"", "✓", "✗"), "✗")
)</f>
        <v/>
      </c>
      <c r="AC28">
        <f t="array" ref="AC28">IF(
    ISNUMBER(VALUE(LEFT($A28, 1))),
    "",
    IFERROR(IF(_xlfn.XLOOKUP($A28, INDIRECT("'" &amp; AC$2 &amp; "'!$A:$A"), INDIRECT("'" &amp; AC$2 &amp; "'!$B:$B"), "")&lt;&gt;"", "✓", "✗"), "✗")
)</f>
        <v/>
      </c>
      <c r="AD28">
        <f t="array" ref="AD28">IF(
    ISNUMBER(VALUE(LEFT($A28, 1))),
    "",
    IFERROR(IF(_xlfn.XLOOKUP($A28, INDIRECT("'" &amp; AD$2 &amp; "'!$A:$A"), INDIRECT("'" &amp; AD$2 &amp; "'!$B:$B"), "")&lt;&gt;"", "✓", "✗"), "✗")
)</f>
        <v/>
      </c>
      <c r="AE28">
        <f t="array" ref="AE28">IF(
    ISNUMBER(VALUE(LEFT($A28, 1))),
    "",
    IFERROR(IF(_xlfn.XLOOKUP($A28, INDIRECT("'" &amp; AE$2 &amp; "'!$A:$A"), INDIRECT("'" &amp; AE$2 &amp; "'!$B:$B"), "")&lt;&gt;"", "✓", "✗"), "✗")
)</f>
        <v/>
      </c>
      <c r="AF28">
        <f t="array" ref="AF28">IF(
    ISNUMBER(VALUE(LEFT($A28, 1))),
    "",
    IFERROR(IF(_xlfn.XLOOKUP($A28, INDIRECT("'" &amp; AF$2 &amp; "'!$A:$A"), INDIRECT("'" &amp; AF$2 &amp; "'!$B:$B"), "")&lt;&gt;"", "✓", "✗"), "✗")
)</f>
        <v/>
      </c>
      <c r="AG28">
        <f t="array" ref="AG28">IF(
    ISNUMBER(VALUE(LEFT($A28, 1))),
    "",
    IFERROR(IF(_xlfn.XLOOKUP($A28, INDIRECT("'" &amp; AG$2 &amp; "'!$A:$A"), INDIRECT("'" &amp; AG$2 &amp; "'!$B:$B"), "")&lt;&gt;"", "✓", "✗"), "✗")
)</f>
        <v/>
      </c>
    </row>
    <row r="29">
      <c r="A29" t="inlineStr">
        <is>
          <t>ORG Party ID</t>
        </is>
      </c>
      <c r="B29">
        <f t="array" ref="B29">IF(
    ISNUMBER(VALUE(LEFT($A29, 1))),
    "",
    IFERROR(IF(_xlfn.XLOOKUP($A29, INDIRECT("'" &amp; B$2 &amp; "'!$A:$A"), INDIRECT("'" &amp; B$2 &amp; "'!$B:$B"), "")&lt;&gt;"", "✓", "✗"), "✗")
)</f>
        <v/>
      </c>
      <c r="C29">
        <f t="array" ref="C29">IF(
    ISNUMBER(VALUE(LEFT($A29, 1))),
    "",
    IFERROR(IF(_xlfn.XLOOKUP($A29, INDIRECT("'" &amp; C$2 &amp; "'!$A:$A"), INDIRECT("'" &amp; C$2 &amp; "'!$B:$B"), "")&lt;&gt;"", "✓", "✗"), "✗")
)</f>
        <v/>
      </c>
      <c r="D29">
        <f t="array" ref="D29">IF(
    ISNUMBER(VALUE(LEFT($A29, 1))),
    "",
    IFERROR(IF(_xlfn.XLOOKUP($A29, INDIRECT("'" &amp; D$2 &amp; "'!$A:$A"), INDIRECT("'" &amp; D$2 &amp; "'!$B:$B"), "")&lt;&gt;"", "✓", "✗"), "✗")
)</f>
        <v/>
      </c>
      <c r="E29">
        <f t="array" ref="E29">IF(
    ISNUMBER(VALUE(LEFT($A29, 1))),
    "",
    IFERROR(IF(_xlfn.XLOOKUP($A29, INDIRECT("'" &amp; E$2 &amp; "'!$A:$A"), INDIRECT("'" &amp; E$2 &amp; "'!$B:$B"), "")&lt;&gt;"", "✓", "✗"), "✗")
)</f>
        <v/>
      </c>
      <c r="F29">
        <f t="array" ref="F29">IF(
    ISNUMBER(VALUE(LEFT($A29, 1))),
    "",
    IFERROR(IF(_xlfn.XLOOKUP($A29, INDIRECT("'" &amp; F$2 &amp; "'!$A:$A"), INDIRECT("'" &amp; F$2 &amp; "'!$B:$B"), "")&lt;&gt;"", "✓", "✗"), "✗")
)</f>
        <v/>
      </c>
      <c r="G29">
        <f t="array" ref="G29">IF(
    ISNUMBER(VALUE(LEFT($A29, 1))),
    "",
    IFERROR(IF(_xlfn.XLOOKUP($A29, INDIRECT("'" &amp; G$2 &amp; "'!$A:$A"), INDIRECT("'" &amp; G$2 &amp; "'!$B:$B"), "")&lt;&gt;"", "✓", "✗"), "✗")
)</f>
        <v/>
      </c>
      <c r="H29">
        <f t="array" ref="H29">IF(
    ISNUMBER(VALUE(LEFT($A29, 1))),
    "",
    IFERROR(IF(_xlfn.XLOOKUP($A29, INDIRECT("'" &amp; H$2 &amp; "'!$A:$A"), INDIRECT("'" &amp; H$2 &amp; "'!$B:$B"), "")&lt;&gt;"", "✓", "✗"), "✗")
)</f>
        <v/>
      </c>
      <c r="I29">
        <f t="array" ref="I29">IF(
    ISNUMBER(VALUE(LEFT($A29, 1))),
    "",
    IFERROR(IF(_xlfn.XLOOKUP($A29, INDIRECT("'" &amp; I$2 &amp; "'!$A:$A"), INDIRECT("'" &amp; I$2 &amp; "'!$B:$B"), "")&lt;&gt;"", "✓", "✗"), "✗")
)</f>
        <v/>
      </c>
      <c r="J29">
        <f t="array" ref="J29">IF(
    ISNUMBER(VALUE(LEFT($A29, 1))),
    "",
    IFERROR(IF(_xlfn.XLOOKUP($A29, INDIRECT("'" &amp; J$2 &amp; "'!$A:$A"), INDIRECT("'" &amp; J$2 &amp; "'!$B:$B"), "")&lt;&gt;"", "✓", "✗"), "✗")
)</f>
        <v/>
      </c>
      <c r="K29">
        <f t="array" ref="K29">IF(
    ISNUMBER(VALUE(LEFT($A29, 1))),
    "",
    IFERROR(IF(_xlfn.XLOOKUP($A29, INDIRECT("'" &amp; K$2 &amp; "'!$A:$A"), INDIRECT("'" &amp; K$2 &amp; "'!$B:$B"), "")&lt;&gt;"", "✓", "✗"), "✗")
)</f>
        <v/>
      </c>
      <c r="L29">
        <f t="array" ref="L29">IF(
    ISNUMBER(VALUE(LEFT($A29, 1))),
    "",
    IFERROR(IF(_xlfn.XLOOKUP($A29, INDIRECT("'" &amp; L$2 &amp; "'!$A:$A"), INDIRECT("'" &amp; L$2 &amp; "'!$B:$B"), "")&lt;&gt;"", "✓", "✗"), "✗")
)</f>
        <v/>
      </c>
      <c r="M29">
        <f t="array" ref="M29">IF(
    ISNUMBER(VALUE(LEFT($A29, 1))),
    "",
    IFERROR(IF(_xlfn.XLOOKUP($A29, INDIRECT("'" &amp; M$2 &amp; "'!$A:$A"), INDIRECT("'" &amp; M$2 &amp; "'!$B:$B"), "")&lt;&gt;"", "✓", "✗"), "✗")
)</f>
        <v/>
      </c>
      <c r="N29">
        <f t="array" ref="N29">IF(
    ISNUMBER(VALUE(LEFT($A29, 1))),
    "",
    IFERROR(IF(_xlfn.XLOOKUP($A29, INDIRECT("'" &amp; N$2 &amp; "'!$A:$A"), INDIRECT("'" &amp; N$2 &amp; "'!$B:$B"), "")&lt;&gt;"", "✓", "✗"), "✗")
)</f>
        <v/>
      </c>
      <c r="O29">
        <f t="array" ref="O29">IF(
    ISNUMBER(VALUE(LEFT($A29, 1))),
    "",
    IFERROR(IF(_xlfn.XLOOKUP($A29, INDIRECT("'" &amp; O$2 &amp; "'!$A:$A"), INDIRECT("'" &amp; O$2 &amp; "'!$B:$B"), "")&lt;&gt;"", "✓", "✗"), "✗")
)</f>
        <v/>
      </c>
      <c r="P29">
        <f t="array" ref="P29">IF(
    ISNUMBER(VALUE(LEFT($A29, 1))),
    "",
    IFERROR(IF(_xlfn.XLOOKUP($A29, INDIRECT("'" &amp; P$2 &amp; "'!$A:$A"), INDIRECT("'" &amp; P$2 &amp; "'!$B:$B"), "")&lt;&gt;"", "✓", "✗"), "✗")
)</f>
        <v/>
      </c>
      <c r="Q29">
        <f t="array" ref="Q29">IF(
    ISNUMBER(VALUE(LEFT($A29, 1))),
    "",
    IFERROR(IF(_xlfn.XLOOKUP($A29, INDIRECT("'" &amp; Q$2 &amp; "'!$A:$A"), INDIRECT("'" &amp; Q$2 &amp; "'!$B:$B"), "")&lt;&gt;"", "✓", "✗"), "✗")
)</f>
        <v/>
      </c>
      <c r="R29">
        <f t="array" ref="R29">IF(
    ISNUMBER(VALUE(LEFT($A29, 1))),
    "",
    IFERROR(IF(_xlfn.XLOOKUP($A29, INDIRECT("'" &amp; R$2 &amp; "'!$A:$A"), INDIRECT("'" &amp; R$2 &amp; "'!$B:$B"), "")&lt;&gt;"", "✓", "✗"), "✗")
)</f>
        <v/>
      </c>
      <c r="S29">
        <f t="array" ref="S29">IF(
    ISNUMBER(VALUE(LEFT($A29, 1))),
    "",
    IFERROR(IF(_xlfn.XLOOKUP($A29, INDIRECT("'" &amp; S$2 &amp; "'!$A:$A"), INDIRECT("'" &amp; S$2 &amp; "'!$B:$B"), "")&lt;&gt;"", "✓", "✗"), "✗")
)</f>
        <v/>
      </c>
      <c r="T29">
        <f t="array" ref="T29">IF(
    ISNUMBER(VALUE(LEFT($A29, 1))),
    "",
    IFERROR(IF(_xlfn.XLOOKUP($A29, INDIRECT("'" &amp; T$2 &amp; "'!$A:$A"), INDIRECT("'" &amp; T$2 &amp; "'!$B:$B"), "")&lt;&gt;"", "✓", "✗"), "✗")
)</f>
        <v/>
      </c>
      <c r="U29">
        <f t="array" ref="U29">IF(
    ISNUMBER(VALUE(LEFT($A29, 1))),
    "",
    IFERROR(IF(_xlfn.XLOOKUP($A29, INDIRECT("'" &amp; U$2 &amp; "'!$A:$A"), INDIRECT("'" &amp; U$2 &amp; "'!$B:$B"), "")&lt;&gt;"", "✓", "✗"), "✗")
)</f>
        <v/>
      </c>
      <c r="V29">
        <f t="array" ref="V29">IF(
    ISNUMBER(VALUE(LEFT($A29, 1))),
    "",
    IFERROR(IF(_xlfn.XLOOKUP($A29, INDIRECT("'" &amp; V$2 &amp; "'!$A:$A"), INDIRECT("'" &amp; V$2 &amp; "'!$B:$B"), "")&lt;&gt;"", "✓", "✗"), "✗")
)</f>
        <v/>
      </c>
      <c r="W29">
        <f t="array" ref="W29">IF(
    ISNUMBER(VALUE(LEFT($A29, 1))),
    "",
    IFERROR(IF(_xlfn.XLOOKUP($A29, INDIRECT("'" &amp; W$2 &amp; "'!$A:$A"), INDIRECT("'" &amp; W$2 &amp; "'!$B:$B"), "")&lt;&gt;"", "✓", "✗"), "✗")
)</f>
        <v/>
      </c>
      <c r="X29">
        <f t="array" ref="X29">IF(
    ISNUMBER(VALUE(LEFT($A29, 1))),
    "",
    IFERROR(IF(_xlfn.XLOOKUP($A29, INDIRECT("'" &amp; X$2 &amp; "'!$A:$A"), INDIRECT("'" &amp; X$2 &amp; "'!$B:$B"), "")&lt;&gt;"", "✓", "✗"), "✗")
)</f>
        <v/>
      </c>
      <c r="Y29">
        <f t="array" ref="Y29">IF(
    ISNUMBER(VALUE(LEFT($A29, 1))),
    "",
    IFERROR(IF(_xlfn.XLOOKUP($A29, INDIRECT("'" &amp; Y$2 &amp; "'!$A:$A"), INDIRECT("'" &amp; Y$2 &amp; "'!$B:$B"), "")&lt;&gt;"", "✓", "✗"), "✗")
)</f>
        <v/>
      </c>
      <c r="Z29">
        <f t="array" ref="Z29">IF(
    ISNUMBER(VALUE(LEFT($A29, 1))),
    "",
    IFERROR(IF(_xlfn.XLOOKUP($A29, INDIRECT("'" &amp; Z$2 &amp; "'!$A:$A"), INDIRECT("'" &amp; Z$2 &amp; "'!$B:$B"), "")&lt;&gt;"", "✓", "✗"), "✗")
)</f>
        <v/>
      </c>
      <c r="AA29">
        <f t="array" ref="AA29">IF(
    ISNUMBER(VALUE(LEFT($A29, 1))),
    "",
    IFERROR(IF(_xlfn.XLOOKUP($A29, INDIRECT("'" &amp; AA$2 &amp; "'!$A:$A"), INDIRECT("'" &amp; AA$2 &amp; "'!$B:$B"), "")&lt;&gt;"", "✓", "✗"), "✗")
)</f>
        <v/>
      </c>
      <c r="AB29">
        <f t="array" ref="AB29">IF(
    ISNUMBER(VALUE(LEFT($A29, 1))),
    "",
    IFERROR(IF(_xlfn.XLOOKUP($A29, INDIRECT("'" &amp; AB$2 &amp; "'!$A:$A"), INDIRECT("'" &amp; AB$2 &amp; "'!$B:$B"), "")&lt;&gt;"", "✓", "✗"), "✗")
)</f>
        <v/>
      </c>
      <c r="AC29">
        <f t="array" ref="AC29">IF(
    ISNUMBER(VALUE(LEFT($A29, 1))),
    "",
    IFERROR(IF(_xlfn.XLOOKUP($A29, INDIRECT("'" &amp; AC$2 &amp; "'!$A:$A"), INDIRECT("'" &amp; AC$2 &amp; "'!$B:$B"), "")&lt;&gt;"", "✓", "✗"), "✗")
)</f>
        <v/>
      </c>
      <c r="AD29">
        <f t="array" ref="AD29">IF(
    ISNUMBER(VALUE(LEFT($A29, 1))),
    "",
    IFERROR(IF(_xlfn.XLOOKUP($A29, INDIRECT("'" &amp; AD$2 &amp; "'!$A:$A"), INDIRECT("'" &amp; AD$2 &amp; "'!$B:$B"), "")&lt;&gt;"", "✓", "✗"), "✗")
)</f>
        <v/>
      </c>
      <c r="AE29">
        <f t="array" ref="AE29">IF(
    ISNUMBER(VALUE(LEFT($A29, 1))),
    "",
    IFERROR(IF(_xlfn.XLOOKUP($A29, INDIRECT("'" &amp; AE$2 &amp; "'!$A:$A"), INDIRECT("'" &amp; AE$2 &amp; "'!$B:$B"), "")&lt;&gt;"", "✓", "✗"), "✗")
)</f>
        <v/>
      </c>
      <c r="AF29">
        <f t="array" ref="AF29">IF(
    ISNUMBER(VALUE(LEFT($A29, 1))),
    "",
    IFERROR(IF(_xlfn.XLOOKUP($A29, INDIRECT("'" &amp; AF$2 &amp; "'!$A:$A"), INDIRECT("'" &amp; AF$2 &amp; "'!$B:$B"), "")&lt;&gt;"", "✓", "✗"), "✗")
)</f>
        <v/>
      </c>
      <c r="AG29">
        <f t="array" ref="AG29">IF(
    ISNUMBER(VALUE(LEFT($A29, 1))),
    "",
    IFERROR(IF(_xlfn.XLOOKUP($A29, INDIRECT("'" &amp; AG$2 &amp; "'!$A:$A"), INDIRECT("'" &amp; AG$2 &amp; "'!$B:$B"), "")&lt;&gt;"", "✓", "✗"), "✗")
)</f>
        <v/>
      </c>
    </row>
    <row r="30">
      <c r="A30" t="inlineStr">
        <is>
          <t>Address Line 1</t>
        </is>
      </c>
      <c r="B30">
        <f t="array" ref="B30">IF(
    ISNUMBER(VALUE(LEFT($A30, 1))),
    "",
    IFERROR(IF(_xlfn.XLOOKUP($A30, INDIRECT("'" &amp; B$2 &amp; "'!$A:$A"), INDIRECT("'" &amp; B$2 &amp; "'!$B:$B"), "")&lt;&gt;"", "✓", "✗"), "✗")
)</f>
        <v/>
      </c>
      <c r="C30">
        <f t="array" ref="C30">IF(
    ISNUMBER(VALUE(LEFT($A30, 1))),
    "",
    IFERROR(IF(_xlfn.XLOOKUP($A30, INDIRECT("'" &amp; C$2 &amp; "'!$A:$A"), INDIRECT("'" &amp; C$2 &amp; "'!$B:$B"), "")&lt;&gt;"", "✓", "✗"), "✗")
)</f>
        <v/>
      </c>
      <c r="D30">
        <f t="array" ref="D30">IF(
    ISNUMBER(VALUE(LEFT($A30, 1))),
    "",
    IFERROR(IF(_xlfn.XLOOKUP($A30, INDIRECT("'" &amp; D$2 &amp; "'!$A:$A"), INDIRECT("'" &amp; D$2 &amp; "'!$B:$B"), "")&lt;&gt;"", "✓", "✗"), "✗")
)</f>
        <v/>
      </c>
      <c r="E30">
        <f t="array" ref="E30">IF(
    ISNUMBER(VALUE(LEFT($A30, 1))),
    "",
    IFERROR(IF(_xlfn.XLOOKUP($A30, INDIRECT("'" &amp; E$2 &amp; "'!$A:$A"), INDIRECT("'" &amp; E$2 &amp; "'!$B:$B"), "")&lt;&gt;"", "✓", "✗"), "✗")
)</f>
        <v/>
      </c>
      <c r="F30">
        <f t="array" ref="F30">IF(
    ISNUMBER(VALUE(LEFT($A30, 1))),
    "",
    IFERROR(IF(_xlfn.XLOOKUP($A30, INDIRECT("'" &amp; F$2 &amp; "'!$A:$A"), INDIRECT("'" &amp; F$2 &amp; "'!$B:$B"), "")&lt;&gt;"", "✓", "✗"), "✗")
)</f>
        <v/>
      </c>
      <c r="G30">
        <f t="array" ref="G30">IF(
    ISNUMBER(VALUE(LEFT($A30, 1))),
    "",
    IFERROR(IF(_xlfn.XLOOKUP($A30, INDIRECT("'" &amp; G$2 &amp; "'!$A:$A"), INDIRECT("'" &amp; G$2 &amp; "'!$B:$B"), "")&lt;&gt;"", "✓", "✗"), "✗")
)</f>
        <v/>
      </c>
      <c r="H30">
        <f t="array" ref="H30">IF(
    ISNUMBER(VALUE(LEFT($A30, 1))),
    "",
    IFERROR(IF(_xlfn.XLOOKUP($A30, INDIRECT("'" &amp; H$2 &amp; "'!$A:$A"), INDIRECT("'" &amp; H$2 &amp; "'!$B:$B"), "")&lt;&gt;"", "✓", "✗"), "✗")
)</f>
        <v/>
      </c>
      <c r="I30">
        <f t="array" ref="I30">IF(
    ISNUMBER(VALUE(LEFT($A30, 1))),
    "",
    IFERROR(IF(_xlfn.XLOOKUP($A30, INDIRECT("'" &amp; I$2 &amp; "'!$A:$A"), INDIRECT("'" &amp; I$2 &amp; "'!$B:$B"), "")&lt;&gt;"", "✓", "✗"), "✗")
)</f>
        <v/>
      </c>
      <c r="J30">
        <f t="array" ref="J30">IF(
    ISNUMBER(VALUE(LEFT($A30, 1))),
    "",
    IFERROR(IF(_xlfn.XLOOKUP($A30, INDIRECT("'" &amp; J$2 &amp; "'!$A:$A"), INDIRECT("'" &amp; J$2 &amp; "'!$B:$B"), "")&lt;&gt;"", "✓", "✗"), "✗")
)</f>
        <v/>
      </c>
      <c r="K30">
        <f t="array" ref="K30">IF(
    ISNUMBER(VALUE(LEFT($A30, 1))),
    "",
    IFERROR(IF(_xlfn.XLOOKUP($A30, INDIRECT("'" &amp; K$2 &amp; "'!$A:$A"), INDIRECT("'" &amp; K$2 &amp; "'!$B:$B"), "")&lt;&gt;"", "✓", "✗"), "✗")
)</f>
        <v/>
      </c>
      <c r="L30">
        <f t="array" ref="L30">IF(
    ISNUMBER(VALUE(LEFT($A30, 1))),
    "",
    IFERROR(IF(_xlfn.XLOOKUP($A30, INDIRECT("'" &amp; L$2 &amp; "'!$A:$A"), INDIRECT("'" &amp; L$2 &amp; "'!$B:$B"), "")&lt;&gt;"", "✓", "✗"), "✗")
)</f>
        <v/>
      </c>
      <c r="M30">
        <f t="array" ref="M30">IF(
    ISNUMBER(VALUE(LEFT($A30, 1))),
    "",
    IFERROR(IF(_xlfn.XLOOKUP($A30, INDIRECT("'" &amp; M$2 &amp; "'!$A:$A"), INDIRECT("'" &amp; M$2 &amp; "'!$B:$B"), "")&lt;&gt;"", "✓", "✗"), "✗")
)</f>
        <v/>
      </c>
      <c r="N30">
        <f t="array" ref="N30">IF(
    ISNUMBER(VALUE(LEFT($A30, 1))),
    "",
    IFERROR(IF(_xlfn.XLOOKUP($A30, INDIRECT("'" &amp; N$2 &amp; "'!$A:$A"), INDIRECT("'" &amp; N$2 &amp; "'!$B:$B"), "")&lt;&gt;"", "✓", "✗"), "✗")
)</f>
        <v/>
      </c>
      <c r="O30">
        <f t="array" ref="O30">IF(
    ISNUMBER(VALUE(LEFT($A30, 1))),
    "",
    IFERROR(IF(_xlfn.XLOOKUP($A30, INDIRECT("'" &amp; O$2 &amp; "'!$A:$A"), INDIRECT("'" &amp; O$2 &amp; "'!$B:$B"), "")&lt;&gt;"", "✓", "✗"), "✗")
)</f>
        <v/>
      </c>
      <c r="P30">
        <f t="array" ref="P30">IF(
    ISNUMBER(VALUE(LEFT($A30, 1))),
    "",
    IFERROR(IF(_xlfn.XLOOKUP($A30, INDIRECT("'" &amp; P$2 &amp; "'!$A:$A"), INDIRECT("'" &amp; P$2 &amp; "'!$B:$B"), "")&lt;&gt;"", "✓", "✗"), "✗")
)</f>
        <v/>
      </c>
      <c r="Q30">
        <f t="array" ref="Q30">IF(
    ISNUMBER(VALUE(LEFT($A30, 1))),
    "",
    IFERROR(IF(_xlfn.XLOOKUP($A30, INDIRECT("'" &amp; Q$2 &amp; "'!$A:$A"), INDIRECT("'" &amp; Q$2 &amp; "'!$B:$B"), "")&lt;&gt;"", "✓", "✗"), "✗")
)</f>
        <v/>
      </c>
      <c r="R30">
        <f t="array" ref="R30">IF(
    ISNUMBER(VALUE(LEFT($A30, 1))),
    "",
    IFERROR(IF(_xlfn.XLOOKUP($A30, INDIRECT("'" &amp; R$2 &amp; "'!$A:$A"), INDIRECT("'" &amp; R$2 &amp; "'!$B:$B"), "")&lt;&gt;"", "✓", "✗"), "✗")
)</f>
        <v/>
      </c>
      <c r="S30">
        <f t="array" ref="S30">IF(
    ISNUMBER(VALUE(LEFT($A30, 1))),
    "",
    IFERROR(IF(_xlfn.XLOOKUP($A30, INDIRECT("'" &amp; S$2 &amp; "'!$A:$A"), INDIRECT("'" &amp; S$2 &amp; "'!$B:$B"), "")&lt;&gt;"", "✓", "✗"), "✗")
)</f>
        <v/>
      </c>
      <c r="T30">
        <f t="array" ref="T30">IF(
    ISNUMBER(VALUE(LEFT($A30, 1))),
    "",
    IFERROR(IF(_xlfn.XLOOKUP($A30, INDIRECT("'" &amp; T$2 &amp; "'!$A:$A"), INDIRECT("'" &amp; T$2 &amp; "'!$B:$B"), "")&lt;&gt;"", "✓", "✗"), "✗")
)</f>
        <v/>
      </c>
      <c r="U30">
        <f t="array" ref="U30">IF(
    ISNUMBER(VALUE(LEFT($A30, 1))),
    "",
    IFERROR(IF(_xlfn.XLOOKUP($A30, INDIRECT("'" &amp; U$2 &amp; "'!$A:$A"), INDIRECT("'" &amp; U$2 &amp; "'!$B:$B"), "")&lt;&gt;"", "✓", "✗"), "✗")
)</f>
        <v/>
      </c>
      <c r="V30">
        <f t="array" ref="V30">IF(
    ISNUMBER(VALUE(LEFT($A30, 1))),
    "",
    IFERROR(IF(_xlfn.XLOOKUP($A30, INDIRECT("'" &amp; V$2 &amp; "'!$A:$A"), INDIRECT("'" &amp; V$2 &amp; "'!$B:$B"), "")&lt;&gt;"", "✓", "✗"), "✗")
)</f>
        <v/>
      </c>
      <c r="W30">
        <f t="array" ref="W30">IF(
    ISNUMBER(VALUE(LEFT($A30, 1))),
    "",
    IFERROR(IF(_xlfn.XLOOKUP($A30, INDIRECT("'" &amp; W$2 &amp; "'!$A:$A"), INDIRECT("'" &amp; W$2 &amp; "'!$B:$B"), "")&lt;&gt;"", "✓", "✗"), "✗")
)</f>
        <v/>
      </c>
      <c r="X30">
        <f t="array" ref="X30">IF(
    ISNUMBER(VALUE(LEFT($A30, 1))),
    "",
    IFERROR(IF(_xlfn.XLOOKUP($A30, INDIRECT("'" &amp; X$2 &amp; "'!$A:$A"), INDIRECT("'" &amp; X$2 &amp; "'!$B:$B"), "")&lt;&gt;"", "✓", "✗"), "✗")
)</f>
        <v/>
      </c>
      <c r="Y30">
        <f t="array" ref="Y30">IF(
    ISNUMBER(VALUE(LEFT($A30, 1))),
    "",
    IFERROR(IF(_xlfn.XLOOKUP($A30, INDIRECT("'" &amp; Y$2 &amp; "'!$A:$A"), INDIRECT("'" &amp; Y$2 &amp; "'!$B:$B"), "")&lt;&gt;"", "✓", "✗"), "✗")
)</f>
        <v/>
      </c>
      <c r="Z30">
        <f t="array" ref="Z30">IF(
    ISNUMBER(VALUE(LEFT($A30, 1))),
    "",
    IFERROR(IF(_xlfn.XLOOKUP($A30, INDIRECT("'" &amp; Z$2 &amp; "'!$A:$A"), INDIRECT("'" &amp; Z$2 &amp; "'!$B:$B"), "")&lt;&gt;"", "✓", "✗"), "✗")
)</f>
        <v/>
      </c>
      <c r="AA30">
        <f t="array" ref="AA30">IF(
    ISNUMBER(VALUE(LEFT($A30, 1))),
    "",
    IFERROR(IF(_xlfn.XLOOKUP($A30, INDIRECT("'" &amp; AA$2 &amp; "'!$A:$A"), INDIRECT("'" &amp; AA$2 &amp; "'!$B:$B"), "")&lt;&gt;"", "✓", "✗"), "✗")
)</f>
        <v/>
      </c>
      <c r="AB30">
        <f t="array" ref="AB30">IF(
    ISNUMBER(VALUE(LEFT($A30, 1))),
    "",
    IFERROR(IF(_xlfn.XLOOKUP($A30, INDIRECT("'" &amp; AB$2 &amp; "'!$A:$A"), INDIRECT("'" &amp; AB$2 &amp; "'!$B:$B"), "")&lt;&gt;"", "✓", "✗"), "✗")
)</f>
        <v/>
      </c>
      <c r="AC30">
        <f t="array" ref="AC30">IF(
    ISNUMBER(VALUE(LEFT($A30, 1))),
    "",
    IFERROR(IF(_xlfn.XLOOKUP($A30, INDIRECT("'" &amp; AC$2 &amp; "'!$A:$A"), INDIRECT("'" &amp; AC$2 &amp; "'!$B:$B"), "")&lt;&gt;"", "✓", "✗"), "✗")
)</f>
        <v/>
      </c>
      <c r="AD30">
        <f t="array" ref="AD30">IF(
    ISNUMBER(VALUE(LEFT($A30, 1))),
    "",
    IFERROR(IF(_xlfn.XLOOKUP($A30, INDIRECT("'" &amp; AD$2 &amp; "'!$A:$A"), INDIRECT("'" &amp; AD$2 &amp; "'!$B:$B"), "")&lt;&gt;"", "✓", "✗"), "✗")
)</f>
        <v/>
      </c>
      <c r="AE30">
        <f t="array" ref="AE30">IF(
    ISNUMBER(VALUE(LEFT($A30, 1))),
    "",
    IFERROR(IF(_xlfn.XLOOKUP($A30, INDIRECT("'" &amp; AE$2 &amp; "'!$A:$A"), INDIRECT("'" &amp; AE$2 &amp; "'!$B:$B"), "")&lt;&gt;"", "✓", "✗"), "✗")
)</f>
        <v/>
      </c>
      <c r="AF30">
        <f t="array" ref="AF30">IF(
    ISNUMBER(VALUE(LEFT($A30, 1))),
    "",
    IFERROR(IF(_xlfn.XLOOKUP($A30, INDIRECT("'" &amp; AF$2 &amp; "'!$A:$A"), INDIRECT("'" &amp; AF$2 &amp; "'!$B:$B"), "")&lt;&gt;"", "✓", "✗"), "✗")
)</f>
        <v/>
      </c>
      <c r="AG30">
        <f t="array" ref="AG30">IF(
    ISNUMBER(VALUE(LEFT($A30, 1))),
    "",
    IFERROR(IF(_xlfn.XLOOKUP($A30, INDIRECT("'" &amp; AG$2 &amp; "'!$A:$A"), INDIRECT("'" &amp; AG$2 &amp; "'!$B:$B"), "")&lt;&gt;"", "✓", "✗"), "✗")
)</f>
        <v/>
      </c>
    </row>
    <row r="31">
      <c r="A31" t="inlineStr">
        <is>
          <t>City</t>
        </is>
      </c>
      <c r="B31">
        <f t="array" ref="B31">IF(
    ISNUMBER(VALUE(LEFT($A31, 1))),
    "",
    IFERROR(IF(_xlfn.XLOOKUP($A31, INDIRECT("'" &amp; B$2 &amp; "'!$A:$A"), INDIRECT("'" &amp; B$2 &amp; "'!$B:$B"), "")&lt;&gt;"", "✓", "✗"), "✗")
)</f>
        <v/>
      </c>
      <c r="C31">
        <f t="array" ref="C31">IF(
    ISNUMBER(VALUE(LEFT($A31, 1))),
    "",
    IFERROR(IF(_xlfn.XLOOKUP($A31, INDIRECT("'" &amp; C$2 &amp; "'!$A:$A"), INDIRECT("'" &amp; C$2 &amp; "'!$B:$B"), "")&lt;&gt;"", "✓", "✗"), "✗")
)</f>
        <v/>
      </c>
      <c r="D31">
        <f t="array" ref="D31">IF(
    ISNUMBER(VALUE(LEFT($A31, 1))),
    "",
    IFERROR(IF(_xlfn.XLOOKUP($A31, INDIRECT("'" &amp; D$2 &amp; "'!$A:$A"), INDIRECT("'" &amp; D$2 &amp; "'!$B:$B"), "")&lt;&gt;"", "✓", "✗"), "✗")
)</f>
        <v/>
      </c>
      <c r="E31">
        <f t="array" ref="E31">IF(
    ISNUMBER(VALUE(LEFT($A31, 1))),
    "",
    IFERROR(IF(_xlfn.XLOOKUP($A31, INDIRECT("'" &amp; E$2 &amp; "'!$A:$A"), INDIRECT("'" &amp; E$2 &amp; "'!$B:$B"), "")&lt;&gt;"", "✓", "✗"), "✗")
)</f>
        <v/>
      </c>
      <c r="F31">
        <f t="array" ref="F31">IF(
    ISNUMBER(VALUE(LEFT($A31, 1))),
    "",
    IFERROR(IF(_xlfn.XLOOKUP($A31, INDIRECT("'" &amp; F$2 &amp; "'!$A:$A"), INDIRECT("'" &amp; F$2 &amp; "'!$B:$B"), "")&lt;&gt;"", "✓", "✗"), "✗")
)</f>
        <v/>
      </c>
      <c r="G31">
        <f t="array" ref="G31">IF(
    ISNUMBER(VALUE(LEFT($A31, 1))),
    "",
    IFERROR(IF(_xlfn.XLOOKUP($A31, INDIRECT("'" &amp; G$2 &amp; "'!$A:$A"), INDIRECT("'" &amp; G$2 &amp; "'!$B:$B"), "")&lt;&gt;"", "✓", "✗"), "✗")
)</f>
        <v/>
      </c>
      <c r="H31">
        <f t="array" ref="H31">IF(
    ISNUMBER(VALUE(LEFT($A31, 1))),
    "",
    IFERROR(IF(_xlfn.XLOOKUP($A31, INDIRECT("'" &amp; H$2 &amp; "'!$A:$A"), INDIRECT("'" &amp; H$2 &amp; "'!$B:$B"), "")&lt;&gt;"", "✓", "✗"), "✗")
)</f>
        <v/>
      </c>
      <c r="I31">
        <f t="array" ref="I31">IF(
    ISNUMBER(VALUE(LEFT($A31, 1))),
    "",
    IFERROR(IF(_xlfn.XLOOKUP($A31, INDIRECT("'" &amp; I$2 &amp; "'!$A:$A"), INDIRECT("'" &amp; I$2 &amp; "'!$B:$B"), "")&lt;&gt;"", "✓", "✗"), "✗")
)</f>
        <v/>
      </c>
      <c r="J31">
        <f t="array" ref="J31">IF(
    ISNUMBER(VALUE(LEFT($A31, 1))),
    "",
    IFERROR(IF(_xlfn.XLOOKUP($A31, INDIRECT("'" &amp; J$2 &amp; "'!$A:$A"), INDIRECT("'" &amp; J$2 &amp; "'!$B:$B"), "")&lt;&gt;"", "✓", "✗"), "✗")
)</f>
        <v/>
      </c>
      <c r="K31">
        <f t="array" ref="K31">IF(
    ISNUMBER(VALUE(LEFT($A31, 1))),
    "",
    IFERROR(IF(_xlfn.XLOOKUP($A31, INDIRECT("'" &amp; K$2 &amp; "'!$A:$A"), INDIRECT("'" &amp; K$2 &amp; "'!$B:$B"), "")&lt;&gt;"", "✓", "✗"), "✗")
)</f>
        <v/>
      </c>
      <c r="L31">
        <f t="array" ref="L31">IF(
    ISNUMBER(VALUE(LEFT($A31, 1))),
    "",
    IFERROR(IF(_xlfn.XLOOKUP($A31, INDIRECT("'" &amp; L$2 &amp; "'!$A:$A"), INDIRECT("'" &amp; L$2 &amp; "'!$B:$B"), "")&lt;&gt;"", "✓", "✗"), "✗")
)</f>
        <v/>
      </c>
      <c r="M31">
        <f t="array" ref="M31">IF(
    ISNUMBER(VALUE(LEFT($A31, 1))),
    "",
    IFERROR(IF(_xlfn.XLOOKUP($A31, INDIRECT("'" &amp; M$2 &amp; "'!$A:$A"), INDIRECT("'" &amp; M$2 &amp; "'!$B:$B"), "")&lt;&gt;"", "✓", "✗"), "✗")
)</f>
        <v/>
      </c>
      <c r="N31">
        <f t="array" ref="N31">IF(
    ISNUMBER(VALUE(LEFT($A31, 1))),
    "",
    IFERROR(IF(_xlfn.XLOOKUP($A31, INDIRECT("'" &amp; N$2 &amp; "'!$A:$A"), INDIRECT("'" &amp; N$2 &amp; "'!$B:$B"), "")&lt;&gt;"", "✓", "✗"), "✗")
)</f>
        <v/>
      </c>
      <c r="O31">
        <f t="array" ref="O31">IF(
    ISNUMBER(VALUE(LEFT($A31, 1))),
    "",
    IFERROR(IF(_xlfn.XLOOKUP($A31, INDIRECT("'" &amp; O$2 &amp; "'!$A:$A"), INDIRECT("'" &amp; O$2 &amp; "'!$B:$B"), "")&lt;&gt;"", "✓", "✗"), "✗")
)</f>
        <v/>
      </c>
      <c r="P31">
        <f t="array" ref="P31">IF(
    ISNUMBER(VALUE(LEFT($A31, 1))),
    "",
    IFERROR(IF(_xlfn.XLOOKUP($A31, INDIRECT("'" &amp; P$2 &amp; "'!$A:$A"), INDIRECT("'" &amp; P$2 &amp; "'!$B:$B"), "")&lt;&gt;"", "✓", "✗"), "✗")
)</f>
        <v/>
      </c>
      <c r="Q31">
        <f t="array" ref="Q31">IF(
    ISNUMBER(VALUE(LEFT($A31, 1))),
    "",
    IFERROR(IF(_xlfn.XLOOKUP($A31, INDIRECT("'" &amp; Q$2 &amp; "'!$A:$A"), INDIRECT("'" &amp; Q$2 &amp; "'!$B:$B"), "")&lt;&gt;"", "✓", "✗"), "✗")
)</f>
        <v/>
      </c>
      <c r="R31">
        <f t="array" ref="R31">IF(
    ISNUMBER(VALUE(LEFT($A31, 1))),
    "",
    IFERROR(IF(_xlfn.XLOOKUP($A31, INDIRECT("'" &amp; R$2 &amp; "'!$A:$A"), INDIRECT("'" &amp; R$2 &amp; "'!$B:$B"), "")&lt;&gt;"", "✓", "✗"), "✗")
)</f>
        <v/>
      </c>
      <c r="S31">
        <f t="array" ref="S31">IF(
    ISNUMBER(VALUE(LEFT($A31, 1))),
    "",
    IFERROR(IF(_xlfn.XLOOKUP($A31, INDIRECT("'" &amp; S$2 &amp; "'!$A:$A"), INDIRECT("'" &amp; S$2 &amp; "'!$B:$B"), "")&lt;&gt;"", "✓", "✗"), "✗")
)</f>
        <v/>
      </c>
      <c r="T31">
        <f t="array" ref="T31">IF(
    ISNUMBER(VALUE(LEFT($A31, 1))),
    "",
    IFERROR(IF(_xlfn.XLOOKUP($A31, INDIRECT("'" &amp; T$2 &amp; "'!$A:$A"), INDIRECT("'" &amp; T$2 &amp; "'!$B:$B"), "")&lt;&gt;"", "✓", "✗"), "✗")
)</f>
        <v/>
      </c>
      <c r="U31">
        <f t="array" ref="U31">IF(
    ISNUMBER(VALUE(LEFT($A31, 1))),
    "",
    IFERROR(IF(_xlfn.XLOOKUP($A31, INDIRECT("'" &amp; U$2 &amp; "'!$A:$A"), INDIRECT("'" &amp; U$2 &amp; "'!$B:$B"), "")&lt;&gt;"", "✓", "✗"), "✗")
)</f>
        <v/>
      </c>
      <c r="V31">
        <f t="array" ref="V31">IF(
    ISNUMBER(VALUE(LEFT($A31, 1))),
    "",
    IFERROR(IF(_xlfn.XLOOKUP($A31, INDIRECT("'" &amp; V$2 &amp; "'!$A:$A"), INDIRECT("'" &amp; V$2 &amp; "'!$B:$B"), "")&lt;&gt;"", "✓", "✗"), "✗")
)</f>
        <v/>
      </c>
      <c r="W31">
        <f t="array" ref="W31">IF(
    ISNUMBER(VALUE(LEFT($A31, 1))),
    "",
    IFERROR(IF(_xlfn.XLOOKUP($A31, INDIRECT("'" &amp; W$2 &amp; "'!$A:$A"), INDIRECT("'" &amp; W$2 &amp; "'!$B:$B"), "")&lt;&gt;"", "✓", "✗"), "✗")
)</f>
        <v/>
      </c>
      <c r="X31">
        <f t="array" ref="X31">IF(
    ISNUMBER(VALUE(LEFT($A31, 1))),
    "",
    IFERROR(IF(_xlfn.XLOOKUP($A31, INDIRECT("'" &amp; X$2 &amp; "'!$A:$A"), INDIRECT("'" &amp; X$2 &amp; "'!$B:$B"), "")&lt;&gt;"", "✓", "✗"), "✗")
)</f>
        <v/>
      </c>
      <c r="Y31">
        <f t="array" ref="Y31">IF(
    ISNUMBER(VALUE(LEFT($A31, 1))),
    "",
    IFERROR(IF(_xlfn.XLOOKUP($A31, INDIRECT("'" &amp; Y$2 &amp; "'!$A:$A"), INDIRECT("'" &amp; Y$2 &amp; "'!$B:$B"), "")&lt;&gt;"", "✓", "✗"), "✗")
)</f>
        <v/>
      </c>
      <c r="Z31">
        <f t="array" ref="Z31">IF(
    ISNUMBER(VALUE(LEFT($A31, 1))),
    "",
    IFERROR(IF(_xlfn.XLOOKUP($A31, INDIRECT("'" &amp; Z$2 &amp; "'!$A:$A"), INDIRECT("'" &amp; Z$2 &amp; "'!$B:$B"), "")&lt;&gt;"", "✓", "✗"), "✗")
)</f>
        <v/>
      </c>
      <c r="AA31">
        <f t="array" ref="AA31">IF(
    ISNUMBER(VALUE(LEFT($A31, 1))),
    "",
    IFERROR(IF(_xlfn.XLOOKUP($A31, INDIRECT("'" &amp; AA$2 &amp; "'!$A:$A"), INDIRECT("'" &amp; AA$2 &amp; "'!$B:$B"), "")&lt;&gt;"", "✓", "✗"), "✗")
)</f>
        <v/>
      </c>
      <c r="AB31">
        <f t="array" ref="AB31">IF(
    ISNUMBER(VALUE(LEFT($A31, 1))),
    "",
    IFERROR(IF(_xlfn.XLOOKUP($A31, INDIRECT("'" &amp; AB$2 &amp; "'!$A:$A"), INDIRECT("'" &amp; AB$2 &amp; "'!$B:$B"), "")&lt;&gt;"", "✓", "✗"), "✗")
)</f>
        <v/>
      </c>
      <c r="AC31">
        <f t="array" ref="AC31">IF(
    ISNUMBER(VALUE(LEFT($A31, 1))),
    "",
    IFERROR(IF(_xlfn.XLOOKUP($A31, INDIRECT("'" &amp; AC$2 &amp; "'!$A:$A"), INDIRECT("'" &amp; AC$2 &amp; "'!$B:$B"), "")&lt;&gt;"", "✓", "✗"), "✗")
)</f>
        <v/>
      </c>
      <c r="AD31">
        <f t="array" ref="AD31">IF(
    ISNUMBER(VALUE(LEFT($A31, 1))),
    "",
    IFERROR(IF(_xlfn.XLOOKUP($A31, INDIRECT("'" &amp; AD$2 &amp; "'!$A:$A"), INDIRECT("'" &amp; AD$2 &amp; "'!$B:$B"), "")&lt;&gt;"", "✓", "✗"), "✗")
)</f>
        <v/>
      </c>
      <c r="AE31">
        <f t="array" ref="AE31">IF(
    ISNUMBER(VALUE(LEFT($A31, 1))),
    "",
    IFERROR(IF(_xlfn.XLOOKUP($A31, INDIRECT("'" &amp; AE$2 &amp; "'!$A:$A"), INDIRECT("'" &amp; AE$2 &amp; "'!$B:$B"), "")&lt;&gt;"", "✓", "✗"), "✗")
)</f>
        <v/>
      </c>
      <c r="AF31">
        <f t="array" ref="AF31">IF(
    ISNUMBER(VALUE(LEFT($A31, 1))),
    "",
    IFERROR(IF(_xlfn.XLOOKUP($A31, INDIRECT("'" &amp; AF$2 &amp; "'!$A:$A"), INDIRECT("'" &amp; AF$2 &amp; "'!$B:$B"), "")&lt;&gt;"", "✓", "✗"), "✗")
)</f>
        <v/>
      </c>
      <c r="AG31">
        <f t="array" ref="AG31">IF(
    ISNUMBER(VALUE(LEFT($A31, 1))),
    "",
    IFERROR(IF(_xlfn.XLOOKUP($A31, INDIRECT("'" &amp; AG$2 &amp; "'!$A:$A"), INDIRECT("'" &amp; AG$2 &amp; "'!$B:$B"), "")&lt;&gt;"", "✓", "✗"), "✗")
)</f>
        <v/>
      </c>
    </row>
    <row r="32">
      <c r="A32" t="inlineStr">
        <is>
          <t>State/County</t>
        </is>
      </c>
      <c r="B32">
        <f t="array" ref="B32">IF(
    ISNUMBER(VALUE(LEFT($A32, 1))),
    "",
    IFERROR(IF(_xlfn.XLOOKUP($A32, INDIRECT("'" &amp; B$2 &amp; "'!$A:$A"), INDIRECT("'" &amp; B$2 &amp; "'!$B:$B"), "")&lt;&gt;"", "✓", "✗"), "✗")
)</f>
        <v/>
      </c>
      <c r="C32">
        <f t="array" ref="C32">IF(
    ISNUMBER(VALUE(LEFT($A32, 1))),
    "",
    IFERROR(IF(_xlfn.XLOOKUP($A32, INDIRECT("'" &amp; C$2 &amp; "'!$A:$A"), INDIRECT("'" &amp; C$2 &amp; "'!$B:$B"), "")&lt;&gt;"", "✓", "✗"), "✗")
)</f>
        <v/>
      </c>
      <c r="D32">
        <f t="array" ref="D32">IF(
    ISNUMBER(VALUE(LEFT($A32, 1))),
    "",
    IFERROR(IF(_xlfn.XLOOKUP($A32, INDIRECT("'" &amp; D$2 &amp; "'!$A:$A"), INDIRECT("'" &amp; D$2 &amp; "'!$B:$B"), "")&lt;&gt;"", "✓", "✗"), "✗")
)</f>
        <v/>
      </c>
      <c r="E32">
        <f t="array" ref="E32">IF(
    ISNUMBER(VALUE(LEFT($A32, 1))),
    "",
    IFERROR(IF(_xlfn.XLOOKUP($A32, INDIRECT("'" &amp; E$2 &amp; "'!$A:$A"), INDIRECT("'" &amp; E$2 &amp; "'!$B:$B"), "")&lt;&gt;"", "✓", "✗"), "✗")
)</f>
        <v/>
      </c>
      <c r="F32">
        <f t="array" ref="F32">IF(
    ISNUMBER(VALUE(LEFT($A32, 1))),
    "",
    IFERROR(IF(_xlfn.XLOOKUP($A32, INDIRECT("'" &amp; F$2 &amp; "'!$A:$A"), INDIRECT("'" &amp; F$2 &amp; "'!$B:$B"), "")&lt;&gt;"", "✓", "✗"), "✗")
)</f>
        <v/>
      </c>
      <c r="G32">
        <f t="array" ref="G32">IF(
    ISNUMBER(VALUE(LEFT($A32, 1))),
    "",
    IFERROR(IF(_xlfn.XLOOKUP($A32, INDIRECT("'" &amp; G$2 &amp; "'!$A:$A"), INDIRECT("'" &amp; G$2 &amp; "'!$B:$B"), "")&lt;&gt;"", "✓", "✗"), "✗")
)</f>
        <v/>
      </c>
      <c r="H32">
        <f t="array" ref="H32">IF(
    ISNUMBER(VALUE(LEFT($A32, 1))),
    "",
    IFERROR(IF(_xlfn.XLOOKUP($A32, INDIRECT("'" &amp; H$2 &amp; "'!$A:$A"), INDIRECT("'" &amp; H$2 &amp; "'!$B:$B"), "")&lt;&gt;"", "✓", "✗"), "✗")
)</f>
        <v/>
      </c>
      <c r="I32">
        <f t="array" ref="I32">IF(
    ISNUMBER(VALUE(LEFT($A32, 1))),
    "",
    IFERROR(IF(_xlfn.XLOOKUP($A32, INDIRECT("'" &amp; I$2 &amp; "'!$A:$A"), INDIRECT("'" &amp; I$2 &amp; "'!$B:$B"), "")&lt;&gt;"", "✓", "✗"), "✗")
)</f>
        <v/>
      </c>
      <c r="J32">
        <f t="array" ref="J32">IF(
    ISNUMBER(VALUE(LEFT($A32, 1))),
    "",
    IFERROR(IF(_xlfn.XLOOKUP($A32, INDIRECT("'" &amp; J$2 &amp; "'!$A:$A"), INDIRECT("'" &amp; J$2 &amp; "'!$B:$B"), "")&lt;&gt;"", "✓", "✗"), "✗")
)</f>
        <v/>
      </c>
      <c r="K32">
        <f t="array" ref="K32">IF(
    ISNUMBER(VALUE(LEFT($A32, 1))),
    "",
    IFERROR(IF(_xlfn.XLOOKUP($A32, INDIRECT("'" &amp; K$2 &amp; "'!$A:$A"), INDIRECT("'" &amp; K$2 &amp; "'!$B:$B"), "")&lt;&gt;"", "✓", "✗"), "✗")
)</f>
        <v/>
      </c>
      <c r="L32">
        <f t="array" ref="L32">IF(
    ISNUMBER(VALUE(LEFT($A32, 1))),
    "",
    IFERROR(IF(_xlfn.XLOOKUP($A32, INDIRECT("'" &amp; L$2 &amp; "'!$A:$A"), INDIRECT("'" &amp; L$2 &amp; "'!$B:$B"), "")&lt;&gt;"", "✓", "✗"), "✗")
)</f>
        <v/>
      </c>
      <c r="M32">
        <f t="array" ref="M32">IF(
    ISNUMBER(VALUE(LEFT($A32, 1))),
    "",
    IFERROR(IF(_xlfn.XLOOKUP($A32, INDIRECT("'" &amp; M$2 &amp; "'!$A:$A"), INDIRECT("'" &amp; M$2 &amp; "'!$B:$B"), "")&lt;&gt;"", "✓", "✗"), "✗")
)</f>
        <v/>
      </c>
      <c r="N32">
        <f t="array" ref="N32">IF(
    ISNUMBER(VALUE(LEFT($A32, 1))),
    "",
    IFERROR(IF(_xlfn.XLOOKUP($A32, INDIRECT("'" &amp; N$2 &amp; "'!$A:$A"), INDIRECT("'" &amp; N$2 &amp; "'!$B:$B"), "")&lt;&gt;"", "✓", "✗"), "✗")
)</f>
        <v/>
      </c>
      <c r="O32">
        <f t="array" ref="O32">IF(
    ISNUMBER(VALUE(LEFT($A32, 1))),
    "",
    IFERROR(IF(_xlfn.XLOOKUP($A32, INDIRECT("'" &amp; O$2 &amp; "'!$A:$A"), INDIRECT("'" &amp; O$2 &amp; "'!$B:$B"), "")&lt;&gt;"", "✓", "✗"), "✗")
)</f>
        <v/>
      </c>
      <c r="P32">
        <f t="array" ref="P32">IF(
    ISNUMBER(VALUE(LEFT($A32, 1))),
    "",
    IFERROR(IF(_xlfn.XLOOKUP($A32, INDIRECT("'" &amp; P$2 &amp; "'!$A:$A"), INDIRECT("'" &amp; P$2 &amp; "'!$B:$B"), "")&lt;&gt;"", "✓", "✗"), "✗")
)</f>
        <v/>
      </c>
      <c r="Q32">
        <f t="array" ref="Q32">IF(
    ISNUMBER(VALUE(LEFT($A32, 1))),
    "",
    IFERROR(IF(_xlfn.XLOOKUP($A32, INDIRECT("'" &amp; Q$2 &amp; "'!$A:$A"), INDIRECT("'" &amp; Q$2 &amp; "'!$B:$B"), "")&lt;&gt;"", "✓", "✗"), "✗")
)</f>
        <v/>
      </c>
      <c r="R32">
        <f t="array" ref="R32">IF(
    ISNUMBER(VALUE(LEFT($A32, 1))),
    "",
    IFERROR(IF(_xlfn.XLOOKUP($A32, INDIRECT("'" &amp; R$2 &amp; "'!$A:$A"), INDIRECT("'" &amp; R$2 &amp; "'!$B:$B"), "")&lt;&gt;"", "✓", "✗"), "✗")
)</f>
        <v/>
      </c>
      <c r="S32">
        <f t="array" ref="S32">IF(
    ISNUMBER(VALUE(LEFT($A32, 1))),
    "",
    IFERROR(IF(_xlfn.XLOOKUP($A32, INDIRECT("'" &amp; S$2 &amp; "'!$A:$A"), INDIRECT("'" &amp; S$2 &amp; "'!$B:$B"), "")&lt;&gt;"", "✓", "✗"), "✗")
)</f>
        <v/>
      </c>
      <c r="T32">
        <f t="array" ref="T32">IF(
    ISNUMBER(VALUE(LEFT($A32, 1))),
    "",
    IFERROR(IF(_xlfn.XLOOKUP($A32, INDIRECT("'" &amp; T$2 &amp; "'!$A:$A"), INDIRECT("'" &amp; T$2 &amp; "'!$B:$B"), "")&lt;&gt;"", "✓", "✗"), "✗")
)</f>
        <v/>
      </c>
      <c r="U32">
        <f t="array" ref="U32">IF(
    ISNUMBER(VALUE(LEFT($A32, 1))),
    "",
    IFERROR(IF(_xlfn.XLOOKUP($A32, INDIRECT("'" &amp; U$2 &amp; "'!$A:$A"), INDIRECT("'" &amp; U$2 &amp; "'!$B:$B"), "")&lt;&gt;"", "✓", "✗"), "✗")
)</f>
        <v/>
      </c>
      <c r="V32">
        <f t="array" ref="V32">IF(
    ISNUMBER(VALUE(LEFT($A32, 1))),
    "",
    IFERROR(IF(_xlfn.XLOOKUP($A32, INDIRECT("'" &amp; V$2 &amp; "'!$A:$A"), INDIRECT("'" &amp; V$2 &amp; "'!$B:$B"), "")&lt;&gt;"", "✓", "✗"), "✗")
)</f>
        <v/>
      </c>
      <c r="W32">
        <f t="array" ref="W32">IF(
    ISNUMBER(VALUE(LEFT($A32, 1))),
    "",
    IFERROR(IF(_xlfn.XLOOKUP($A32, INDIRECT("'" &amp; W$2 &amp; "'!$A:$A"), INDIRECT("'" &amp; W$2 &amp; "'!$B:$B"), "")&lt;&gt;"", "✓", "✗"), "✗")
)</f>
        <v/>
      </c>
      <c r="X32">
        <f t="array" ref="X32">IF(
    ISNUMBER(VALUE(LEFT($A32, 1))),
    "",
    IFERROR(IF(_xlfn.XLOOKUP($A32, INDIRECT("'" &amp; X$2 &amp; "'!$A:$A"), INDIRECT("'" &amp; X$2 &amp; "'!$B:$B"), "")&lt;&gt;"", "✓", "✗"), "✗")
)</f>
        <v/>
      </c>
      <c r="Y32">
        <f t="array" ref="Y32">IF(
    ISNUMBER(VALUE(LEFT($A32, 1))),
    "",
    IFERROR(IF(_xlfn.XLOOKUP($A32, INDIRECT("'" &amp; Y$2 &amp; "'!$A:$A"), INDIRECT("'" &amp; Y$2 &amp; "'!$B:$B"), "")&lt;&gt;"", "✓", "✗"), "✗")
)</f>
        <v/>
      </c>
      <c r="Z32">
        <f t="array" ref="Z32">IF(
    ISNUMBER(VALUE(LEFT($A32, 1))),
    "",
    IFERROR(IF(_xlfn.XLOOKUP($A32, INDIRECT("'" &amp; Z$2 &amp; "'!$A:$A"), INDIRECT("'" &amp; Z$2 &amp; "'!$B:$B"), "")&lt;&gt;"", "✓", "✗"), "✗")
)</f>
        <v/>
      </c>
      <c r="AA32">
        <f t="array" ref="AA32">IF(
    ISNUMBER(VALUE(LEFT($A32, 1))),
    "",
    IFERROR(IF(_xlfn.XLOOKUP($A32, INDIRECT("'" &amp; AA$2 &amp; "'!$A:$A"), INDIRECT("'" &amp; AA$2 &amp; "'!$B:$B"), "")&lt;&gt;"", "✓", "✗"), "✗")
)</f>
        <v/>
      </c>
      <c r="AB32">
        <f t="array" ref="AB32">IF(
    ISNUMBER(VALUE(LEFT($A32, 1))),
    "",
    IFERROR(IF(_xlfn.XLOOKUP($A32, INDIRECT("'" &amp; AB$2 &amp; "'!$A:$A"), INDIRECT("'" &amp; AB$2 &amp; "'!$B:$B"), "")&lt;&gt;"", "✓", "✗"), "✗")
)</f>
        <v/>
      </c>
      <c r="AC32">
        <f t="array" ref="AC32">IF(
    ISNUMBER(VALUE(LEFT($A32, 1))),
    "",
    IFERROR(IF(_xlfn.XLOOKUP($A32, INDIRECT("'" &amp; AC$2 &amp; "'!$A:$A"), INDIRECT("'" &amp; AC$2 &amp; "'!$B:$B"), "")&lt;&gt;"", "✓", "✗"), "✗")
)</f>
        <v/>
      </c>
      <c r="AD32">
        <f t="array" ref="AD32">IF(
    ISNUMBER(VALUE(LEFT($A32, 1))),
    "",
    IFERROR(IF(_xlfn.XLOOKUP($A32, INDIRECT("'" &amp; AD$2 &amp; "'!$A:$A"), INDIRECT("'" &amp; AD$2 &amp; "'!$B:$B"), "")&lt;&gt;"", "✓", "✗"), "✗")
)</f>
        <v/>
      </c>
      <c r="AE32">
        <f t="array" ref="AE32">IF(
    ISNUMBER(VALUE(LEFT($A32, 1))),
    "",
    IFERROR(IF(_xlfn.XLOOKUP($A32, INDIRECT("'" &amp; AE$2 &amp; "'!$A:$A"), INDIRECT("'" &amp; AE$2 &amp; "'!$B:$B"), "")&lt;&gt;"", "✓", "✗"), "✗")
)</f>
        <v/>
      </c>
      <c r="AF32">
        <f t="array" ref="AF32">IF(
    ISNUMBER(VALUE(LEFT($A32, 1))),
    "",
    IFERROR(IF(_xlfn.XLOOKUP($A32, INDIRECT("'" &amp; AF$2 &amp; "'!$A:$A"), INDIRECT("'" &amp; AF$2 &amp; "'!$B:$B"), "")&lt;&gt;"", "✓", "✗"), "✗")
)</f>
        <v/>
      </c>
      <c r="AG32">
        <f t="array" ref="AG32">IF(
    ISNUMBER(VALUE(LEFT($A32, 1))),
    "",
    IFERROR(IF(_xlfn.XLOOKUP($A32, INDIRECT("'" &amp; AG$2 &amp; "'!$A:$A"), INDIRECT("'" &amp; AG$2 &amp; "'!$B:$B"), "")&lt;&gt;"", "✓", "✗"), "✗")
)</f>
        <v/>
      </c>
    </row>
    <row r="33">
      <c r="A33" t="inlineStr">
        <is>
          <t>Postal/Zip Code</t>
        </is>
      </c>
      <c r="B33">
        <f t="array" ref="B33">IF(
    ISNUMBER(VALUE(LEFT($A33, 1))),
    "",
    IFERROR(IF(_xlfn.XLOOKUP($A33, INDIRECT("'" &amp; B$2 &amp; "'!$A:$A"), INDIRECT("'" &amp; B$2 &amp; "'!$B:$B"), "")&lt;&gt;"", "✓", "✗"), "✗")
)</f>
        <v/>
      </c>
      <c r="C33">
        <f t="array" ref="C33">IF(
    ISNUMBER(VALUE(LEFT($A33, 1))),
    "",
    IFERROR(IF(_xlfn.XLOOKUP($A33, INDIRECT("'" &amp; C$2 &amp; "'!$A:$A"), INDIRECT("'" &amp; C$2 &amp; "'!$B:$B"), "")&lt;&gt;"", "✓", "✗"), "✗")
)</f>
        <v/>
      </c>
      <c r="D33">
        <f t="array" ref="D33">IF(
    ISNUMBER(VALUE(LEFT($A33, 1))),
    "",
    IFERROR(IF(_xlfn.XLOOKUP($A33, INDIRECT("'" &amp; D$2 &amp; "'!$A:$A"), INDIRECT("'" &amp; D$2 &amp; "'!$B:$B"), "")&lt;&gt;"", "✓", "✗"), "✗")
)</f>
        <v/>
      </c>
      <c r="E33">
        <f t="array" ref="E33">IF(
    ISNUMBER(VALUE(LEFT($A33, 1))),
    "",
    IFERROR(IF(_xlfn.XLOOKUP($A33, INDIRECT("'" &amp; E$2 &amp; "'!$A:$A"), INDIRECT("'" &amp; E$2 &amp; "'!$B:$B"), "")&lt;&gt;"", "✓", "✗"), "✗")
)</f>
        <v/>
      </c>
      <c r="F33">
        <f t="array" ref="F33">IF(
    ISNUMBER(VALUE(LEFT($A33, 1))),
    "",
    IFERROR(IF(_xlfn.XLOOKUP($A33, INDIRECT("'" &amp; F$2 &amp; "'!$A:$A"), INDIRECT("'" &amp; F$2 &amp; "'!$B:$B"), "")&lt;&gt;"", "✓", "✗"), "✗")
)</f>
        <v/>
      </c>
      <c r="G33">
        <f t="array" ref="G33">IF(
    ISNUMBER(VALUE(LEFT($A33, 1))),
    "",
    IFERROR(IF(_xlfn.XLOOKUP($A33, INDIRECT("'" &amp; G$2 &amp; "'!$A:$A"), INDIRECT("'" &amp; G$2 &amp; "'!$B:$B"), "")&lt;&gt;"", "✓", "✗"), "✗")
)</f>
        <v/>
      </c>
      <c r="H33">
        <f t="array" ref="H33">IF(
    ISNUMBER(VALUE(LEFT($A33, 1))),
    "",
    IFERROR(IF(_xlfn.XLOOKUP($A33, INDIRECT("'" &amp; H$2 &amp; "'!$A:$A"), INDIRECT("'" &amp; H$2 &amp; "'!$B:$B"), "")&lt;&gt;"", "✓", "✗"), "✗")
)</f>
        <v/>
      </c>
      <c r="I33">
        <f t="array" ref="I33">IF(
    ISNUMBER(VALUE(LEFT($A33, 1))),
    "",
    IFERROR(IF(_xlfn.XLOOKUP($A33, INDIRECT("'" &amp; I$2 &amp; "'!$A:$A"), INDIRECT("'" &amp; I$2 &amp; "'!$B:$B"), "")&lt;&gt;"", "✓", "✗"), "✗")
)</f>
        <v/>
      </c>
      <c r="J33">
        <f t="array" ref="J33">IF(
    ISNUMBER(VALUE(LEFT($A33, 1))),
    "",
    IFERROR(IF(_xlfn.XLOOKUP($A33, INDIRECT("'" &amp; J$2 &amp; "'!$A:$A"), INDIRECT("'" &amp; J$2 &amp; "'!$B:$B"), "")&lt;&gt;"", "✓", "✗"), "✗")
)</f>
        <v/>
      </c>
      <c r="K33">
        <f t="array" ref="K33">IF(
    ISNUMBER(VALUE(LEFT($A33, 1))),
    "",
    IFERROR(IF(_xlfn.XLOOKUP($A33, INDIRECT("'" &amp; K$2 &amp; "'!$A:$A"), INDIRECT("'" &amp; K$2 &amp; "'!$B:$B"), "")&lt;&gt;"", "✓", "✗"), "✗")
)</f>
        <v/>
      </c>
      <c r="L33">
        <f t="array" ref="L33">IF(
    ISNUMBER(VALUE(LEFT($A33, 1))),
    "",
    IFERROR(IF(_xlfn.XLOOKUP($A33, INDIRECT("'" &amp; L$2 &amp; "'!$A:$A"), INDIRECT("'" &amp; L$2 &amp; "'!$B:$B"), "")&lt;&gt;"", "✓", "✗"), "✗")
)</f>
        <v/>
      </c>
      <c r="M33">
        <f t="array" ref="M33">IF(
    ISNUMBER(VALUE(LEFT($A33, 1))),
    "",
    IFERROR(IF(_xlfn.XLOOKUP($A33, INDIRECT("'" &amp; M$2 &amp; "'!$A:$A"), INDIRECT("'" &amp; M$2 &amp; "'!$B:$B"), "")&lt;&gt;"", "✓", "✗"), "✗")
)</f>
        <v/>
      </c>
      <c r="N33">
        <f t="array" ref="N33">IF(
    ISNUMBER(VALUE(LEFT($A33, 1))),
    "",
    IFERROR(IF(_xlfn.XLOOKUP($A33, INDIRECT("'" &amp; N$2 &amp; "'!$A:$A"), INDIRECT("'" &amp; N$2 &amp; "'!$B:$B"), "")&lt;&gt;"", "✓", "✗"), "✗")
)</f>
        <v/>
      </c>
      <c r="O33">
        <f t="array" ref="O33">IF(
    ISNUMBER(VALUE(LEFT($A33, 1))),
    "",
    IFERROR(IF(_xlfn.XLOOKUP($A33, INDIRECT("'" &amp; O$2 &amp; "'!$A:$A"), INDIRECT("'" &amp; O$2 &amp; "'!$B:$B"), "")&lt;&gt;"", "✓", "✗"), "✗")
)</f>
        <v/>
      </c>
      <c r="P33">
        <f t="array" ref="P33">IF(
    ISNUMBER(VALUE(LEFT($A33, 1))),
    "",
    IFERROR(IF(_xlfn.XLOOKUP($A33, INDIRECT("'" &amp; P$2 &amp; "'!$A:$A"), INDIRECT("'" &amp; P$2 &amp; "'!$B:$B"), "")&lt;&gt;"", "✓", "✗"), "✗")
)</f>
        <v/>
      </c>
      <c r="Q33">
        <f t="array" ref="Q33">IF(
    ISNUMBER(VALUE(LEFT($A33, 1))),
    "",
    IFERROR(IF(_xlfn.XLOOKUP($A33, INDIRECT("'" &amp; Q$2 &amp; "'!$A:$A"), INDIRECT("'" &amp; Q$2 &amp; "'!$B:$B"), "")&lt;&gt;"", "✓", "✗"), "✗")
)</f>
        <v/>
      </c>
      <c r="R33">
        <f t="array" ref="R33">IF(
    ISNUMBER(VALUE(LEFT($A33, 1))),
    "",
    IFERROR(IF(_xlfn.XLOOKUP($A33, INDIRECT("'" &amp; R$2 &amp; "'!$A:$A"), INDIRECT("'" &amp; R$2 &amp; "'!$B:$B"), "")&lt;&gt;"", "✓", "✗"), "✗")
)</f>
        <v/>
      </c>
      <c r="S33">
        <f t="array" ref="S33">IF(
    ISNUMBER(VALUE(LEFT($A33, 1))),
    "",
    IFERROR(IF(_xlfn.XLOOKUP($A33, INDIRECT("'" &amp; S$2 &amp; "'!$A:$A"), INDIRECT("'" &amp; S$2 &amp; "'!$B:$B"), "")&lt;&gt;"", "✓", "✗"), "✗")
)</f>
        <v/>
      </c>
      <c r="T33">
        <f t="array" ref="T33">IF(
    ISNUMBER(VALUE(LEFT($A33, 1))),
    "",
    IFERROR(IF(_xlfn.XLOOKUP($A33, INDIRECT("'" &amp; T$2 &amp; "'!$A:$A"), INDIRECT("'" &amp; T$2 &amp; "'!$B:$B"), "")&lt;&gt;"", "✓", "✗"), "✗")
)</f>
        <v/>
      </c>
      <c r="U33">
        <f t="array" ref="U33">IF(
    ISNUMBER(VALUE(LEFT($A33, 1))),
    "",
    IFERROR(IF(_xlfn.XLOOKUP($A33, INDIRECT("'" &amp; U$2 &amp; "'!$A:$A"), INDIRECT("'" &amp; U$2 &amp; "'!$B:$B"), "")&lt;&gt;"", "✓", "✗"), "✗")
)</f>
        <v/>
      </c>
      <c r="V33">
        <f t="array" ref="V33">IF(
    ISNUMBER(VALUE(LEFT($A33, 1))),
    "",
    IFERROR(IF(_xlfn.XLOOKUP($A33, INDIRECT("'" &amp; V$2 &amp; "'!$A:$A"), INDIRECT("'" &amp; V$2 &amp; "'!$B:$B"), "")&lt;&gt;"", "✓", "✗"), "✗")
)</f>
        <v/>
      </c>
      <c r="W33">
        <f t="array" ref="W33">IF(
    ISNUMBER(VALUE(LEFT($A33, 1))),
    "",
    IFERROR(IF(_xlfn.XLOOKUP($A33, INDIRECT("'" &amp; W$2 &amp; "'!$A:$A"), INDIRECT("'" &amp; W$2 &amp; "'!$B:$B"), "")&lt;&gt;"", "✓", "✗"), "✗")
)</f>
        <v/>
      </c>
      <c r="X33">
        <f t="array" ref="X33">IF(
    ISNUMBER(VALUE(LEFT($A33, 1))),
    "",
    IFERROR(IF(_xlfn.XLOOKUP($A33, INDIRECT("'" &amp; X$2 &amp; "'!$A:$A"), INDIRECT("'" &amp; X$2 &amp; "'!$B:$B"), "")&lt;&gt;"", "✓", "✗"), "✗")
)</f>
        <v/>
      </c>
      <c r="Y33">
        <f t="array" ref="Y33">IF(
    ISNUMBER(VALUE(LEFT($A33, 1))),
    "",
    IFERROR(IF(_xlfn.XLOOKUP($A33, INDIRECT("'" &amp; Y$2 &amp; "'!$A:$A"), INDIRECT("'" &amp; Y$2 &amp; "'!$B:$B"), "")&lt;&gt;"", "✓", "✗"), "✗")
)</f>
        <v/>
      </c>
      <c r="Z33">
        <f t="array" ref="Z33">IF(
    ISNUMBER(VALUE(LEFT($A33, 1))),
    "",
    IFERROR(IF(_xlfn.XLOOKUP($A33, INDIRECT("'" &amp; Z$2 &amp; "'!$A:$A"), INDIRECT("'" &amp; Z$2 &amp; "'!$B:$B"), "")&lt;&gt;"", "✓", "✗"), "✗")
)</f>
        <v/>
      </c>
      <c r="AA33">
        <f t="array" ref="AA33">IF(
    ISNUMBER(VALUE(LEFT($A33, 1))),
    "",
    IFERROR(IF(_xlfn.XLOOKUP($A33, INDIRECT("'" &amp; AA$2 &amp; "'!$A:$A"), INDIRECT("'" &amp; AA$2 &amp; "'!$B:$B"), "")&lt;&gt;"", "✓", "✗"), "✗")
)</f>
        <v/>
      </c>
      <c r="AB33">
        <f t="array" ref="AB33">IF(
    ISNUMBER(VALUE(LEFT($A33, 1))),
    "",
    IFERROR(IF(_xlfn.XLOOKUP($A33, INDIRECT("'" &amp; AB$2 &amp; "'!$A:$A"), INDIRECT("'" &amp; AB$2 &amp; "'!$B:$B"), "")&lt;&gt;"", "✓", "✗"), "✗")
)</f>
        <v/>
      </c>
      <c r="AC33">
        <f t="array" ref="AC33">IF(
    ISNUMBER(VALUE(LEFT($A33, 1))),
    "",
    IFERROR(IF(_xlfn.XLOOKUP($A33, INDIRECT("'" &amp; AC$2 &amp; "'!$A:$A"), INDIRECT("'" &amp; AC$2 &amp; "'!$B:$B"), "")&lt;&gt;"", "✓", "✗"), "✗")
)</f>
        <v/>
      </c>
      <c r="AD33">
        <f t="array" ref="AD33">IF(
    ISNUMBER(VALUE(LEFT($A33, 1))),
    "",
    IFERROR(IF(_xlfn.XLOOKUP($A33, INDIRECT("'" &amp; AD$2 &amp; "'!$A:$A"), INDIRECT("'" &amp; AD$2 &amp; "'!$B:$B"), "")&lt;&gt;"", "✓", "✗"), "✗")
)</f>
        <v/>
      </c>
      <c r="AE33">
        <f t="array" ref="AE33">IF(
    ISNUMBER(VALUE(LEFT($A33, 1))),
    "",
    IFERROR(IF(_xlfn.XLOOKUP($A33, INDIRECT("'" &amp; AE$2 &amp; "'!$A:$A"), INDIRECT("'" &amp; AE$2 &amp; "'!$B:$B"), "")&lt;&gt;"", "✓", "✗"), "✗")
)</f>
        <v/>
      </c>
      <c r="AF33">
        <f t="array" ref="AF33">IF(
    ISNUMBER(VALUE(LEFT($A33, 1))),
    "",
    IFERROR(IF(_xlfn.XLOOKUP($A33, INDIRECT("'" &amp; AF$2 &amp; "'!$A:$A"), INDIRECT("'" &amp; AF$2 &amp; "'!$B:$B"), "")&lt;&gt;"", "✓", "✗"), "✗")
)</f>
        <v/>
      </c>
      <c r="AG33">
        <f t="array" ref="AG33">IF(
    ISNUMBER(VALUE(LEFT($A33, 1))),
    "",
    IFERROR(IF(_xlfn.XLOOKUP($A33, INDIRECT("'" &amp; AG$2 &amp; "'!$A:$A"), INDIRECT("'" &amp; AG$2 &amp; "'!$B:$B"), "")&lt;&gt;"", "✓", "✗"), "✗")
)</f>
        <v/>
      </c>
    </row>
    <row r="34">
      <c r="A34" t="inlineStr">
        <is>
          <t>Country</t>
        </is>
      </c>
      <c r="B34">
        <f t="array" ref="B34">IF(
    ISNUMBER(VALUE(LEFT($A34, 1))),
    "",
    IFERROR(IF(_xlfn.XLOOKUP($A34, INDIRECT("'" &amp; B$2 &amp; "'!$A:$A"), INDIRECT("'" &amp; B$2 &amp; "'!$B:$B"), "")&lt;&gt;"", "✓", "✗"), "✗")
)</f>
        <v/>
      </c>
      <c r="C34">
        <f t="array" ref="C34">IF(
    ISNUMBER(VALUE(LEFT($A34, 1))),
    "",
    IFERROR(IF(_xlfn.XLOOKUP($A34, INDIRECT("'" &amp; C$2 &amp; "'!$A:$A"), INDIRECT("'" &amp; C$2 &amp; "'!$B:$B"), "")&lt;&gt;"", "✓", "✗"), "✗")
)</f>
        <v/>
      </c>
      <c r="D34">
        <f t="array" ref="D34">IF(
    ISNUMBER(VALUE(LEFT($A34, 1))),
    "",
    IFERROR(IF(_xlfn.XLOOKUP($A34, INDIRECT("'" &amp; D$2 &amp; "'!$A:$A"), INDIRECT("'" &amp; D$2 &amp; "'!$B:$B"), "")&lt;&gt;"", "✓", "✗"), "✗")
)</f>
        <v/>
      </c>
      <c r="E34">
        <f t="array" ref="E34">IF(
    ISNUMBER(VALUE(LEFT($A34, 1))),
    "",
    IFERROR(IF(_xlfn.XLOOKUP($A34, INDIRECT("'" &amp; E$2 &amp; "'!$A:$A"), INDIRECT("'" &amp; E$2 &amp; "'!$B:$B"), "")&lt;&gt;"", "✓", "✗"), "✗")
)</f>
        <v/>
      </c>
      <c r="F34">
        <f t="array" ref="F34">IF(
    ISNUMBER(VALUE(LEFT($A34, 1))),
    "",
    IFERROR(IF(_xlfn.XLOOKUP($A34, INDIRECT("'" &amp; F$2 &amp; "'!$A:$A"), INDIRECT("'" &amp; F$2 &amp; "'!$B:$B"), "")&lt;&gt;"", "✓", "✗"), "✗")
)</f>
        <v/>
      </c>
      <c r="G34">
        <f t="array" ref="G34">IF(
    ISNUMBER(VALUE(LEFT($A34, 1))),
    "",
    IFERROR(IF(_xlfn.XLOOKUP($A34, INDIRECT("'" &amp; G$2 &amp; "'!$A:$A"), INDIRECT("'" &amp; G$2 &amp; "'!$B:$B"), "")&lt;&gt;"", "✓", "✗"), "✗")
)</f>
        <v/>
      </c>
      <c r="H34">
        <f t="array" ref="H34">IF(
    ISNUMBER(VALUE(LEFT($A34, 1))),
    "",
    IFERROR(IF(_xlfn.XLOOKUP($A34, INDIRECT("'" &amp; H$2 &amp; "'!$A:$A"), INDIRECT("'" &amp; H$2 &amp; "'!$B:$B"), "")&lt;&gt;"", "✓", "✗"), "✗")
)</f>
        <v/>
      </c>
      <c r="I34">
        <f t="array" ref="I34">IF(
    ISNUMBER(VALUE(LEFT($A34, 1))),
    "",
    IFERROR(IF(_xlfn.XLOOKUP($A34, INDIRECT("'" &amp; I$2 &amp; "'!$A:$A"), INDIRECT("'" &amp; I$2 &amp; "'!$B:$B"), "")&lt;&gt;"", "✓", "✗"), "✗")
)</f>
        <v/>
      </c>
      <c r="J34">
        <f t="array" ref="J34">IF(
    ISNUMBER(VALUE(LEFT($A34, 1))),
    "",
    IFERROR(IF(_xlfn.XLOOKUP($A34, INDIRECT("'" &amp; J$2 &amp; "'!$A:$A"), INDIRECT("'" &amp; J$2 &amp; "'!$B:$B"), "")&lt;&gt;"", "✓", "✗"), "✗")
)</f>
        <v/>
      </c>
      <c r="K34">
        <f t="array" ref="K34">IF(
    ISNUMBER(VALUE(LEFT($A34, 1))),
    "",
    IFERROR(IF(_xlfn.XLOOKUP($A34, INDIRECT("'" &amp; K$2 &amp; "'!$A:$A"), INDIRECT("'" &amp; K$2 &amp; "'!$B:$B"), "")&lt;&gt;"", "✓", "✗"), "✗")
)</f>
        <v/>
      </c>
      <c r="L34">
        <f t="array" ref="L34">IF(
    ISNUMBER(VALUE(LEFT($A34, 1))),
    "",
    IFERROR(IF(_xlfn.XLOOKUP($A34, INDIRECT("'" &amp; L$2 &amp; "'!$A:$A"), INDIRECT("'" &amp; L$2 &amp; "'!$B:$B"), "")&lt;&gt;"", "✓", "✗"), "✗")
)</f>
        <v/>
      </c>
      <c r="M34">
        <f t="array" ref="M34">IF(
    ISNUMBER(VALUE(LEFT($A34, 1))),
    "",
    IFERROR(IF(_xlfn.XLOOKUP($A34, INDIRECT("'" &amp; M$2 &amp; "'!$A:$A"), INDIRECT("'" &amp; M$2 &amp; "'!$B:$B"), "")&lt;&gt;"", "✓", "✗"), "✗")
)</f>
        <v/>
      </c>
      <c r="N34">
        <f t="array" ref="N34">IF(
    ISNUMBER(VALUE(LEFT($A34, 1))),
    "",
    IFERROR(IF(_xlfn.XLOOKUP($A34, INDIRECT("'" &amp; N$2 &amp; "'!$A:$A"), INDIRECT("'" &amp; N$2 &amp; "'!$B:$B"), "")&lt;&gt;"", "✓", "✗"), "✗")
)</f>
        <v/>
      </c>
      <c r="O34">
        <f t="array" ref="O34">IF(
    ISNUMBER(VALUE(LEFT($A34, 1))),
    "",
    IFERROR(IF(_xlfn.XLOOKUP($A34, INDIRECT("'" &amp; O$2 &amp; "'!$A:$A"), INDIRECT("'" &amp; O$2 &amp; "'!$B:$B"), "")&lt;&gt;"", "✓", "✗"), "✗")
)</f>
        <v/>
      </c>
      <c r="P34">
        <f t="array" ref="P34">IF(
    ISNUMBER(VALUE(LEFT($A34, 1))),
    "",
    IFERROR(IF(_xlfn.XLOOKUP($A34, INDIRECT("'" &amp; P$2 &amp; "'!$A:$A"), INDIRECT("'" &amp; P$2 &amp; "'!$B:$B"), "")&lt;&gt;"", "✓", "✗"), "✗")
)</f>
        <v/>
      </c>
      <c r="Q34">
        <f t="array" ref="Q34">IF(
    ISNUMBER(VALUE(LEFT($A34, 1))),
    "",
    IFERROR(IF(_xlfn.XLOOKUP($A34, INDIRECT("'" &amp; Q$2 &amp; "'!$A:$A"), INDIRECT("'" &amp; Q$2 &amp; "'!$B:$B"), "")&lt;&gt;"", "✓", "✗"), "✗")
)</f>
        <v/>
      </c>
      <c r="R34">
        <f t="array" ref="R34">IF(
    ISNUMBER(VALUE(LEFT($A34, 1))),
    "",
    IFERROR(IF(_xlfn.XLOOKUP($A34, INDIRECT("'" &amp; R$2 &amp; "'!$A:$A"), INDIRECT("'" &amp; R$2 &amp; "'!$B:$B"), "")&lt;&gt;"", "✓", "✗"), "✗")
)</f>
        <v/>
      </c>
      <c r="S34">
        <f t="array" ref="S34">IF(
    ISNUMBER(VALUE(LEFT($A34, 1))),
    "",
    IFERROR(IF(_xlfn.XLOOKUP($A34, INDIRECT("'" &amp; S$2 &amp; "'!$A:$A"), INDIRECT("'" &amp; S$2 &amp; "'!$B:$B"), "")&lt;&gt;"", "✓", "✗"), "✗")
)</f>
        <v/>
      </c>
      <c r="T34">
        <f t="array" ref="T34">IF(
    ISNUMBER(VALUE(LEFT($A34, 1))),
    "",
    IFERROR(IF(_xlfn.XLOOKUP($A34, INDIRECT("'" &amp; T$2 &amp; "'!$A:$A"), INDIRECT("'" &amp; T$2 &amp; "'!$B:$B"), "")&lt;&gt;"", "✓", "✗"), "✗")
)</f>
        <v/>
      </c>
      <c r="U34">
        <f t="array" ref="U34">IF(
    ISNUMBER(VALUE(LEFT($A34, 1))),
    "",
    IFERROR(IF(_xlfn.XLOOKUP($A34, INDIRECT("'" &amp; U$2 &amp; "'!$A:$A"), INDIRECT("'" &amp; U$2 &amp; "'!$B:$B"), "")&lt;&gt;"", "✓", "✗"), "✗")
)</f>
        <v/>
      </c>
      <c r="V34">
        <f t="array" ref="V34">IF(
    ISNUMBER(VALUE(LEFT($A34, 1))),
    "",
    IFERROR(IF(_xlfn.XLOOKUP($A34, INDIRECT("'" &amp; V$2 &amp; "'!$A:$A"), INDIRECT("'" &amp; V$2 &amp; "'!$B:$B"), "")&lt;&gt;"", "✓", "✗"), "✗")
)</f>
        <v/>
      </c>
      <c r="W34">
        <f t="array" ref="W34">IF(
    ISNUMBER(VALUE(LEFT($A34, 1))),
    "",
    IFERROR(IF(_xlfn.XLOOKUP($A34, INDIRECT("'" &amp; W$2 &amp; "'!$A:$A"), INDIRECT("'" &amp; W$2 &amp; "'!$B:$B"), "")&lt;&gt;"", "✓", "✗"), "✗")
)</f>
        <v/>
      </c>
      <c r="X34">
        <f t="array" ref="X34">IF(
    ISNUMBER(VALUE(LEFT($A34, 1))),
    "",
    IFERROR(IF(_xlfn.XLOOKUP($A34, INDIRECT("'" &amp; X$2 &amp; "'!$A:$A"), INDIRECT("'" &amp; X$2 &amp; "'!$B:$B"), "")&lt;&gt;"", "✓", "✗"), "✗")
)</f>
        <v/>
      </c>
      <c r="Y34">
        <f t="array" ref="Y34">IF(
    ISNUMBER(VALUE(LEFT($A34, 1))),
    "",
    IFERROR(IF(_xlfn.XLOOKUP($A34, INDIRECT("'" &amp; Y$2 &amp; "'!$A:$A"), INDIRECT("'" &amp; Y$2 &amp; "'!$B:$B"), "")&lt;&gt;"", "✓", "✗"), "✗")
)</f>
        <v/>
      </c>
      <c r="Z34">
        <f t="array" ref="Z34">IF(
    ISNUMBER(VALUE(LEFT($A34, 1))),
    "",
    IFERROR(IF(_xlfn.XLOOKUP($A34, INDIRECT("'" &amp; Z$2 &amp; "'!$A:$A"), INDIRECT("'" &amp; Z$2 &amp; "'!$B:$B"), "")&lt;&gt;"", "✓", "✗"), "✗")
)</f>
        <v/>
      </c>
      <c r="AA34">
        <f t="array" ref="AA34">IF(
    ISNUMBER(VALUE(LEFT($A34, 1))),
    "",
    IFERROR(IF(_xlfn.XLOOKUP($A34, INDIRECT("'" &amp; AA$2 &amp; "'!$A:$A"), INDIRECT("'" &amp; AA$2 &amp; "'!$B:$B"), "")&lt;&gt;"", "✓", "✗"), "✗")
)</f>
        <v/>
      </c>
      <c r="AB34">
        <f t="array" ref="AB34">IF(
    ISNUMBER(VALUE(LEFT($A34, 1))),
    "",
    IFERROR(IF(_xlfn.XLOOKUP($A34, INDIRECT("'" &amp; AB$2 &amp; "'!$A:$A"), INDIRECT("'" &amp; AB$2 &amp; "'!$B:$B"), "")&lt;&gt;"", "✓", "✗"), "✗")
)</f>
        <v/>
      </c>
      <c r="AC34">
        <f t="array" ref="AC34">IF(
    ISNUMBER(VALUE(LEFT($A34, 1))),
    "",
    IFERROR(IF(_xlfn.XLOOKUP($A34, INDIRECT("'" &amp; AC$2 &amp; "'!$A:$A"), INDIRECT("'" &amp; AC$2 &amp; "'!$B:$B"), "")&lt;&gt;"", "✓", "✗"), "✗")
)</f>
        <v/>
      </c>
      <c r="AD34">
        <f t="array" ref="AD34">IF(
    ISNUMBER(VALUE(LEFT($A34, 1))),
    "",
    IFERROR(IF(_xlfn.XLOOKUP($A34, INDIRECT("'" &amp; AD$2 &amp; "'!$A:$A"), INDIRECT("'" &amp; AD$2 &amp; "'!$B:$B"), "")&lt;&gt;"", "✓", "✗"), "✗")
)</f>
        <v/>
      </c>
      <c r="AE34">
        <f t="array" ref="AE34">IF(
    ISNUMBER(VALUE(LEFT($A34, 1))),
    "",
    IFERROR(IF(_xlfn.XLOOKUP($A34, INDIRECT("'" &amp; AE$2 &amp; "'!$A:$A"), INDIRECT("'" &amp; AE$2 &amp; "'!$B:$B"), "")&lt;&gt;"", "✓", "✗"), "✗")
)</f>
        <v/>
      </c>
      <c r="AF34">
        <f t="array" ref="AF34">IF(
    ISNUMBER(VALUE(LEFT($A34, 1))),
    "",
    IFERROR(IF(_xlfn.XLOOKUP($A34, INDIRECT("'" &amp; AF$2 &amp; "'!$A:$A"), INDIRECT("'" &amp; AF$2 &amp; "'!$B:$B"), "")&lt;&gt;"", "✓", "✗"), "✗")
)</f>
        <v/>
      </c>
      <c r="AG34">
        <f t="array" ref="AG34">IF(
    ISNUMBER(VALUE(LEFT($A34, 1))),
    "",
    IFERROR(IF(_xlfn.XLOOKUP($A34, INDIRECT("'" &amp; AG$2 &amp; "'!$A:$A"), INDIRECT("'" &amp; AG$2 &amp; "'!$B:$B"), "")&lt;&gt;"", "✓", "✗"), "✗")
)</f>
        <v/>
      </c>
    </row>
    <row r="35">
      <c r="A35" t="inlineStr">
        <is>
          <t>Named Account Flag</t>
        </is>
      </c>
      <c r="B35">
        <f t="array" ref="B35">IF(
    ISNUMBER(VALUE(LEFT($A35, 1))),
    "",
    IFERROR(IF(_xlfn.XLOOKUP($A35, INDIRECT("'" &amp; B$2 &amp; "'!$A:$A"), INDIRECT("'" &amp; B$2 &amp; "'!$B:$B"), "")&lt;&gt;"", "✓", "✗"), "✗")
)</f>
        <v/>
      </c>
      <c r="C35">
        <f t="array" ref="C35">IF(
    ISNUMBER(VALUE(LEFT($A35, 1))),
    "",
    IFERROR(IF(_xlfn.XLOOKUP($A35, INDIRECT("'" &amp; C$2 &amp; "'!$A:$A"), INDIRECT("'" &amp; C$2 &amp; "'!$B:$B"), "")&lt;&gt;"", "✓", "✗"), "✗")
)</f>
        <v/>
      </c>
      <c r="D35">
        <f t="array" ref="D35">IF(
    ISNUMBER(VALUE(LEFT($A35, 1))),
    "",
    IFERROR(IF(_xlfn.XLOOKUP($A35, INDIRECT("'" &amp; D$2 &amp; "'!$A:$A"), INDIRECT("'" &amp; D$2 &amp; "'!$B:$B"), "")&lt;&gt;"", "✓", "✗"), "✗")
)</f>
        <v/>
      </c>
      <c r="E35">
        <f t="array" ref="E35">IF(
    ISNUMBER(VALUE(LEFT($A35, 1))),
    "",
    IFERROR(IF(_xlfn.XLOOKUP($A35, INDIRECT("'" &amp; E$2 &amp; "'!$A:$A"), INDIRECT("'" &amp; E$2 &amp; "'!$B:$B"), "")&lt;&gt;"", "✓", "✗"), "✗")
)</f>
        <v/>
      </c>
      <c r="F35">
        <f t="array" ref="F35">IF(
    ISNUMBER(VALUE(LEFT($A35, 1))),
    "",
    IFERROR(IF(_xlfn.XLOOKUP($A35, INDIRECT("'" &amp; F$2 &amp; "'!$A:$A"), INDIRECT("'" &amp; F$2 &amp; "'!$B:$B"), "")&lt;&gt;"", "✓", "✗"), "✗")
)</f>
        <v/>
      </c>
      <c r="G35">
        <f t="array" ref="G35">IF(
    ISNUMBER(VALUE(LEFT($A35, 1))),
    "",
    IFERROR(IF(_xlfn.XLOOKUP($A35, INDIRECT("'" &amp; G$2 &amp; "'!$A:$A"), INDIRECT("'" &amp; G$2 &amp; "'!$B:$B"), "")&lt;&gt;"", "✓", "✗"), "✗")
)</f>
        <v/>
      </c>
      <c r="H35">
        <f t="array" ref="H35">IF(
    ISNUMBER(VALUE(LEFT($A35, 1))),
    "",
    IFERROR(IF(_xlfn.XLOOKUP($A35, INDIRECT("'" &amp; H$2 &amp; "'!$A:$A"), INDIRECT("'" &amp; H$2 &amp; "'!$B:$B"), "")&lt;&gt;"", "✓", "✗"), "✗")
)</f>
        <v/>
      </c>
      <c r="I35">
        <f t="array" ref="I35">IF(
    ISNUMBER(VALUE(LEFT($A35, 1))),
    "",
    IFERROR(IF(_xlfn.XLOOKUP($A35, INDIRECT("'" &amp; I$2 &amp; "'!$A:$A"), INDIRECT("'" &amp; I$2 &amp; "'!$B:$B"), "")&lt;&gt;"", "✓", "✗"), "✗")
)</f>
        <v/>
      </c>
      <c r="J35">
        <f t="array" ref="J35">IF(
    ISNUMBER(VALUE(LEFT($A35, 1))),
    "",
    IFERROR(IF(_xlfn.XLOOKUP($A35, INDIRECT("'" &amp; J$2 &amp; "'!$A:$A"), INDIRECT("'" &amp; J$2 &amp; "'!$B:$B"), "")&lt;&gt;"", "✓", "✗"), "✗")
)</f>
        <v/>
      </c>
      <c r="K35">
        <f t="array" ref="K35">IF(
    ISNUMBER(VALUE(LEFT($A35, 1))),
    "",
    IFERROR(IF(_xlfn.XLOOKUP($A35, INDIRECT("'" &amp; K$2 &amp; "'!$A:$A"), INDIRECT("'" &amp; K$2 &amp; "'!$B:$B"), "")&lt;&gt;"", "✓", "✗"), "✗")
)</f>
        <v/>
      </c>
      <c r="L35">
        <f t="array" ref="L35">IF(
    ISNUMBER(VALUE(LEFT($A35, 1))),
    "",
    IFERROR(IF(_xlfn.XLOOKUP($A35, INDIRECT("'" &amp; L$2 &amp; "'!$A:$A"), INDIRECT("'" &amp; L$2 &amp; "'!$B:$B"), "")&lt;&gt;"", "✓", "✗"), "✗")
)</f>
        <v/>
      </c>
      <c r="M35">
        <f t="array" ref="M35">IF(
    ISNUMBER(VALUE(LEFT($A35, 1))),
    "",
    IFERROR(IF(_xlfn.XLOOKUP($A35, INDIRECT("'" &amp; M$2 &amp; "'!$A:$A"), INDIRECT("'" &amp; M$2 &amp; "'!$B:$B"), "")&lt;&gt;"", "✓", "✗"), "✗")
)</f>
        <v/>
      </c>
      <c r="N35">
        <f t="array" ref="N35">IF(
    ISNUMBER(VALUE(LEFT($A35, 1))),
    "",
    IFERROR(IF(_xlfn.XLOOKUP($A35, INDIRECT("'" &amp; N$2 &amp; "'!$A:$A"), INDIRECT("'" &amp; N$2 &amp; "'!$B:$B"), "")&lt;&gt;"", "✓", "✗"), "✗")
)</f>
        <v/>
      </c>
      <c r="O35">
        <f t="array" ref="O35">IF(
    ISNUMBER(VALUE(LEFT($A35, 1))),
    "",
    IFERROR(IF(_xlfn.XLOOKUP($A35, INDIRECT("'" &amp; O$2 &amp; "'!$A:$A"), INDIRECT("'" &amp; O$2 &amp; "'!$B:$B"), "")&lt;&gt;"", "✓", "✗"), "✗")
)</f>
        <v/>
      </c>
      <c r="P35">
        <f t="array" ref="P35">IF(
    ISNUMBER(VALUE(LEFT($A35, 1))),
    "",
    IFERROR(IF(_xlfn.XLOOKUP($A35, INDIRECT("'" &amp; P$2 &amp; "'!$A:$A"), INDIRECT("'" &amp; P$2 &amp; "'!$B:$B"), "")&lt;&gt;"", "✓", "✗"), "✗")
)</f>
        <v/>
      </c>
      <c r="Q35">
        <f t="array" ref="Q35">IF(
    ISNUMBER(VALUE(LEFT($A35, 1))),
    "",
    IFERROR(IF(_xlfn.XLOOKUP($A35, INDIRECT("'" &amp; Q$2 &amp; "'!$A:$A"), INDIRECT("'" &amp; Q$2 &amp; "'!$B:$B"), "")&lt;&gt;"", "✓", "✗"), "✗")
)</f>
        <v/>
      </c>
      <c r="R35">
        <f t="array" ref="R35">IF(
    ISNUMBER(VALUE(LEFT($A35, 1))),
    "",
    IFERROR(IF(_xlfn.XLOOKUP($A35, INDIRECT("'" &amp; R$2 &amp; "'!$A:$A"), INDIRECT("'" &amp; R$2 &amp; "'!$B:$B"), "")&lt;&gt;"", "✓", "✗"), "✗")
)</f>
        <v/>
      </c>
      <c r="S35">
        <f t="array" ref="S35">IF(
    ISNUMBER(VALUE(LEFT($A35, 1))),
    "",
    IFERROR(IF(_xlfn.XLOOKUP($A35, INDIRECT("'" &amp; S$2 &amp; "'!$A:$A"), INDIRECT("'" &amp; S$2 &amp; "'!$B:$B"), "")&lt;&gt;"", "✓", "✗"), "✗")
)</f>
        <v/>
      </c>
      <c r="T35">
        <f t="array" ref="T35">IF(
    ISNUMBER(VALUE(LEFT($A35, 1))),
    "",
    IFERROR(IF(_xlfn.XLOOKUP($A35, INDIRECT("'" &amp; T$2 &amp; "'!$A:$A"), INDIRECT("'" &amp; T$2 &amp; "'!$B:$B"), "")&lt;&gt;"", "✓", "✗"), "✗")
)</f>
        <v/>
      </c>
      <c r="U35">
        <f t="array" ref="U35">IF(
    ISNUMBER(VALUE(LEFT($A35, 1))),
    "",
    IFERROR(IF(_xlfn.XLOOKUP($A35, INDIRECT("'" &amp; U$2 &amp; "'!$A:$A"), INDIRECT("'" &amp; U$2 &amp; "'!$B:$B"), "")&lt;&gt;"", "✓", "✗"), "✗")
)</f>
        <v/>
      </c>
      <c r="V35">
        <f t="array" ref="V35">IF(
    ISNUMBER(VALUE(LEFT($A35, 1))),
    "",
    IFERROR(IF(_xlfn.XLOOKUP($A35, INDIRECT("'" &amp; V$2 &amp; "'!$A:$A"), INDIRECT("'" &amp; V$2 &amp; "'!$B:$B"), "")&lt;&gt;"", "✓", "✗"), "✗")
)</f>
        <v/>
      </c>
      <c r="W35">
        <f t="array" ref="W35">IF(
    ISNUMBER(VALUE(LEFT($A35, 1))),
    "",
    IFERROR(IF(_xlfn.XLOOKUP($A35, INDIRECT("'" &amp; W$2 &amp; "'!$A:$A"), INDIRECT("'" &amp; W$2 &amp; "'!$B:$B"), "")&lt;&gt;"", "✓", "✗"), "✗")
)</f>
        <v/>
      </c>
      <c r="X35">
        <f t="array" ref="X35">IF(
    ISNUMBER(VALUE(LEFT($A35, 1))),
    "",
    IFERROR(IF(_xlfn.XLOOKUP($A35, INDIRECT("'" &amp; X$2 &amp; "'!$A:$A"), INDIRECT("'" &amp; X$2 &amp; "'!$B:$B"), "")&lt;&gt;"", "✓", "✗"), "✗")
)</f>
        <v/>
      </c>
      <c r="Y35">
        <f t="array" ref="Y35">IF(
    ISNUMBER(VALUE(LEFT($A35, 1))),
    "",
    IFERROR(IF(_xlfn.XLOOKUP($A35, INDIRECT("'" &amp; Y$2 &amp; "'!$A:$A"), INDIRECT("'" &amp; Y$2 &amp; "'!$B:$B"), "")&lt;&gt;"", "✓", "✗"), "✗")
)</f>
        <v/>
      </c>
      <c r="Z35">
        <f t="array" ref="Z35">IF(
    ISNUMBER(VALUE(LEFT($A35, 1))),
    "",
    IFERROR(IF(_xlfn.XLOOKUP($A35, INDIRECT("'" &amp; Z$2 &amp; "'!$A:$A"), INDIRECT("'" &amp; Z$2 &amp; "'!$B:$B"), "")&lt;&gt;"", "✓", "✗"), "✗")
)</f>
        <v/>
      </c>
      <c r="AA35">
        <f t="array" ref="AA35">IF(
    ISNUMBER(VALUE(LEFT($A35, 1))),
    "",
    IFERROR(IF(_xlfn.XLOOKUP($A35, INDIRECT("'" &amp; AA$2 &amp; "'!$A:$A"), INDIRECT("'" &amp; AA$2 &amp; "'!$B:$B"), "")&lt;&gt;"", "✓", "✗"), "✗")
)</f>
        <v/>
      </c>
      <c r="AB35">
        <f t="array" ref="AB35">IF(
    ISNUMBER(VALUE(LEFT($A35, 1))),
    "",
    IFERROR(IF(_xlfn.XLOOKUP($A35, INDIRECT("'" &amp; AB$2 &amp; "'!$A:$A"), INDIRECT("'" &amp; AB$2 &amp; "'!$B:$B"), "")&lt;&gt;"", "✓", "✗"), "✗")
)</f>
        <v/>
      </c>
      <c r="AC35">
        <f t="array" ref="AC35">IF(
    ISNUMBER(VALUE(LEFT($A35, 1))),
    "",
    IFERROR(IF(_xlfn.XLOOKUP($A35, INDIRECT("'" &amp; AC$2 &amp; "'!$A:$A"), INDIRECT("'" &amp; AC$2 &amp; "'!$B:$B"), "")&lt;&gt;"", "✓", "✗"), "✗")
)</f>
        <v/>
      </c>
      <c r="AD35">
        <f t="array" ref="AD35">IF(
    ISNUMBER(VALUE(LEFT($A35, 1))),
    "",
    IFERROR(IF(_xlfn.XLOOKUP($A35, INDIRECT("'" &amp; AD$2 &amp; "'!$A:$A"), INDIRECT("'" &amp; AD$2 &amp; "'!$B:$B"), "")&lt;&gt;"", "✓", "✗"), "✗")
)</f>
        <v/>
      </c>
      <c r="AE35">
        <f t="array" ref="AE35">IF(
    ISNUMBER(VALUE(LEFT($A35, 1))),
    "",
    IFERROR(IF(_xlfn.XLOOKUP($A35, INDIRECT("'" &amp; AE$2 &amp; "'!$A:$A"), INDIRECT("'" &amp; AE$2 &amp; "'!$B:$B"), "")&lt;&gt;"", "✓", "✗"), "✗")
)</f>
        <v/>
      </c>
      <c r="AF35">
        <f t="array" ref="AF35">IF(
    ISNUMBER(VALUE(LEFT($A35, 1))),
    "",
    IFERROR(IF(_xlfn.XLOOKUP($A35, INDIRECT("'" &amp; AF$2 &amp; "'!$A:$A"), INDIRECT("'" &amp; AF$2 &amp; "'!$B:$B"), "")&lt;&gt;"", "✓", "✗"), "✗")
)</f>
        <v/>
      </c>
      <c r="AG35">
        <f t="array" ref="AG35">IF(
    ISNUMBER(VALUE(LEFT($A35, 1))),
    "",
    IFERROR(IF(_xlfn.XLOOKUP($A35, INDIRECT("'" &amp; AG$2 &amp; "'!$A:$A"), INDIRECT("'" &amp; AG$2 &amp; "'!$B:$B"), "")&lt;&gt;"", "✓", "✗"), "✗")
)</f>
        <v/>
      </c>
    </row>
    <row r="36">
      <c r="A36" t="inlineStr">
        <is>
          <t>Number of Employees</t>
        </is>
      </c>
      <c r="B36">
        <f t="array" ref="B36">IF(
    ISNUMBER(VALUE(LEFT($A36, 1))),
    "",
    IFERROR(IF(_xlfn.XLOOKUP($A36, INDIRECT("'" &amp; B$2 &amp; "'!$A:$A"), INDIRECT("'" &amp; B$2 &amp; "'!$B:$B"), "")&lt;&gt;"", "✓", "✗"), "✗")
)</f>
        <v/>
      </c>
      <c r="C36">
        <f t="array" ref="C36">IF(
    ISNUMBER(VALUE(LEFT($A36, 1))),
    "",
    IFERROR(IF(_xlfn.XLOOKUP($A36, INDIRECT("'" &amp; C$2 &amp; "'!$A:$A"), INDIRECT("'" &amp; C$2 &amp; "'!$B:$B"), "")&lt;&gt;"", "✓", "✗"), "✗")
)</f>
        <v/>
      </c>
      <c r="D36">
        <f t="array" ref="D36">IF(
    ISNUMBER(VALUE(LEFT($A36, 1))),
    "",
    IFERROR(IF(_xlfn.XLOOKUP($A36, INDIRECT("'" &amp; D$2 &amp; "'!$A:$A"), INDIRECT("'" &amp; D$2 &amp; "'!$B:$B"), "")&lt;&gt;"", "✓", "✗"), "✗")
)</f>
        <v/>
      </c>
      <c r="E36">
        <f t="array" ref="E36">IF(
    ISNUMBER(VALUE(LEFT($A36, 1))),
    "",
    IFERROR(IF(_xlfn.XLOOKUP($A36, INDIRECT("'" &amp; E$2 &amp; "'!$A:$A"), INDIRECT("'" &amp; E$2 &amp; "'!$B:$B"), "")&lt;&gt;"", "✓", "✗"), "✗")
)</f>
        <v/>
      </c>
      <c r="F36">
        <f t="array" ref="F36">IF(
    ISNUMBER(VALUE(LEFT($A36, 1))),
    "",
    IFERROR(IF(_xlfn.XLOOKUP($A36, INDIRECT("'" &amp; F$2 &amp; "'!$A:$A"), INDIRECT("'" &amp; F$2 &amp; "'!$B:$B"), "")&lt;&gt;"", "✓", "✗"), "✗")
)</f>
        <v/>
      </c>
      <c r="G36">
        <f t="array" ref="G36">IF(
    ISNUMBER(VALUE(LEFT($A36, 1))),
    "",
    IFERROR(IF(_xlfn.XLOOKUP($A36, INDIRECT("'" &amp; G$2 &amp; "'!$A:$A"), INDIRECT("'" &amp; G$2 &amp; "'!$B:$B"), "")&lt;&gt;"", "✓", "✗"), "✗")
)</f>
        <v/>
      </c>
      <c r="H36">
        <f t="array" ref="H36">IF(
    ISNUMBER(VALUE(LEFT($A36, 1))),
    "",
    IFERROR(IF(_xlfn.XLOOKUP($A36, INDIRECT("'" &amp; H$2 &amp; "'!$A:$A"), INDIRECT("'" &amp; H$2 &amp; "'!$B:$B"), "")&lt;&gt;"", "✓", "✗"), "✗")
)</f>
        <v/>
      </c>
      <c r="I36">
        <f t="array" ref="I36">IF(
    ISNUMBER(VALUE(LEFT($A36, 1))),
    "",
    IFERROR(IF(_xlfn.XLOOKUP($A36, INDIRECT("'" &amp; I$2 &amp; "'!$A:$A"), INDIRECT("'" &amp; I$2 &amp; "'!$B:$B"), "")&lt;&gt;"", "✓", "✗"), "✗")
)</f>
        <v/>
      </c>
      <c r="J36">
        <f t="array" ref="J36">IF(
    ISNUMBER(VALUE(LEFT($A36, 1))),
    "",
    IFERROR(IF(_xlfn.XLOOKUP($A36, INDIRECT("'" &amp; J$2 &amp; "'!$A:$A"), INDIRECT("'" &amp; J$2 &amp; "'!$B:$B"), "")&lt;&gt;"", "✓", "✗"), "✗")
)</f>
        <v/>
      </c>
      <c r="K36">
        <f t="array" ref="K36">IF(
    ISNUMBER(VALUE(LEFT($A36, 1))),
    "",
    IFERROR(IF(_xlfn.XLOOKUP($A36, INDIRECT("'" &amp; K$2 &amp; "'!$A:$A"), INDIRECT("'" &amp; K$2 &amp; "'!$B:$B"), "")&lt;&gt;"", "✓", "✗"), "✗")
)</f>
        <v/>
      </c>
      <c r="L36">
        <f t="array" ref="L36">IF(
    ISNUMBER(VALUE(LEFT($A36, 1))),
    "",
    IFERROR(IF(_xlfn.XLOOKUP($A36, INDIRECT("'" &amp; L$2 &amp; "'!$A:$A"), INDIRECT("'" &amp; L$2 &amp; "'!$B:$B"), "")&lt;&gt;"", "✓", "✗"), "✗")
)</f>
        <v/>
      </c>
      <c r="M36">
        <f t="array" ref="M36">IF(
    ISNUMBER(VALUE(LEFT($A36, 1))),
    "",
    IFERROR(IF(_xlfn.XLOOKUP($A36, INDIRECT("'" &amp; M$2 &amp; "'!$A:$A"), INDIRECT("'" &amp; M$2 &amp; "'!$B:$B"), "")&lt;&gt;"", "✓", "✗"), "✗")
)</f>
        <v/>
      </c>
      <c r="N36">
        <f t="array" ref="N36">IF(
    ISNUMBER(VALUE(LEFT($A36, 1))),
    "",
    IFERROR(IF(_xlfn.XLOOKUP($A36, INDIRECT("'" &amp; N$2 &amp; "'!$A:$A"), INDIRECT("'" &amp; N$2 &amp; "'!$B:$B"), "")&lt;&gt;"", "✓", "✗"), "✗")
)</f>
        <v/>
      </c>
      <c r="O36">
        <f t="array" ref="O36">IF(
    ISNUMBER(VALUE(LEFT($A36, 1))),
    "",
    IFERROR(IF(_xlfn.XLOOKUP($A36, INDIRECT("'" &amp; O$2 &amp; "'!$A:$A"), INDIRECT("'" &amp; O$2 &amp; "'!$B:$B"), "")&lt;&gt;"", "✓", "✗"), "✗")
)</f>
        <v/>
      </c>
      <c r="P36">
        <f t="array" ref="P36">IF(
    ISNUMBER(VALUE(LEFT($A36, 1))),
    "",
    IFERROR(IF(_xlfn.XLOOKUP($A36, INDIRECT("'" &amp; P$2 &amp; "'!$A:$A"), INDIRECT("'" &amp; P$2 &amp; "'!$B:$B"), "")&lt;&gt;"", "✓", "✗"), "✗")
)</f>
        <v/>
      </c>
      <c r="Q36">
        <f t="array" ref="Q36">IF(
    ISNUMBER(VALUE(LEFT($A36, 1))),
    "",
    IFERROR(IF(_xlfn.XLOOKUP($A36, INDIRECT("'" &amp; Q$2 &amp; "'!$A:$A"), INDIRECT("'" &amp; Q$2 &amp; "'!$B:$B"), "")&lt;&gt;"", "✓", "✗"), "✗")
)</f>
        <v/>
      </c>
      <c r="R36">
        <f t="array" ref="R36">IF(
    ISNUMBER(VALUE(LEFT($A36, 1))),
    "",
    IFERROR(IF(_xlfn.XLOOKUP($A36, INDIRECT("'" &amp; R$2 &amp; "'!$A:$A"), INDIRECT("'" &amp; R$2 &amp; "'!$B:$B"), "")&lt;&gt;"", "✓", "✗"), "✗")
)</f>
        <v/>
      </c>
      <c r="S36">
        <f t="array" ref="S36">IF(
    ISNUMBER(VALUE(LEFT($A36, 1))),
    "",
    IFERROR(IF(_xlfn.XLOOKUP($A36, INDIRECT("'" &amp; S$2 &amp; "'!$A:$A"), INDIRECT("'" &amp; S$2 &amp; "'!$B:$B"), "")&lt;&gt;"", "✓", "✗"), "✗")
)</f>
        <v/>
      </c>
      <c r="T36">
        <f t="array" ref="T36">IF(
    ISNUMBER(VALUE(LEFT($A36, 1))),
    "",
    IFERROR(IF(_xlfn.XLOOKUP($A36, INDIRECT("'" &amp; T$2 &amp; "'!$A:$A"), INDIRECT("'" &amp; T$2 &amp; "'!$B:$B"), "")&lt;&gt;"", "✓", "✗"), "✗")
)</f>
        <v/>
      </c>
      <c r="U36">
        <f t="array" ref="U36">IF(
    ISNUMBER(VALUE(LEFT($A36, 1))),
    "",
    IFERROR(IF(_xlfn.XLOOKUP($A36, INDIRECT("'" &amp; U$2 &amp; "'!$A:$A"), INDIRECT("'" &amp; U$2 &amp; "'!$B:$B"), "")&lt;&gt;"", "✓", "✗"), "✗")
)</f>
        <v/>
      </c>
      <c r="V36">
        <f t="array" ref="V36">IF(
    ISNUMBER(VALUE(LEFT($A36, 1))),
    "",
    IFERROR(IF(_xlfn.XLOOKUP($A36, INDIRECT("'" &amp; V$2 &amp; "'!$A:$A"), INDIRECT("'" &amp; V$2 &amp; "'!$B:$B"), "")&lt;&gt;"", "✓", "✗"), "✗")
)</f>
        <v/>
      </c>
      <c r="W36">
        <f t="array" ref="W36">IF(
    ISNUMBER(VALUE(LEFT($A36, 1))),
    "",
    IFERROR(IF(_xlfn.XLOOKUP($A36, INDIRECT("'" &amp; W$2 &amp; "'!$A:$A"), INDIRECT("'" &amp; W$2 &amp; "'!$B:$B"), "")&lt;&gt;"", "✓", "✗"), "✗")
)</f>
        <v/>
      </c>
      <c r="X36">
        <f t="array" ref="X36">IF(
    ISNUMBER(VALUE(LEFT($A36, 1))),
    "",
    IFERROR(IF(_xlfn.XLOOKUP($A36, INDIRECT("'" &amp; X$2 &amp; "'!$A:$A"), INDIRECT("'" &amp; X$2 &amp; "'!$B:$B"), "")&lt;&gt;"", "✓", "✗"), "✗")
)</f>
        <v/>
      </c>
      <c r="Y36">
        <f t="array" ref="Y36">IF(
    ISNUMBER(VALUE(LEFT($A36, 1))),
    "",
    IFERROR(IF(_xlfn.XLOOKUP($A36, INDIRECT("'" &amp; Y$2 &amp; "'!$A:$A"), INDIRECT("'" &amp; Y$2 &amp; "'!$B:$B"), "")&lt;&gt;"", "✓", "✗"), "✗")
)</f>
        <v/>
      </c>
      <c r="Z36">
        <f t="array" ref="Z36">IF(
    ISNUMBER(VALUE(LEFT($A36, 1))),
    "",
    IFERROR(IF(_xlfn.XLOOKUP($A36, INDIRECT("'" &amp; Z$2 &amp; "'!$A:$A"), INDIRECT("'" &amp; Z$2 &amp; "'!$B:$B"), "")&lt;&gt;"", "✓", "✗"), "✗")
)</f>
        <v/>
      </c>
      <c r="AA36">
        <f t="array" ref="AA36">IF(
    ISNUMBER(VALUE(LEFT($A36, 1))),
    "",
    IFERROR(IF(_xlfn.XLOOKUP($A36, INDIRECT("'" &amp; AA$2 &amp; "'!$A:$A"), INDIRECT("'" &amp; AA$2 &amp; "'!$B:$B"), "")&lt;&gt;"", "✓", "✗"), "✗")
)</f>
        <v/>
      </c>
      <c r="AB36">
        <f t="array" ref="AB36">IF(
    ISNUMBER(VALUE(LEFT($A36, 1))),
    "",
    IFERROR(IF(_xlfn.XLOOKUP($A36, INDIRECT("'" &amp; AB$2 &amp; "'!$A:$A"), INDIRECT("'" &amp; AB$2 &amp; "'!$B:$B"), "")&lt;&gt;"", "✓", "✗"), "✗")
)</f>
        <v/>
      </c>
      <c r="AC36">
        <f t="array" ref="AC36">IF(
    ISNUMBER(VALUE(LEFT($A36, 1))),
    "",
    IFERROR(IF(_xlfn.XLOOKUP($A36, INDIRECT("'" &amp; AC$2 &amp; "'!$A:$A"), INDIRECT("'" &amp; AC$2 &amp; "'!$B:$B"), "")&lt;&gt;"", "✓", "✗"), "✗")
)</f>
        <v/>
      </c>
      <c r="AD36">
        <f t="array" ref="AD36">IF(
    ISNUMBER(VALUE(LEFT($A36, 1))),
    "",
    IFERROR(IF(_xlfn.XLOOKUP($A36, INDIRECT("'" &amp; AD$2 &amp; "'!$A:$A"), INDIRECT("'" &amp; AD$2 &amp; "'!$B:$B"), "")&lt;&gt;"", "✓", "✗"), "✗")
)</f>
        <v/>
      </c>
      <c r="AE36">
        <f t="array" ref="AE36">IF(
    ISNUMBER(VALUE(LEFT($A36, 1))),
    "",
    IFERROR(IF(_xlfn.XLOOKUP($A36, INDIRECT("'" &amp; AE$2 &amp; "'!$A:$A"), INDIRECT("'" &amp; AE$2 &amp; "'!$B:$B"), "")&lt;&gt;"", "✓", "✗"), "✗")
)</f>
        <v/>
      </c>
      <c r="AF36">
        <f t="array" ref="AF36">IF(
    ISNUMBER(VALUE(LEFT($A36, 1))),
    "",
    IFERROR(IF(_xlfn.XLOOKUP($A36, INDIRECT("'" &amp; AF$2 &amp; "'!$A:$A"), INDIRECT("'" &amp; AF$2 &amp; "'!$B:$B"), "")&lt;&gt;"", "✓", "✗"), "✗")
)</f>
        <v/>
      </c>
      <c r="AG36">
        <f t="array" ref="AG36">IF(
    ISNUMBER(VALUE(LEFT($A36, 1))),
    "",
    IFERROR(IF(_xlfn.XLOOKUP($A36, INDIRECT("'" &amp; AG$2 &amp; "'!$A:$A"), INDIRECT("'" &amp; AG$2 &amp; "'!$B:$B"), "")&lt;&gt;"", "✓", "✗"), "✗")
)</f>
        <v/>
      </c>
    </row>
    <row r="37">
      <c r="A37" t="inlineStr">
        <is>
          <t>SAVM Account Manager Email</t>
        </is>
      </c>
      <c r="B37">
        <f t="array" ref="B37">IF(
    ISNUMBER(VALUE(LEFT($A37, 1))),
    "",
    IFERROR(IF(_xlfn.XLOOKUP($A37, INDIRECT("'" &amp; B$2 &amp; "'!$A:$A"), INDIRECT("'" &amp; B$2 &amp; "'!$B:$B"), "")&lt;&gt;"", "✓", "✗"), "✗")
)</f>
        <v/>
      </c>
      <c r="C37">
        <f t="array" ref="C37">IF(
    ISNUMBER(VALUE(LEFT($A37, 1))),
    "",
    IFERROR(IF(_xlfn.XLOOKUP($A37, INDIRECT("'" &amp; C$2 &amp; "'!$A:$A"), INDIRECT("'" &amp; C$2 &amp; "'!$B:$B"), "")&lt;&gt;"", "✓", "✗"), "✗")
)</f>
        <v/>
      </c>
      <c r="D37">
        <f t="array" ref="D37">IF(
    ISNUMBER(VALUE(LEFT($A37, 1))),
    "",
    IFERROR(IF(_xlfn.XLOOKUP($A37, INDIRECT("'" &amp; D$2 &amp; "'!$A:$A"), INDIRECT("'" &amp; D$2 &amp; "'!$B:$B"), "")&lt;&gt;"", "✓", "✗"), "✗")
)</f>
        <v/>
      </c>
      <c r="E37">
        <f t="array" ref="E37">IF(
    ISNUMBER(VALUE(LEFT($A37, 1))),
    "",
    IFERROR(IF(_xlfn.XLOOKUP($A37, INDIRECT("'" &amp; E$2 &amp; "'!$A:$A"), INDIRECT("'" &amp; E$2 &amp; "'!$B:$B"), "")&lt;&gt;"", "✓", "✗"), "✗")
)</f>
        <v/>
      </c>
      <c r="F37">
        <f t="array" ref="F37">IF(
    ISNUMBER(VALUE(LEFT($A37, 1))),
    "",
    IFERROR(IF(_xlfn.XLOOKUP($A37, INDIRECT("'" &amp; F$2 &amp; "'!$A:$A"), INDIRECT("'" &amp; F$2 &amp; "'!$B:$B"), "")&lt;&gt;"", "✓", "✗"), "✗")
)</f>
        <v/>
      </c>
      <c r="G37">
        <f t="array" ref="G37">IF(
    ISNUMBER(VALUE(LEFT($A37, 1))),
    "",
    IFERROR(IF(_xlfn.XLOOKUP($A37, INDIRECT("'" &amp; G$2 &amp; "'!$A:$A"), INDIRECT("'" &amp; G$2 &amp; "'!$B:$B"), "")&lt;&gt;"", "✓", "✗"), "✗")
)</f>
        <v/>
      </c>
      <c r="H37">
        <f t="array" ref="H37">IF(
    ISNUMBER(VALUE(LEFT($A37, 1))),
    "",
    IFERROR(IF(_xlfn.XLOOKUP($A37, INDIRECT("'" &amp; H$2 &amp; "'!$A:$A"), INDIRECT("'" &amp; H$2 &amp; "'!$B:$B"), "")&lt;&gt;"", "✓", "✗"), "✗")
)</f>
        <v/>
      </c>
      <c r="I37">
        <f t="array" ref="I37">IF(
    ISNUMBER(VALUE(LEFT($A37, 1))),
    "",
    IFERROR(IF(_xlfn.XLOOKUP($A37, INDIRECT("'" &amp; I$2 &amp; "'!$A:$A"), INDIRECT("'" &amp; I$2 &amp; "'!$B:$B"), "")&lt;&gt;"", "✓", "✗"), "✗")
)</f>
        <v/>
      </c>
      <c r="J37">
        <f t="array" ref="J37">IF(
    ISNUMBER(VALUE(LEFT($A37, 1))),
    "",
    IFERROR(IF(_xlfn.XLOOKUP($A37, INDIRECT("'" &amp; J$2 &amp; "'!$A:$A"), INDIRECT("'" &amp; J$2 &amp; "'!$B:$B"), "")&lt;&gt;"", "✓", "✗"), "✗")
)</f>
        <v/>
      </c>
      <c r="K37">
        <f t="array" ref="K37">IF(
    ISNUMBER(VALUE(LEFT($A37, 1))),
    "",
    IFERROR(IF(_xlfn.XLOOKUP($A37, INDIRECT("'" &amp; K$2 &amp; "'!$A:$A"), INDIRECT("'" &amp; K$2 &amp; "'!$B:$B"), "")&lt;&gt;"", "✓", "✗"), "✗")
)</f>
        <v/>
      </c>
      <c r="L37">
        <f t="array" ref="L37">IF(
    ISNUMBER(VALUE(LEFT($A37, 1))),
    "",
    IFERROR(IF(_xlfn.XLOOKUP($A37, INDIRECT("'" &amp; L$2 &amp; "'!$A:$A"), INDIRECT("'" &amp; L$2 &amp; "'!$B:$B"), "")&lt;&gt;"", "✓", "✗"), "✗")
)</f>
        <v/>
      </c>
      <c r="M37">
        <f t="array" ref="M37">IF(
    ISNUMBER(VALUE(LEFT($A37, 1))),
    "",
    IFERROR(IF(_xlfn.XLOOKUP($A37, INDIRECT("'" &amp; M$2 &amp; "'!$A:$A"), INDIRECT("'" &amp; M$2 &amp; "'!$B:$B"), "")&lt;&gt;"", "✓", "✗"), "✗")
)</f>
        <v/>
      </c>
      <c r="N37">
        <f t="array" ref="N37">IF(
    ISNUMBER(VALUE(LEFT($A37, 1))),
    "",
    IFERROR(IF(_xlfn.XLOOKUP($A37, INDIRECT("'" &amp; N$2 &amp; "'!$A:$A"), INDIRECT("'" &amp; N$2 &amp; "'!$B:$B"), "")&lt;&gt;"", "✓", "✗"), "✗")
)</f>
        <v/>
      </c>
      <c r="O37">
        <f t="array" ref="O37">IF(
    ISNUMBER(VALUE(LEFT($A37, 1))),
    "",
    IFERROR(IF(_xlfn.XLOOKUP($A37, INDIRECT("'" &amp; O$2 &amp; "'!$A:$A"), INDIRECT("'" &amp; O$2 &amp; "'!$B:$B"), "")&lt;&gt;"", "✓", "✗"), "✗")
)</f>
        <v/>
      </c>
      <c r="P37">
        <f t="array" ref="P37">IF(
    ISNUMBER(VALUE(LEFT($A37, 1))),
    "",
    IFERROR(IF(_xlfn.XLOOKUP($A37, INDIRECT("'" &amp; P$2 &amp; "'!$A:$A"), INDIRECT("'" &amp; P$2 &amp; "'!$B:$B"), "")&lt;&gt;"", "✓", "✗"), "✗")
)</f>
        <v/>
      </c>
      <c r="Q37">
        <f t="array" ref="Q37">IF(
    ISNUMBER(VALUE(LEFT($A37, 1))),
    "",
    IFERROR(IF(_xlfn.XLOOKUP($A37, INDIRECT("'" &amp; Q$2 &amp; "'!$A:$A"), INDIRECT("'" &amp; Q$2 &amp; "'!$B:$B"), "")&lt;&gt;"", "✓", "✗"), "✗")
)</f>
        <v/>
      </c>
      <c r="R37">
        <f t="array" ref="R37">IF(
    ISNUMBER(VALUE(LEFT($A37, 1))),
    "",
    IFERROR(IF(_xlfn.XLOOKUP($A37, INDIRECT("'" &amp; R$2 &amp; "'!$A:$A"), INDIRECT("'" &amp; R$2 &amp; "'!$B:$B"), "")&lt;&gt;"", "✓", "✗"), "✗")
)</f>
        <v/>
      </c>
      <c r="S37">
        <f t="array" ref="S37">IF(
    ISNUMBER(VALUE(LEFT($A37, 1))),
    "",
    IFERROR(IF(_xlfn.XLOOKUP($A37, INDIRECT("'" &amp; S$2 &amp; "'!$A:$A"), INDIRECT("'" &amp; S$2 &amp; "'!$B:$B"), "")&lt;&gt;"", "✓", "✗"), "✗")
)</f>
        <v/>
      </c>
      <c r="T37">
        <f t="array" ref="T37">IF(
    ISNUMBER(VALUE(LEFT($A37, 1))),
    "",
    IFERROR(IF(_xlfn.XLOOKUP($A37, INDIRECT("'" &amp; T$2 &amp; "'!$A:$A"), INDIRECT("'" &amp; T$2 &amp; "'!$B:$B"), "")&lt;&gt;"", "✓", "✗"), "✗")
)</f>
        <v/>
      </c>
      <c r="U37">
        <f t="array" ref="U37">IF(
    ISNUMBER(VALUE(LEFT($A37, 1))),
    "",
    IFERROR(IF(_xlfn.XLOOKUP($A37, INDIRECT("'" &amp; U$2 &amp; "'!$A:$A"), INDIRECT("'" &amp; U$2 &amp; "'!$B:$B"), "")&lt;&gt;"", "✓", "✗"), "✗")
)</f>
        <v/>
      </c>
      <c r="V37">
        <f t="array" ref="V37">IF(
    ISNUMBER(VALUE(LEFT($A37, 1))),
    "",
    IFERROR(IF(_xlfn.XLOOKUP($A37, INDIRECT("'" &amp; V$2 &amp; "'!$A:$A"), INDIRECT("'" &amp; V$2 &amp; "'!$B:$B"), "")&lt;&gt;"", "✓", "✗"), "✗")
)</f>
        <v/>
      </c>
      <c r="W37">
        <f t="array" ref="W37">IF(
    ISNUMBER(VALUE(LEFT($A37, 1))),
    "",
    IFERROR(IF(_xlfn.XLOOKUP($A37, INDIRECT("'" &amp; W$2 &amp; "'!$A:$A"), INDIRECT("'" &amp; W$2 &amp; "'!$B:$B"), "")&lt;&gt;"", "✓", "✗"), "✗")
)</f>
        <v/>
      </c>
      <c r="X37">
        <f t="array" ref="X37">IF(
    ISNUMBER(VALUE(LEFT($A37, 1))),
    "",
    IFERROR(IF(_xlfn.XLOOKUP($A37, INDIRECT("'" &amp; X$2 &amp; "'!$A:$A"), INDIRECT("'" &amp; X$2 &amp; "'!$B:$B"), "")&lt;&gt;"", "✓", "✗"), "✗")
)</f>
        <v/>
      </c>
      <c r="Y37">
        <f t="array" ref="Y37">IF(
    ISNUMBER(VALUE(LEFT($A37, 1))),
    "",
    IFERROR(IF(_xlfn.XLOOKUP($A37, INDIRECT("'" &amp; Y$2 &amp; "'!$A:$A"), INDIRECT("'" &amp; Y$2 &amp; "'!$B:$B"), "")&lt;&gt;"", "✓", "✗"), "✗")
)</f>
        <v/>
      </c>
      <c r="Z37">
        <f t="array" ref="Z37">IF(
    ISNUMBER(VALUE(LEFT($A37, 1))),
    "",
    IFERROR(IF(_xlfn.XLOOKUP($A37, INDIRECT("'" &amp; Z$2 &amp; "'!$A:$A"), INDIRECT("'" &amp; Z$2 &amp; "'!$B:$B"), "")&lt;&gt;"", "✓", "✗"), "✗")
)</f>
        <v/>
      </c>
      <c r="AA37">
        <f t="array" ref="AA37">IF(
    ISNUMBER(VALUE(LEFT($A37, 1))),
    "",
    IFERROR(IF(_xlfn.XLOOKUP($A37, INDIRECT("'" &amp; AA$2 &amp; "'!$A:$A"), INDIRECT("'" &amp; AA$2 &amp; "'!$B:$B"), "")&lt;&gt;"", "✓", "✗"), "✗")
)</f>
        <v/>
      </c>
      <c r="AB37">
        <f t="array" ref="AB37">IF(
    ISNUMBER(VALUE(LEFT($A37, 1))),
    "",
    IFERROR(IF(_xlfn.XLOOKUP($A37, INDIRECT("'" &amp; AB$2 &amp; "'!$A:$A"), INDIRECT("'" &amp; AB$2 &amp; "'!$B:$B"), "")&lt;&gt;"", "✓", "✗"), "✗")
)</f>
        <v/>
      </c>
      <c r="AC37">
        <f t="array" ref="AC37">IF(
    ISNUMBER(VALUE(LEFT($A37, 1))),
    "",
    IFERROR(IF(_xlfn.XLOOKUP($A37, INDIRECT("'" &amp; AC$2 &amp; "'!$A:$A"), INDIRECT("'" &amp; AC$2 &amp; "'!$B:$B"), "")&lt;&gt;"", "✓", "✗"), "✗")
)</f>
        <v/>
      </c>
      <c r="AD37">
        <f t="array" ref="AD37">IF(
    ISNUMBER(VALUE(LEFT($A37, 1))),
    "",
    IFERROR(IF(_xlfn.XLOOKUP($A37, INDIRECT("'" &amp; AD$2 &amp; "'!$A:$A"), INDIRECT("'" &amp; AD$2 &amp; "'!$B:$B"), "")&lt;&gt;"", "✓", "✗"), "✗")
)</f>
        <v/>
      </c>
      <c r="AE37">
        <f t="array" ref="AE37">IF(
    ISNUMBER(VALUE(LEFT($A37, 1))),
    "",
    IFERROR(IF(_xlfn.XLOOKUP($A37, INDIRECT("'" &amp; AE$2 &amp; "'!$A:$A"), INDIRECT("'" &amp; AE$2 &amp; "'!$B:$B"), "")&lt;&gt;"", "✓", "✗"), "✗")
)</f>
        <v/>
      </c>
      <c r="AF37">
        <f t="array" ref="AF37">IF(
    ISNUMBER(VALUE(LEFT($A37, 1))),
    "",
    IFERROR(IF(_xlfn.XLOOKUP($A37, INDIRECT("'" &amp; AF$2 &amp; "'!$A:$A"), INDIRECT("'" &amp; AF$2 &amp; "'!$B:$B"), "")&lt;&gt;"", "✓", "✗"), "✗")
)</f>
        <v/>
      </c>
      <c r="AG37">
        <f t="array" ref="AG37">IF(
    ISNUMBER(VALUE(LEFT($A37, 1))),
    "",
    IFERROR(IF(_xlfn.XLOOKUP($A37, INDIRECT("'" &amp; AG$2 &amp; "'!$A:$A"), INDIRECT("'" &amp; AG$2 &amp; "'!$B:$B"), "")&lt;&gt;"", "✓", "✗"), "✗")
)</f>
        <v/>
      </c>
    </row>
    <row r="38">
      <c r="A38" t="inlineStr">
        <is>
          <t>SAVM Sales Coverage Code</t>
        </is>
      </c>
      <c r="B38">
        <f t="array" ref="B38">IF(
    ISNUMBER(VALUE(LEFT($A38, 1))),
    "",
    IFERROR(IF(_xlfn.XLOOKUP($A38, INDIRECT("'" &amp; B$2 &amp; "'!$A:$A"), INDIRECT("'" &amp; B$2 &amp; "'!$B:$B"), "")&lt;&gt;"", "✓", "✗"), "✗")
)</f>
        <v/>
      </c>
      <c r="C38">
        <f t="array" ref="C38">IF(
    ISNUMBER(VALUE(LEFT($A38, 1))),
    "",
    IFERROR(IF(_xlfn.XLOOKUP($A38, INDIRECT("'" &amp; C$2 &amp; "'!$A:$A"), INDIRECT("'" &amp; C$2 &amp; "'!$B:$B"), "")&lt;&gt;"", "✓", "✗"), "✗")
)</f>
        <v/>
      </c>
      <c r="D38">
        <f t="array" ref="D38">IF(
    ISNUMBER(VALUE(LEFT($A38, 1))),
    "",
    IFERROR(IF(_xlfn.XLOOKUP($A38, INDIRECT("'" &amp; D$2 &amp; "'!$A:$A"), INDIRECT("'" &amp; D$2 &amp; "'!$B:$B"), "")&lt;&gt;"", "✓", "✗"), "✗")
)</f>
        <v/>
      </c>
      <c r="E38">
        <f t="array" ref="E38">IF(
    ISNUMBER(VALUE(LEFT($A38, 1))),
    "",
    IFERROR(IF(_xlfn.XLOOKUP($A38, INDIRECT("'" &amp; E$2 &amp; "'!$A:$A"), INDIRECT("'" &amp; E$2 &amp; "'!$B:$B"), "")&lt;&gt;"", "✓", "✗"), "✗")
)</f>
        <v/>
      </c>
      <c r="F38">
        <f t="array" ref="F38">IF(
    ISNUMBER(VALUE(LEFT($A38, 1))),
    "",
    IFERROR(IF(_xlfn.XLOOKUP($A38, INDIRECT("'" &amp; F$2 &amp; "'!$A:$A"), INDIRECT("'" &amp; F$2 &amp; "'!$B:$B"), "")&lt;&gt;"", "✓", "✗"), "✗")
)</f>
        <v/>
      </c>
      <c r="G38">
        <f t="array" ref="G38">IF(
    ISNUMBER(VALUE(LEFT($A38, 1))),
    "",
    IFERROR(IF(_xlfn.XLOOKUP($A38, INDIRECT("'" &amp; G$2 &amp; "'!$A:$A"), INDIRECT("'" &amp; G$2 &amp; "'!$B:$B"), "")&lt;&gt;"", "✓", "✗"), "✗")
)</f>
        <v/>
      </c>
      <c r="H38">
        <f t="array" ref="H38">IF(
    ISNUMBER(VALUE(LEFT($A38, 1))),
    "",
    IFERROR(IF(_xlfn.XLOOKUP($A38, INDIRECT("'" &amp; H$2 &amp; "'!$A:$A"), INDIRECT("'" &amp; H$2 &amp; "'!$B:$B"), "")&lt;&gt;"", "✓", "✗"), "✗")
)</f>
        <v/>
      </c>
      <c r="I38">
        <f t="array" ref="I38">IF(
    ISNUMBER(VALUE(LEFT($A38, 1))),
    "",
    IFERROR(IF(_xlfn.XLOOKUP($A38, INDIRECT("'" &amp; I$2 &amp; "'!$A:$A"), INDIRECT("'" &amp; I$2 &amp; "'!$B:$B"), "")&lt;&gt;"", "✓", "✗"), "✗")
)</f>
        <v/>
      </c>
      <c r="J38">
        <f t="array" ref="J38">IF(
    ISNUMBER(VALUE(LEFT($A38, 1))),
    "",
    IFERROR(IF(_xlfn.XLOOKUP($A38, INDIRECT("'" &amp; J$2 &amp; "'!$A:$A"), INDIRECT("'" &amp; J$2 &amp; "'!$B:$B"), "")&lt;&gt;"", "✓", "✗"), "✗")
)</f>
        <v/>
      </c>
      <c r="K38">
        <f t="array" ref="K38">IF(
    ISNUMBER(VALUE(LEFT($A38, 1))),
    "",
    IFERROR(IF(_xlfn.XLOOKUP($A38, INDIRECT("'" &amp; K$2 &amp; "'!$A:$A"), INDIRECT("'" &amp; K$2 &amp; "'!$B:$B"), "")&lt;&gt;"", "✓", "✗"), "✗")
)</f>
        <v/>
      </c>
      <c r="L38">
        <f t="array" ref="L38">IF(
    ISNUMBER(VALUE(LEFT($A38, 1))),
    "",
    IFERROR(IF(_xlfn.XLOOKUP($A38, INDIRECT("'" &amp; L$2 &amp; "'!$A:$A"), INDIRECT("'" &amp; L$2 &amp; "'!$B:$B"), "")&lt;&gt;"", "✓", "✗"), "✗")
)</f>
        <v/>
      </c>
      <c r="M38">
        <f t="array" ref="M38">IF(
    ISNUMBER(VALUE(LEFT($A38, 1))),
    "",
    IFERROR(IF(_xlfn.XLOOKUP($A38, INDIRECT("'" &amp; M$2 &amp; "'!$A:$A"), INDIRECT("'" &amp; M$2 &amp; "'!$B:$B"), "")&lt;&gt;"", "✓", "✗"), "✗")
)</f>
        <v/>
      </c>
      <c r="N38">
        <f t="array" ref="N38">IF(
    ISNUMBER(VALUE(LEFT($A38, 1))),
    "",
    IFERROR(IF(_xlfn.XLOOKUP($A38, INDIRECT("'" &amp; N$2 &amp; "'!$A:$A"), INDIRECT("'" &amp; N$2 &amp; "'!$B:$B"), "")&lt;&gt;"", "✓", "✗"), "✗")
)</f>
        <v/>
      </c>
      <c r="O38">
        <f t="array" ref="O38">IF(
    ISNUMBER(VALUE(LEFT($A38, 1))),
    "",
    IFERROR(IF(_xlfn.XLOOKUP($A38, INDIRECT("'" &amp; O$2 &amp; "'!$A:$A"), INDIRECT("'" &amp; O$2 &amp; "'!$B:$B"), "")&lt;&gt;"", "✓", "✗"), "✗")
)</f>
        <v/>
      </c>
      <c r="P38">
        <f t="array" ref="P38">IF(
    ISNUMBER(VALUE(LEFT($A38, 1))),
    "",
    IFERROR(IF(_xlfn.XLOOKUP($A38, INDIRECT("'" &amp; P$2 &amp; "'!$A:$A"), INDIRECT("'" &amp; P$2 &amp; "'!$B:$B"), "")&lt;&gt;"", "✓", "✗"), "✗")
)</f>
        <v/>
      </c>
      <c r="Q38">
        <f t="array" ref="Q38">IF(
    ISNUMBER(VALUE(LEFT($A38, 1))),
    "",
    IFERROR(IF(_xlfn.XLOOKUP($A38, INDIRECT("'" &amp; Q$2 &amp; "'!$A:$A"), INDIRECT("'" &amp; Q$2 &amp; "'!$B:$B"), "")&lt;&gt;"", "✓", "✗"), "✗")
)</f>
        <v/>
      </c>
      <c r="R38">
        <f t="array" ref="R38">IF(
    ISNUMBER(VALUE(LEFT($A38, 1))),
    "",
    IFERROR(IF(_xlfn.XLOOKUP($A38, INDIRECT("'" &amp; R$2 &amp; "'!$A:$A"), INDIRECT("'" &amp; R$2 &amp; "'!$B:$B"), "")&lt;&gt;"", "✓", "✗"), "✗")
)</f>
        <v/>
      </c>
      <c r="S38">
        <f t="array" ref="S38">IF(
    ISNUMBER(VALUE(LEFT($A38, 1))),
    "",
    IFERROR(IF(_xlfn.XLOOKUP($A38, INDIRECT("'" &amp; S$2 &amp; "'!$A:$A"), INDIRECT("'" &amp; S$2 &amp; "'!$B:$B"), "")&lt;&gt;"", "✓", "✗"), "✗")
)</f>
        <v/>
      </c>
      <c r="T38">
        <f t="array" ref="T38">IF(
    ISNUMBER(VALUE(LEFT($A38, 1))),
    "",
    IFERROR(IF(_xlfn.XLOOKUP($A38, INDIRECT("'" &amp; T$2 &amp; "'!$A:$A"), INDIRECT("'" &amp; T$2 &amp; "'!$B:$B"), "")&lt;&gt;"", "✓", "✗"), "✗")
)</f>
        <v/>
      </c>
      <c r="U38">
        <f t="array" ref="U38">IF(
    ISNUMBER(VALUE(LEFT($A38, 1))),
    "",
    IFERROR(IF(_xlfn.XLOOKUP($A38, INDIRECT("'" &amp; U$2 &amp; "'!$A:$A"), INDIRECT("'" &amp; U$2 &amp; "'!$B:$B"), "")&lt;&gt;"", "✓", "✗"), "✗")
)</f>
        <v/>
      </c>
      <c r="V38">
        <f t="array" ref="V38">IF(
    ISNUMBER(VALUE(LEFT($A38, 1))),
    "",
    IFERROR(IF(_xlfn.XLOOKUP($A38, INDIRECT("'" &amp; V$2 &amp; "'!$A:$A"), INDIRECT("'" &amp; V$2 &amp; "'!$B:$B"), "")&lt;&gt;"", "✓", "✗"), "✗")
)</f>
        <v/>
      </c>
      <c r="W38">
        <f t="array" ref="W38">IF(
    ISNUMBER(VALUE(LEFT($A38, 1))),
    "",
    IFERROR(IF(_xlfn.XLOOKUP($A38, INDIRECT("'" &amp; W$2 &amp; "'!$A:$A"), INDIRECT("'" &amp; W$2 &amp; "'!$B:$B"), "")&lt;&gt;"", "✓", "✗"), "✗")
)</f>
        <v/>
      </c>
      <c r="X38">
        <f t="array" ref="X38">IF(
    ISNUMBER(VALUE(LEFT($A38, 1))),
    "",
    IFERROR(IF(_xlfn.XLOOKUP($A38, INDIRECT("'" &amp; X$2 &amp; "'!$A:$A"), INDIRECT("'" &amp; X$2 &amp; "'!$B:$B"), "")&lt;&gt;"", "✓", "✗"), "✗")
)</f>
        <v/>
      </c>
      <c r="Y38">
        <f t="array" ref="Y38">IF(
    ISNUMBER(VALUE(LEFT($A38, 1))),
    "",
    IFERROR(IF(_xlfn.XLOOKUP($A38, INDIRECT("'" &amp; Y$2 &amp; "'!$A:$A"), INDIRECT("'" &amp; Y$2 &amp; "'!$B:$B"), "")&lt;&gt;"", "✓", "✗"), "✗")
)</f>
        <v/>
      </c>
      <c r="Z38">
        <f t="array" ref="Z38">IF(
    ISNUMBER(VALUE(LEFT($A38, 1))),
    "",
    IFERROR(IF(_xlfn.XLOOKUP($A38, INDIRECT("'" &amp; Z$2 &amp; "'!$A:$A"), INDIRECT("'" &amp; Z$2 &amp; "'!$B:$B"), "")&lt;&gt;"", "✓", "✗"), "✗")
)</f>
        <v/>
      </c>
      <c r="AA38">
        <f t="array" ref="AA38">IF(
    ISNUMBER(VALUE(LEFT($A38, 1))),
    "",
    IFERROR(IF(_xlfn.XLOOKUP($A38, INDIRECT("'" &amp; AA$2 &amp; "'!$A:$A"), INDIRECT("'" &amp; AA$2 &amp; "'!$B:$B"), "")&lt;&gt;"", "✓", "✗"), "✗")
)</f>
        <v/>
      </c>
      <c r="AB38">
        <f t="array" ref="AB38">IF(
    ISNUMBER(VALUE(LEFT($A38, 1))),
    "",
    IFERROR(IF(_xlfn.XLOOKUP($A38, INDIRECT("'" &amp; AB$2 &amp; "'!$A:$A"), INDIRECT("'" &amp; AB$2 &amp; "'!$B:$B"), "")&lt;&gt;"", "✓", "✗"), "✗")
)</f>
        <v/>
      </c>
      <c r="AC38">
        <f t="array" ref="AC38">IF(
    ISNUMBER(VALUE(LEFT($A38, 1))),
    "",
    IFERROR(IF(_xlfn.XLOOKUP($A38, INDIRECT("'" &amp; AC$2 &amp; "'!$A:$A"), INDIRECT("'" &amp; AC$2 &amp; "'!$B:$B"), "")&lt;&gt;"", "✓", "✗"), "✗")
)</f>
        <v/>
      </c>
      <c r="AD38">
        <f t="array" ref="AD38">IF(
    ISNUMBER(VALUE(LEFT($A38, 1))),
    "",
    IFERROR(IF(_xlfn.XLOOKUP($A38, INDIRECT("'" &amp; AD$2 &amp; "'!$A:$A"), INDIRECT("'" &amp; AD$2 &amp; "'!$B:$B"), "")&lt;&gt;"", "✓", "✗"), "✗")
)</f>
        <v/>
      </c>
      <c r="AE38">
        <f t="array" ref="AE38">IF(
    ISNUMBER(VALUE(LEFT($A38, 1))),
    "",
    IFERROR(IF(_xlfn.XLOOKUP($A38, INDIRECT("'" &amp; AE$2 &amp; "'!$A:$A"), INDIRECT("'" &amp; AE$2 &amp; "'!$B:$B"), "")&lt;&gt;"", "✓", "✗"), "✗")
)</f>
        <v/>
      </c>
      <c r="AF38">
        <f t="array" ref="AF38">IF(
    ISNUMBER(VALUE(LEFT($A38, 1))),
    "",
    IFERROR(IF(_xlfn.XLOOKUP($A38, INDIRECT("'" &amp; AF$2 &amp; "'!$A:$A"), INDIRECT("'" &amp; AF$2 &amp; "'!$B:$B"), "")&lt;&gt;"", "✓", "✗"), "✗")
)</f>
        <v/>
      </c>
      <c r="AG38">
        <f t="array" ref="AG38">IF(
    ISNUMBER(VALUE(LEFT($A38, 1))),
    "",
    IFERROR(IF(_xlfn.XLOOKUP($A38, INDIRECT("'" &amp; AG$2 &amp; "'!$A:$A"), INDIRECT("'" &amp; AG$2 &amp; "'!$B:$B"), "")&lt;&gt;"", "✓", "✗"), "✗")
)</f>
        <v/>
      </c>
    </row>
    <row r="39">
      <c r="A39" t="inlineStr">
        <is>
          <t>SAVM Sales Level 1</t>
        </is>
      </c>
      <c r="B39">
        <f t="array" ref="B39">IF(
    ISNUMBER(VALUE(LEFT($A39, 1))),
    "",
    IFERROR(IF(_xlfn.XLOOKUP($A39, INDIRECT("'" &amp; B$2 &amp; "'!$A:$A"), INDIRECT("'" &amp; B$2 &amp; "'!$B:$B"), "")&lt;&gt;"", "✓", "✗"), "✗")
)</f>
        <v/>
      </c>
      <c r="C39">
        <f t="array" ref="C39">IF(
    ISNUMBER(VALUE(LEFT($A39, 1))),
    "",
    IFERROR(IF(_xlfn.XLOOKUP($A39, INDIRECT("'" &amp; C$2 &amp; "'!$A:$A"), INDIRECT("'" &amp; C$2 &amp; "'!$B:$B"), "")&lt;&gt;"", "✓", "✗"), "✗")
)</f>
        <v/>
      </c>
      <c r="D39">
        <f t="array" ref="D39">IF(
    ISNUMBER(VALUE(LEFT($A39, 1))),
    "",
    IFERROR(IF(_xlfn.XLOOKUP($A39, INDIRECT("'" &amp; D$2 &amp; "'!$A:$A"), INDIRECT("'" &amp; D$2 &amp; "'!$B:$B"), "")&lt;&gt;"", "✓", "✗"), "✗")
)</f>
        <v/>
      </c>
      <c r="E39">
        <f t="array" ref="E39">IF(
    ISNUMBER(VALUE(LEFT($A39, 1))),
    "",
    IFERROR(IF(_xlfn.XLOOKUP($A39, INDIRECT("'" &amp; E$2 &amp; "'!$A:$A"), INDIRECT("'" &amp; E$2 &amp; "'!$B:$B"), "")&lt;&gt;"", "✓", "✗"), "✗")
)</f>
        <v/>
      </c>
      <c r="F39">
        <f t="array" ref="F39">IF(
    ISNUMBER(VALUE(LEFT($A39, 1))),
    "",
    IFERROR(IF(_xlfn.XLOOKUP($A39, INDIRECT("'" &amp; F$2 &amp; "'!$A:$A"), INDIRECT("'" &amp; F$2 &amp; "'!$B:$B"), "")&lt;&gt;"", "✓", "✗"), "✗")
)</f>
        <v/>
      </c>
      <c r="G39">
        <f t="array" ref="G39">IF(
    ISNUMBER(VALUE(LEFT($A39, 1))),
    "",
    IFERROR(IF(_xlfn.XLOOKUP($A39, INDIRECT("'" &amp; G$2 &amp; "'!$A:$A"), INDIRECT("'" &amp; G$2 &amp; "'!$B:$B"), "")&lt;&gt;"", "✓", "✗"), "✗")
)</f>
        <v/>
      </c>
      <c r="H39">
        <f t="array" ref="H39">IF(
    ISNUMBER(VALUE(LEFT($A39, 1))),
    "",
    IFERROR(IF(_xlfn.XLOOKUP($A39, INDIRECT("'" &amp; H$2 &amp; "'!$A:$A"), INDIRECT("'" &amp; H$2 &amp; "'!$B:$B"), "")&lt;&gt;"", "✓", "✗"), "✗")
)</f>
        <v/>
      </c>
      <c r="I39">
        <f t="array" ref="I39">IF(
    ISNUMBER(VALUE(LEFT($A39, 1))),
    "",
    IFERROR(IF(_xlfn.XLOOKUP($A39, INDIRECT("'" &amp; I$2 &amp; "'!$A:$A"), INDIRECT("'" &amp; I$2 &amp; "'!$B:$B"), "")&lt;&gt;"", "✓", "✗"), "✗")
)</f>
        <v/>
      </c>
      <c r="J39">
        <f t="array" ref="J39">IF(
    ISNUMBER(VALUE(LEFT($A39, 1))),
    "",
    IFERROR(IF(_xlfn.XLOOKUP($A39, INDIRECT("'" &amp; J$2 &amp; "'!$A:$A"), INDIRECT("'" &amp; J$2 &amp; "'!$B:$B"), "")&lt;&gt;"", "✓", "✗"), "✗")
)</f>
        <v/>
      </c>
      <c r="K39">
        <f t="array" ref="K39">IF(
    ISNUMBER(VALUE(LEFT($A39, 1))),
    "",
    IFERROR(IF(_xlfn.XLOOKUP($A39, INDIRECT("'" &amp; K$2 &amp; "'!$A:$A"), INDIRECT("'" &amp; K$2 &amp; "'!$B:$B"), "")&lt;&gt;"", "✓", "✗"), "✗")
)</f>
        <v/>
      </c>
      <c r="L39">
        <f t="array" ref="L39">IF(
    ISNUMBER(VALUE(LEFT($A39, 1))),
    "",
    IFERROR(IF(_xlfn.XLOOKUP($A39, INDIRECT("'" &amp; L$2 &amp; "'!$A:$A"), INDIRECT("'" &amp; L$2 &amp; "'!$B:$B"), "")&lt;&gt;"", "✓", "✗"), "✗")
)</f>
        <v/>
      </c>
      <c r="M39">
        <f t="array" ref="M39">IF(
    ISNUMBER(VALUE(LEFT($A39, 1))),
    "",
    IFERROR(IF(_xlfn.XLOOKUP($A39, INDIRECT("'" &amp; M$2 &amp; "'!$A:$A"), INDIRECT("'" &amp; M$2 &amp; "'!$B:$B"), "")&lt;&gt;"", "✓", "✗"), "✗")
)</f>
        <v/>
      </c>
      <c r="N39">
        <f t="array" ref="N39">IF(
    ISNUMBER(VALUE(LEFT($A39, 1))),
    "",
    IFERROR(IF(_xlfn.XLOOKUP($A39, INDIRECT("'" &amp; N$2 &amp; "'!$A:$A"), INDIRECT("'" &amp; N$2 &amp; "'!$B:$B"), "")&lt;&gt;"", "✓", "✗"), "✗")
)</f>
        <v/>
      </c>
      <c r="O39">
        <f t="array" ref="O39">IF(
    ISNUMBER(VALUE(LEFT($A39, 1))),
    "",
    IFERROR(IF(_xlfn.XLOOKUP($A39, INDIRECT("'" &amp; O$2 &amp; "'!$A:$A"), INDIRECT("'" &amp; O$2 &amp; "'!$B:$B"), "")&lt;&gt;"", "✓", "✗"), "✗")
)</f>
        <v/>
      </c>
      <c r="P39">
        <f t="array" ref="P39">IF(
    ISNUMBER(VALUE(LEFT($A39, 1))),
    "",
    IFERROR(IF(_xlfn.XLOOKUP($A39, INDIRECT("'" &amp; P$2 &amp; "'!$A:$A"), INDIRECT("'" &amp; P$2 &amp; "'!$B:$B"), "")&lt;&gt;"", "✓", "✗"), "✗")
)</f>
        <v/>
      </c>
      <c r="Q39">
        <f t="array" ref="Q39">IF(
    ISNUMBER(VALUE(LEFT($A39, 1))),
    "",
    IFERROR(IF(_xlfn.XLOOKUP($A39, INDIRECT("'" &amp; Q$2 &amp; "'!$A:$A"), INDIRECT("'" &amp; Q$2 &amp; "'!$B:$B"), "")&lt;&gt;"", "✓", "✗"), "✗")
)</f>
        <v/>
      </c>
      <c r="R39">
        <f t="array" ref="R39">IF(
    ISNUMBER(VALUE(LEFT($A39, 1))),
    "",
    IFERROR(IF(_xlfn.XLOOKUP($A39, INDIRECT("'" &amp; R$2 &amp; "'!$A:$A"), INDIRECT("'" &amp; R$2 &amp; "'!$B:$B"), "")&lt;&gt;"", "✓", "✗"), "✗")
)</f>
        <v/>
      </c>
      <c r="S39">
        <f t="array" ref="S39">IF(
    ISNUMBER(VALUE(LEFT($A39, 1))),
    "",
    IFERROR(IF(_xlfn.XLOOKUP($A39, INDIRECT("'" &amp; S$2 &amp; "'!$A:$A"), INDIRECT("'" &amp; S$2 &amp; "'!$B:$B"), "")&lt;&gt;"", "✓", "✗"), "✗")
)</f>
        <v/>
      </c>
      <c r="T39">
        <f t="array" ref="T39">IF(
    ISNUMBER(VALUE(LEFT($A39, 1))),
    "",
    IFERROR(IF(_xlfn.XLOOKUP($A39, INDIRECT("'" &amp; T$2 &amp; "'!$A:$A"), INDIRECT("'" &amp; T$2 &amp; "'!$B:$B"), "")&lt;&gt;"", "✓", "✗"), "✗")
)</f>
        <v/>
      </c>
      <c r="U39">
        <f t="array" ref="U39">IF(
    ISNUMBER(VALUE(LEFT($A39, 1))),
    "",
    IFERROR(IF(_xlfn.XLOOKUP($A39, INDIRECT("'" &amp; U$2 &amp; "'!$A:$A"), INDIRECT("'" &amp; U$2 &amp; "'!$B:$B"), "")&lt;&gt;"", "✓", "✗"), "✗")
)</f>
        <v/>
      </c>
      <c r="V39">
        <f t="array" ref="V39">IF(
    ISNUMBER(VALUE(LEFT($A39, 1))),
    "",
    IFERROR(IF(_xlfn.XLOOKUP($A39, INDIRECT("'" &amp; V$2 &amp; "'!$A:$A"), INDIRECT("'" &amp; V$2 &amp; "'!$B:$B"), "")&lt;&gt;"", "✓", "✗"), "✗")
)</f>
        <v/>
      </c>
      <c r="W39">
        <f t="array" ref="W39">IF(
    ISNUMBER(VALUE(LEFT($A39, 1))),
    "",
    IFERROR(IF(_xlfn.XLOOKUP($A39, INDIRECT("'" &amp; W$2 &amp; "'!$A:$A"), INDIRECT("'" &amp; W$2 &amp; "'!$B:$B"), "")&lt;&gt;"", "✓", "✗"), "✗")
)</f>
        <v/>
      </c>
      <c r="X39">
        <f t="array" ref="X39">IF(
    ISNUMBER(VALUE(LEFT($A39, 1))),
    "",
    IFERROR(IF(_xlfn.XLOOKUP($A39, INDIRECT("'" &amp; X$2 &amp; "'!$A:$A"), INDIRECT("'" &amp; X$2 &amp; "'!$B:$B"), "")&lt;&gt;"", "✓", "✗"), "✗")
)</f>
        <v/>
      </c>
      <c r="Y39">
        <f t="array" ref="Y39">IF(
    ISNUMBER(VALUE(LEFT($A39, 1))),
    "",
    IFERROR(IF(_xlfn.XLOOKUP($A39, INDIRECT("'" &amp; Y$2 &amp; "'!$A:$A"), INDIRECT("'" &amp; Y$2 &amp; "'!$B:$B"), "")&lt;&gt;"", "✓", "✗"), "✗")
)</f>
        <v/>
      </c>
      <c r="Z39">
        <f t="array" ref="Z39">IF(
    ISNUMBER(VALUE(LEFT($A39, 1))),
    "",
    IFERROR(IF(_xlfn.XLOOKUP($A39, INDIRECT("'" &amp; Z$2 &amp; "'!$A:$A"), INDIRECT("'" &amp; Z$2 &amp; "'!$B:$B"), "")&lt;&gt;"", "✓", "✗"), "✗")
)</f>
        <v/>
      </c>
      <c r="AA39">
        <f t="array" ref="AA39">IF(
    ISNUMBER(VALUE(LEFT($A39, 1))),
    "",
    IFERROR(IF(_xlfn.XLOOKUP($A39, INDIRECT("'" &amp; AA$2 &amp; "'!$A:$A"), INDIRECT("'" &amp; AA$2 &amp; "'!$B:$B"), "")&lt;&gt;"", "✓", "✗"), "✗")
)</f>
        <v/>
      </c>
      <c r="AB39">
        <f t="array" ref="AB39">IF(
    ISNUMBER(VALUE(LEFT($A39, 1))),
    "",
    IFERROR(IF(_xlfn.XLOOKUP($A39, INDIRECT("'" &amp; AB$2 &amp; "'!$A:$A"), INDIRECT("'" &amp; AB$2 &amp; "'!$B:$B"), "")&lt;&gt;"", "✓", "✗"), "✗")
)</f>
        <v/>
      </c>
      <c r="AC39">
        <f t="array" ref="AC39">IF(
    ISNUMBER(VALUE(LEFT($A39, 1))),
    "",
    IFERROR(IF(_xlfn.XLOOKUP($A39, INDIRECT("'" &amp; AC$2 &amp; "'!$A:$A"), INDIRECT("'" &amp; AC$2 &amp; "'!$B:$B"), "")&lt;&gt;"", "✓", "✗"), "✗")
)</f>
        <v/>
      </c>
      <c r="AD39">
        <f t="array" ref="AD39">IF(
    ISNUMBER(VALUE(LEFT($A39, 1))),
    "",
    IFERROR(IF(_xlfn.XLOOKUP($A39, INDIRECT("'" &amp; AD$2 &amp; "'!$A:$A"), INDIRECT("'" &amp; AD$2 &amp; "'!$B:$B"), "")&lt;&gt;"", "✓", "✗"), "✗")
)</f>
        <v/>
      </c>
      <c r="AE39">
        <f t="array" ref="AE39">IF(
    ISNUMBER(VALUE(LEFT($A39, 1))),
    "",
    IFERROR(IF(_xlfn.XLOOKUP($A39, INDIRECT("'" &amp; AE$2 &amp; "'!$A:$A"), INDIRECT("'" &amp; AE$2 &amp; "'!$B:$B"), "")&lt;&gt;"", "✓", "✗"), "✗")
)</f>
        <v/>
      </c>
      <c r="AF39">
        <f t="array" ref="AF39">IF(
    ISNUMBER(VALUE(LEFT($A39, 1))),
    "",
    IFERROR(IF(_xlfn.XLOOKUP($A39, INDIRECT("'" &amp; AF$2 &amp; "'!$A:$A"), INDIRECT("'" &amp; AF$2 &amp; "'!$B:$B"), "")&lt;&gt;"", "✓", "✗"), "✗")
)</f>
        <v/>
      </c>
      <c r="AG39">
        <f t="array" ref="AG39">IF(
    ISNUMBER(VALUE(LEFT($A39, 1))),
    "",
    IFERROR(IF(_xlfn.XLOOKUP($A39, INDIRECT("'" &amp; AG$2 &amp; "'!$A:$A"), INDIRECT("'" &amp; AG$2 &amp; "'!$B:$B"), "")&lt;&gt;"", "✓", "✗"), "✗")
)</f>
        <v/>
      </c>
    </row>
    <row r="40">
      <c r="A40" t="inlineStr">
        <is>
          <t>SAVM Sales Level 2</t>
        </is>
      </c>
      <c r="B40">
        <f t="array" ref="B40">IF(
    ISNUMBER(VALUE(LEFT($A40, 1))),
    "",
    IFERROR(IF(_xlfn.XLOOKUP($A40, INDIRECT("'" &amp; B$2 &amp; "'!$A:$A"), INDIRECT("'" &amp; B$2 &amp; "'!$B:$B"), "")&lt;&gt;"", "✓", "✗"), "✗")
)</f>
        <v/>
      </c>
      <c r="C40">
        <f t="array" ref="C40">IF(
    ISNUMBER(VALUE(LEFT($A40, 1))),
    "",
    IFERROR(IF(_xlfn.XLOOKUP($A40, INDIRECT("'" &amp; C$2 &amp; "'!$A:$A"), INDIRECT("'" &amp; C$2 &amp; "'!$B:$B"), "")&lt;&gt;"", "✓", "✗"), "✗")
)</f>
        <v/>
      </c>
      <c r="D40">
        <f t="array" ref="D40">IF(
    ISNUMBER(VALUE(LEFT($A40, 1))),
    "",
    IFERROR(IF(_xlfn.XLOOKUP($A40, INDIRECT("'" &amp; D$2 &amp; "'!$A:$A"), INDIRECT("'" &amp; D$2 &amp; "'!$B:$B"), "")&lt;&gt;"", "✓", "✗"), "✗")
)</f>
        <v/>
      </c>
      <c r="E40">
        <f t="array" ref="E40">IF(
    ISNUMBER(VALUE(LEFT($A40, 1))),
    "",
    IFERROR(IF(_xlfn.XLOOKUP($A40, INDIRECT("'" &amp; E$2 &amp; "'!$A:$A"), INDIRECT("'" &amp; E$2 &amp; "'!$B:$B"), "")&lt;&gt;"", "✓", "✗"), "✗")
)</f>
        <v/>
      </c>
      <c r="F40">
        <f t="array" ref="F40">IF(
    ISNUMBER(VALUE(LEFT($A40, 1))),
    "",
    IFERROR(IF(_xlfn.XLOOKUP($A40, INDIRECT("'" &amp; F$2 &amp; "'!$A:$A"), INDIRECT("'" &amp; F$2 &amp; "'!$B:$B"), "")&lt;&gt;"", "✓", "✗"), "✗")
)</f>
        <v/>
      </c>
      <c r="G40">
        <f t="array" ref="G40">IF(
    ISNUMBER(VALUE(LEFT($A40, 1))),
    "",
    IFERROR(IF(_xlfn.XLOOKUP($A40, INDIRECT("'" &amp; G$2 &amp; "'!$A:$A"), INDIRECT("'" &amp; G$2 &amp; "'!$B:$B"), "")&lt;&gt;"", "✓", "✗"), "✗")
)</f>
        <v/>
      </c>
      <c r="H40">
        <f t="array" ref="H40">IF(
    ISNUMBER(VALUE(LEFT($A40, 1))),
    "",
    IFERROR(IF(_xlfn.XLOOKUP($A40, INDIRECT("'" &amp; H$2 &amp; "'!$A:$A"), INDIRECT("'" &amp; H$2 &amp; "'!$B:$B"), "")&lt;&gt;"", "✓", "✗"), "✗")
)</f>
        <v/>
      </c>
      <c r="I40">
        <f t="array" ref="I40">IF(
    ISNUMBER(VALUE(LEFT($A40, 1))),
    "",
    IFERROR(IF(_xlfn.XLOOKUP($A40, INDIRECT("'" &amp; I$2 &amp; "'!$A:$A"), INDIRECT("'" &amp; I$2 &amp; "'!$B:$B"), "")&lt;&gt;"", "✓", "✗"), "✗")
)</f>
        <v/>
      </c>
      <c r="J40">
        <f t="array" ref="J40">IF(
    ISNUMBER(VALUE(LEFT($A40, 1))),
    "",
    IFERROR(IF(_xlfn.XLOOKUP($A40, INDIRECT("'" &amp; J$2 &amp; "'!$A:$A"), INDIRECT("'" &amp; J$2 &amp; "'!$B:$B"), "")&lt;&gt;"", "✓", "✗"), "✗")
)</f>
        <v/>
      </c>
      <c r="K40">
        <f t="array" ref="K40">IF(
    ISNUMBER(VALUE(LEFT($A40, 1))),
    "",
    IFERROR(IF(_xlfn.XLOOKUP($A40, INDIRECT("'" &amp; K$2 &amp; "'!$A:$A"), INDIRECT("'" &amp; K$2 &amp; "'!$B:$B"), "")&lt;&gt;"", "✓", "✗"), "✗")
)</f>
        <v/>
      </c>
      <c r="L40">
        <f t="array" ref="L40">IF(
    ISNUMBER(VALUE(LEFT($A40, 1))),
    "",
    IFERROR(IF(_xlfn.XLOOKUP($A40, INDIRECT("'" &amp; L$2 &amp; "'!$A:$A"), INDIRECT("'" &amp; L$2 &amp; "'!$B:$B"), "")&lt;&gt;"", "✓", "✗"), "✗")
)</f>
        <v/>
      </c>
      <c r="M40">
        <f t="array" ref="M40">IF(
    ISNUMBER(VALUE(LEFT($A40, 1))),
    "",
    IFERROR(IF(_xlfn.XLOOKUP($A40, INDIRECT("'" &amp; M$2 &amp; "'!$A:$A"), INDIRECT("'" &amp; M$2 &amp; "'!$B:$B"), "")&lt;&gt;"", "✓", "✗"), "✗")
)</f>
        <v/>
      </c>
      <c r="N40">
        <f t="array" ref="N40">IF(
    ISNUMBER(VALUE(LEFT($A40, 1))),
    "",
    IFERROR(IF(_xlfn.XLOOKUP($A40, INDIRECT("'" &amp; N$2 &amp; "'!$A:$A"), INDIRECT("'" &amp; N$2 &amp; "'!$B:$B"), "")&lt;&gt;"", "✓", "✗"), "✗")
)</f>
        <v/>
      </c>
      <c r="O40">
        <f t="array" ref="O40">IF(
    ISNUMBER(VALUE(LEFT($A40, 1))),
    "",
    IFERROR(IF(_xlfn.XLOOKUP($A40, INDIRECT("'" &amp; O$2 &amp; "'!$A:$A"), INDIRECT("'" &amp; O$2 &amp; "'!$B:$B"), "")&lt;&gt;"", "✓", "✗"), "✗")
)</f>
        <v/>
      </c>
      <c r="P40">
        <f t="array" ref="P40">IF(
    ISNUMBER(VALUE(LEFT($A40, 1))),
    "",
    IFERROR(IF(_xlfn.XLOOKUP($A40, INDIRECT("'" &amp; P$2 &amp; "'!$A:$A"), INDIRECT("'" &amp; P$2 &amp; "'!$B:$B"), "")&lt;&gt;"", "✓", "✗"), "✗")
)</f>
        <v/>
      </c>
      <c r="Q40">
        <f t="array" ref="Q40">IF(
    ISNUMBER(VALUE(LEFT($A40, 1))),
    "",
    IFERROR(IF(_xlfn.XLOOKUP($A40, INDIRECT("'" &amp; Q$2 &amp; "'!$A:$A"), INDIRECT("'" &amp; Q$2 &amp; "'!$B:$B"), "")&lt;&gt;"", "✓", "✗"), "✗")
)</f>
        <v/>
      </c>
      <c r="R40">
        <f t="array" ref="R40">IF(
    ISNUMBER(VALUE(LEFT($A40, 1))),
    "",
    IFERROR(IF(_xlfn.XLOOKUP($A40, INDIRECT("'" &amp; R$2 &amp; "'!$A:$A"), INDIRECT("'" &amp; R$2 &amp; "'!$B:$B"), "")&lt;&gt;"", "✓", "✗"), "✗")
)</f>
        <v/>
      </c>
      <c r="S40">
        <f t="array" ref="S40">IF(
    ISNUMBER(VALUE(LEFT($A40, 1))),
    "",
    IFERROR(IF(_xlfn.XLOOKUP($A40, INDIRECT("'" &amp; S$2 &amp; "'!$A:$A"), INDIRECT("'" &amp; S$2 &amp; "'!$B:$B"), "")&lt;&gt;"", "✓", "✗"), "✗")
)</f>
        <v/>
      </c>
      <c r="T40">
        <f t="array" ref="T40">IF(
    ISNUMBER(VALUE(LEFT($A40, 1))),
    "",
    IFERROR(IF(_xlfn.XLOOKUP($A40, INDIRECT("'" &amp; T$2 &amp; "'!$A:$A"), INDIRECT("'" &amp; T$2 &amp; "'!$B:$B"), "")&lt;&gt;"", "✓", "✗"), "✗")
)</f>
        <v/>
      </c>
      <c r="U40">
        <f t="array" ref="U40">IF(
    ISNUMBER(VALUE(LEFT($A40, 1))),
    "",
    IFERROR(IF(_xlfn.XLOOKUP($A40, INDIRECT("'" &amp; U$2 &amp; "'!$A:$A"), INDIRECT("'" &amp; U$2 &amp; "'!$B:$B"), "")&lt;&gt;"", "✓", "✗"), "✗")
)</f>
        <v/>
      </c>
      <c r="V40">
        <f t="array" ref="V40">IF(
    ISNUMBER(VALUE(LEFT($A40, 1))),
    "",
    IFERROR(IF(_xlfn.XLOOKUP($A40, INDIRECT("'" &amp; V$2 &amp; "'!$A:$A"), INDIRECT("'" &amp; V$2 &amp; "'!$B:$B"), "")&lt;&gt;"", "✓", "✗"), "✗")
)</f>
        <v/>
      </c>
      <c r="W40">
        <f t="array" ref="W40">IF(
    ISNUMBER(VALUE(LEFT($A40, 1))),
    "",
    IFERROR(IF(_xlfn.XLOOKUP($A40, INDIRECT("'" &amp; W$2 &amp; "'!$A:$A"), INDIRECT("'" &amp; W$2 &amp; "'!$B:$B"), "")&lt;&gt;"", "✓", "✗"), "✗")
)</f>
        <v/>
      </c>
      <c r="X40">
        <f t="array" ref="X40">IF(
    ISNUMBER(VALUE(LEFT($A40, 1))),
    "",
    IFERROR(IF(_xlfn.XLOOKUP($A40, INDIRECT("'" &amp; X$2 &amp; "'!$A:$A"), INDIRECT("'" &amp; X$2 &amp; "'!$B:$B"), "")&lt;&gt;"", "✓", "✗"), "✗")
)</f>
        <v/>
      </c>
      <c r="Y40">
        <f t="array" ref="Y40">IF(
    ISNUMBER(VALUE(LEFT($A40, 1))),
    "",
    IFERROR(IF(_xlfn.XLOOKUP($A40, INDIRECT("'" &amp; Y$2 &amp; "'!$A:$A"), INDIRECT("'" &amp; Y$2 &amp; "'!$B:$B"), "")&lt;&gt;"", "✓", "✗"), "✗")
)</f>
        <v/>
      </c>
      <c r="Z40">
        <f t="array" ref="Z40">IF(
    ISNUMBER(VALUE(LEFT($A40, 1))),
    "",
    IFERROR(IF(_xlfn.XLOOKUP($A40, INDIRECT("'" &amp; Z$2 &amp; "'!$A:$A"), INDIRECT("'" &amp; Z$2 &amp; "'!$B:$B"), "")&lt;&gt;"", "✓", "✗"), "✗")
)</f>
        <v/>
      </c>
      <c r="AA40">
        <f t="array" ref="AA40">IF(
    ISNUMBER(VALUE(LEFT($A40, 1))),
    "",
    IFERROR(IF(_xlfn.XLOOKUP($A40, INDIRECT("'" &amp; AA$2 &amp; "'!$A:$A"), INDIRECT("'" &amp; AA$2 &amp; "'!$B:$B"), "")&lt;&gt;"", "✓", "✗"), "✗")
)</f>
        <v/>
      </c>
      <c r="AB40">
        <f t="array" ref="AB40">IF(
    ISNUMBER(VALUE(LEFT($A40, 1))),
    "",
    IFERROR(IF(_xlfn.XLOOKUP($A40, INDIRECT("'" &amp; AB$2 &amp; "'!$A:$A"), INDIRECT("'" &amp; AB$2 &amp; "'!$B:$B"), "")&lt;&gt;"", "✓", "✗"), "✗")
)</f>
        <v/>
      </c>
      <c r="AC40">
        <f t="array" ref="AC40">IF(
    ISNUMBER(VALUE(LEFT($A40, 1))),
    "",
    IFERROR(IF(_xlfn.XLOOKUP($A40, INDIRECT("'" &amp; AC$2 &amp; "'!$A:$A"), INDIRECT("'" &amp; AC$2 &amp; "'!$B:$B"), "")&lt;&gt;"", "✓", "✗"), "✗")
)</f>
        <v/>
      </c>
      <c r="AD40">
        <f t="array" ref="AD40">IF(
    ISNUMBER(VALUE(LEFT($A40, 1))),
    "",
    IFERROR(IF(_xlfn.XLOOKUP($A40, INDIRECT("'" &amp; AD$2 &amp; "'!$A:$A"), INDIRECT("'" &amp; AD$2 &amp; "'!$B:$B"), "")&lt;&gt;"", "✓", "✗"), "✗")
)</f>
        <v/>
      </c>
      <c r="AE40">
        <f t="array" ref="AE40">IF(
    ISNUMBER(VALUE(LEFT($A40, 1))),
    "",
    IFERROR(IF(_xlfn.XLOOKUP($A40, INDIRECT("'" &amp; AE$2 &amp; "'!$A:$A"), INDIRECT("'" &amp; AE$2 &amp; "'!$B:$B"), "")&lt;&gt;"", "✓", "✗"), "✗")
)</f>
        <v/>
      </c>
      <c r="AF40">
        <f t="array" ref="AF40">IF(
    ISNUMBER(VALUE(LEFT($A40, 1))),
    "",
    IFERROR(IF(_xlfn.XLOOKUP($A40, INDIRECT("'" &amp; AF$2 &amp; "'!$A:$A"), INDIRECT("'" &amp; AF$2 &amp; "'!$B:$B"), "")&lt;&gt;"", "✓", "✗"), "✗")
)</f>
        <v/>
      </c>
      <c r="AG40">
        <f t="array" ref="AG40">IF(
    ISNUMBER(VALUE(LEFT($A40, 1))),
    "",
    IFERROR(IF(_xlfn.XLOOKUP($A40, INDIRECT("'" &amp; AG$2 &amp; "'!$A:$A"), INDIRECT("'" &amp; AG$2 &amp; "'!$B:$B"), "")&lt;&gt;"", "✓", "✗"), "✗")
)</f>
        <v/>
      </c>
    </row>
    <row r="41">
      <c r="A41" t="inlineStr">
        <is>
          <t>SFDC Account ID</t>
        </is>
      </c>
      <c r="B41">
        <f t="array" ref="B41">IF(
    ISNUMBER(VALUE(LEFT($A41, 1))),
    "",
    IFERROR(IF(_xlfn.XLOOKUP($A41, INDIRECT("'" &amp; B$2 &amp; "'!$A:$A"), INDIRECT("'" &amp; B$2 &amp; "'!$B:$B"), "")&lt;&gt;"", "✓", "✗"), "✗")
)</f>
        <v/>
      </c>
      <c r="C41">
        <f t="array" ref="C41">IF(
    ISNUMBER(VALUE(LEFT($A41, 1))),
    "",
    IFERROR(IF(_xlfn.XLOOKUP($A41, INDIRECT("'" &amp; C$2 &amp; "'!$A:$A"), INDIRECT("'" &amp; C$2 &amp; "'!$B:$B"), "")&lt;&gt;"", "✓", "✗"), "✗")
)</f>
        <v/>
      </c>
      <c r="D41">
        <f t="array" ref="D41">IF(
    ISNUMBER(VALUE(LEFT($A41, 1))),
    "",
    IFERROR(IF(_xlfn.XLOOKUP($A41, INDIRECT("'" &amp; D$2 &amp; "'!$A:$A"), INDIRECT("'" &amp; D$2 &amp; "'!$B:$B"), "")&lt;&gt;"", "✓", "✗"), "✗")
)</f>
        <v/>
      </c>
      <c r="E41">
        <f t="array" ref="E41">IF(
    ISNUMBER(VALUE(LEFT($A41, 1))),
    "",
    IFERROR(IF(_xlfn.XLOOKUP($A41, INDIRECT("'" &amp; E$2 &amp; "'!$A:$A"), INDIRECT("'" &amp; E$2 &amp; "'!$B:$B"), "")&lt;&gt;"", "✓", "✗"), "✗")
)</f>
        <v/>
      </c>
      <c r="F41">
        <f t="array" ref="F41">IF(
    ISNUMBER(VALUE(LEFT($A41, 1))),
    "",
    IFERROR(IF(_xlfn.XLOOKUP($A41, INDIRECT("'" &amp; F$2 &amp; "'!$A:$A"), INDIRECT("'" &amp; F$2 &amp; "'!$B:$B"), "")&lt;&gt;"", "✓", "✗"), "✗")
)</f>
        <v/>
      </c>
      <c r="G41">
        <f t="array" ref="G41">IF(
    ISNUMBER(VALUE(LEFT($A41, 1))),
    "",
    IFERROR(IF(_xlfn.XLOOKUP($A41, INDIRECT("'" &amp; G$2 &amp; "'!$A:$A"), INDIRECT("'" &amp; G$2 &amp; "'!$B:$B"), "")&lt;&gt;"", "✓", "✗"), "✗")
)</f>
        <v/>
      </c>
      <c r="H41">
        <f t="array" ref="H41">IF(
    ISNUMBER(VALUE(LEFT($A41, 1))),
    "",
    IFERROR(IF(_xlfn.XLOOKUP($A41, INDIRECT("'" &amp; H$2 &amp; "'!$A:$A"), INDIRECT("'" &amp; H$2 &amp; "'!$B:$B"), "")&lt;&gt;"", "✓", "✗"), "✗")
)</f>
        <v/>
      </c>
      <c r="I41">
        <f t="array" ref="I41">IF(
    ISNUMBER(VALUE(LEFT($A41, 1))),
    "",
    IFERROR(IF(_xlfn.XLOOKUP($A41, INDIRECT("'" &amp; I$2 &amp; "'!$A:$A"), INDIRECT("'" &amp; I$2 &amp; "'!$B:$B"), "")&lt;&gt;"", "✓", "✗"), "✗")
)</f>
        <v/>
      </c>
      <c r="J41">
        <f t="array" ref="J41">IF(
    ISNUMBER(VALUE(LEFT($A41, 1))),
    "",
    IFERROR(IF(_xlfn.XLOOKUP($A41, INDIRECT("'" &amp; J$2 &amp; "'!$A:$A"), INDIRECT("'" &amp; J$2 &amp; "'!$B:$B"), "")&lt;&gt;"", "✓", "✗"), "✗")
)</f>
        <v/>
      </c>
      <c r="K41">
        <f t="array" ref="K41">IF(
    ISNUMBER(VALUE(LEFT($A41, 1))),
    "",
    IFERROR(IF(_xlfn.XLOOKUP($A41, INDIRECT("'" &amp; K$2 &amp; "'!$A:$A"), INDIRECT("'" &amp; K$2 &amp; "'!$B:$B"), "")&lt;&gt;"", "✓", "✗"), "✗")
)</f>
        <v/>
      </c>
      <c r="L41">
        <f t="array" ref="L41">IF(
    ISNUMBER(VALUE(LEFT($A41, 1))),
    "",
    IFERROR(IF(_xlfn.XLOOKUP($A41, INDIRECT("'" &amp; L$2 &amp; "'!$A:$A"), INDIRECT("'" &amp; L$2 &amp; "'!$B:$B"), "")&lt;&gt;"", "✓", "✗"), "✗")
)</f>
        <v/>
      </c>
      <c r="M41">
        <f t="array" ref="M41">IF(
    ISNUMBER(VALUE(LEFT($A41, 1))),
    "",
    IFERROR(IF(_xlfn.XLOOKUP($A41, INDIRECT("'" &amp; M$2 &amp; "'!$A:$A"), INDIRECT("'" &amp; M$2 &amp; "'!$B:$B"), "")&lt;&gt;"", "✓", "✗"), "✗")
)</f>
        <v/>
      </c>
      <c r="N41">
        <f t="array" ref="N41">IF(
    ISNUMBER(VALUE(LEFT($A41, 1))),
    "",
    IFERROR(IF(_xlfn.XLOOKUP($A41, INDIRECT("'" &amp; N$2 &amp; "'!$A:$A"), INDIRECT("'" &amp; N$2 &amp; "'!$B:$B"), "")&lt;&gt;"", "✓", "✗"), "✗")
)</f>
        <v/>
      </c>
      <c r="O41">
        <f t="array" ref="O41">IF(
    ISNUMBER(VALUE(LEFT($A41, 1))),
    "",
    IFERROR(IF(_xlfn.XLOOKUP($A41, INDIRECT("'" &amp; O$2 &amp; "'!$A:$A"), INDIRECT("'" &amp; O$2 &amp; "'!$B:$B"), "")&lt;&gt;"", "✓", "✗"), "✗")
)</f>
        <v/>
      </c>
      <c r="P41">
        <f t="array" ref="P41">IF(
    ISNUMBER(VALUE(LEFT($A41, 1))),
    "",
    IFERROR(IF(_xlfn.XLOOKUP($A41, INDIRECT("'" &amp; P$2 &amp; "'!$A:$A"), INDIRECT("'" &amp; P$2 &amp; "'!$B:$B"), "")&lt;&gt;"", "✓", "✗"), "✗")
)</f>
        <v/>
      </c>
      <c r="Q41">
        <f t="array" ref="Q41">IF(
    ISNUMBER(VALUE(LEFT($A41, 1))),
    "",
    IFERROR(IF(_xlfn.XLOOKUP($A41, INDIRECT("'" &amp; Q$2 &amp; "'!$A:$A"), INDIRECT("'" &amp; Q$2 &amp; "'!$B:$B"), "")&lt;&gt;"", "✓", "✗"), "✗")
)</f>
        <v/>
      </c>
      <c r="R41">
        <f t="array" ref="R41">IF(
    ISNUMBER(VALUE(LEFT($A41, 1))),
    "",
    IFERROR(IF(_xlfn.XLOOKUP($A41, INDIRECT("'" &amp; R$2 &amp; "'!$A:$A"), INDIRECT("'" &amp; R$2 &amp; "'!$B:$B"), "")&lt;&gt;"", "✓", "✗"), "✗")
)</f>
        <v/>
      </c>
      <c r="S41">
        <f t="array" ref="S41">IF(
    ISNUMBER(VALUE(LEFT($A41, 1))),
    "",
    IFERROR(IF(_xlfn.XLOOKUP($A41, INDIRECT("'" &amp; S$2 &amp; "'!$A:$A"), INDIRECT("'" &amp; S$2 &amp; "'!$B:$B"), "")&lt;&gt;"", "✓", "✗"), "✗")
)</f>
        <v/>
      </c>
      <c r="T41">
        <f t="array" ref="T41">IF(
    ISNUMBER(VALUE(LEFT($A41, 1))),
    "",
    IFERROR(IF(_xlfn.XLOOKUP($A41, INDIRECT("'" &amp; T$2 &amp; "'!$A:$A"), INDIRECT("'" &amp; T$2 &amp; "'!$B:$B"), "")&lt;&gt;"", "✓", "✗"), "✗")
)</f>
        <v/>
      </c>
      <c r="U41">
        <f t="array" ref="U41">IF(
    ISNUMBER(VALUE(LEFT($A41, 1))),
    "",
    IFERROR(IF(_xlfn.XLOOKUP($A41, INDIRECT("'" &amp; U$2 &amp; "'!$A:$A"), INDIRECT("'" &amp; U$2 &amp; "'!$B:$B"), "")&lt;&gt;"", "✓", "✗"), "✗")
)</f>
        <v/>
      </c>
      <c r="V41">
        <f t="array" ref="V41">IF(
    ISNUMBER(VALUE(LEFT($A41, 1))),
    "",
    IFERROR(IF(_xlfn.XLOOKUP($A41, INDIRECT("'" &amp; V$2 &amp; "'!$A:$A"), INDIRECT("'" &amp; V$2 &amp; "'!$B:$B"), "")&lt;&gt;"", "✓", "✗"), "✗")
)</f>
        <v/>
      </c>
      <c r="W41">
        <f t="array" ref="W41">IF(
    ISNUMBER(VALUE(LEFT($A41, 1))),
    "",
    IFERROR(IF(_xlfn.XLOOKUP($A41, INDIRECT("'" &amp; W$2 &amp; "'!$A:$A"), INDIRECT("'" &amp; W$2 &amp; "'!$B:$B"), "")&lt;&gt;"", "✓", "✗"), "✗")
)</f>
        <v/>
      </c>
      <c r="X41">
        <f t="array" ref="X41">IF(
    ISNUMBER(VALUE(LEFT($A41, 1))),
    "",
    IFERROR(IF(_xlfn.XLOOKUP($A41, INDIRECT("'" &amp; X$2 &amp; "'!$A:$A"), INDIRECT("'" &amp; X$2 &amp; "'!$B:$B"), "")&lt;&gt;"", "✓", "✗"), "✗")
)</f>
        <v/>
      </c>
      <c r="Y41">
        <f t="array" ref="Y41">IF(
    ISNUMBER(VALUE(LEFT($A41, 1))),
    "",
    IFERROR(IF(_xlfn.XLOOKUP($A41, INDIRECT("'" &amp; Y$2 &amp; "'!$A:$A"), INDIRECT("'" &amp; Y$2 &amp; "'!$B:$B"), "")&lt;&gt;"", "✓", "✗"), "✗")
)</f>
        <v/>
      </c>
      <c r="Z41">
        <f t="array" ref="Z41">IF(
    ISNUMBER(VALUE(LEFT($A41, 1))),
    "",
    IFERROR(IF(_xlfn.XLOOKUP($A41, INDIRECT("'" &amp; Z$2 &amp; "'!$A:$A"), INDIRECT("'" &amp; Z$2 &amp; "'!$B:$B"), "")&lt;&gt;"", "✓", "✗"), "✗")
)</f>
        <v/>
      </c>
      <c r="AA41">
        <f t="array" ref="AA41">IF(
    ISNUMBER(VALUE(LEFT($A41, 1))),
    "",
    IFERROR(IF(_xlfn.XLOOKUP($A41, INDIRECT("'" &amp; AA$2 &amp; "'!$A:$A"), INDIRECT("'" &amp; AA$2 &amp; "'!$B:$B"), "")&lt;&gt;"", "✓", "✗"), "✗")
)</f>
        <v/>
      </c>
      <c r="AB41">
        <f t="array" ref="AB41">IF(
    ISNUMBER(VALUE(LEFT($A41, 1))),
    "",
    IFERROR(IF(_xlfn.XLOOKUP($A41, INDIRECT("'" &amp; AB$2 &amp; "'!$A:$A"), INDIRECT("'" &amp; AB$2 &amp; "'!$B:$B"), "")&lt;&gt;"", "✓", "✗"), "✗")
)</f>
        <v/>
      </c>
      <c r="AC41">
        <f t="array" ref="AC41">IF(
    ISNUMBER(VALUE(LEFT($A41, 1))),
    "",
    IFERROR(IF(_xlfn.XLOOKUP($A41, INDIRECT("'" &amp; AC$2 &amp; "'!$A:$A"), INDIRECT("'" &amp; AC$2 &amp; "'!$B:$B"), "")&lt;&gt;"", "✓", "✗"), "✗")
)</f>
        <v/>
      </c>
      <c r="AD41">
        <f t="array" ref="AD41">IF(
    ISNUMBER(VALUE(LEFT($A41, 1))),
    "",
    IFERROR(IF(_xlfn.XLOOKUP($A41, INDIRECT("'" &amp; AD$2 &amp; "'!$A:$A"), INDIRECT("'" &amp; AD$2 &amp; "'!$B:$B"), "")&lt;&gt;"", "✓", "✗"), "✗")
)</f>
        <v/>
      </c>
      <c r="AE41">
        <f t="array" ref="AE41">IF(
    ISNUMBER(VALUE(LEFT($A41, 1))),
    "",
    IFERROR(IF(_xlfn.XLOOKUP($A41, INDIRECT("'" &amp; AE$2 &amp; "'!$A:$A"), INDIRECT("'" &amp; AE$2 &amp; "'!$B:$B"), "")&lt;&gt;"", "✓", "✗"), "✗")
)</f>
        <v/>
      </c>
      <c r="AF41">
        <f t="array" ref="AF41">IF(
    ISNUMBER(VALUE(LEFT($A41, 1))),
    "",
    IFERROR(IF(_xlfn.XLOOKUP($A41, INDIRECT("'" &amp; AF$2 &amp; "'!$A:$A"), INDIRECT("'" &amp; AF$2 &amp; "'!$B:$B"), "")&lt;&gt;"", "✓", "✗"), "✗")
)</f>
        <v/>
      </c>
      <c r="AG41">
        <f t="array" ref="AG41">IF(
    ISNUMBER(VALUE(LEFT($A41, 1))),
    "",
    IFERROR(IF(_xlfn.XLOOKUP($A41, INDIRECT("'" &amp; AG$2 &amp; "'!$A:$A"), INDIRECT("'" &amp; AG$2 &amp; "'!$B:$B"), "")&lt;&gt;"", "✓", "✗"), "✗")
)</f>
        <v/>
      </c>
    </row>
    <row r="42">
      <c r="A42" t="inlineStr">
        <is>
          <t>Vertical Market</t>
        </is>
      </c>
      <c r="B42">
        <f t="array" ref="B42">IF(
    ISNUMBER(VALUE(LEFT($A42, 1))),
    "",
    IFERROR(IF(_xlfn.XLOOKUP($A42, INDIRECT("'" &amp; B$2 &amp; "'!$A:$A"), INDIRECT("'" &amp; B$2 &amp; "'!$B:$B"), "")&lt;&gt;"", "✓", "✗"), "✗")
)</f>
        <v/>
      </c>
      <c r="C42">
        <f t="array" ref="C42">IF(
    ISNUMBER(VALUE(LEFT($A42, 1))),
    "",
    IFERROR(IF(_xlfn.XLOOKUP($A42, INDIRECT("'" &amp; C$2 &amp; "'!$A:$A"), INDIRECT("'" &amp; C$2 &amp; "'!$B:$B"), "")&lt;&gt;"", "✓", "✗"), "✗")
)</f>
        <v/>
      </c>
      <c r="D42">
        <f t="array" ref="D42">IF(
    ISNUMBER(VALUE(LEFT($A42, 1))),
    "",
    IFERROR(IF(_xlfn.XLOOKUP($A42, INDIRECT("'" &amp; D$2 &amp; "'!$A:$A"), INDIRECT("'" &amp; D$2 &amp; "'!$B:$B"), "")&lt;&gt;"", "✓", "✗"), "✗")
)</f>
        <v/>
      </c>
      <c r="E42">
        <f t="array" ref="E42">IF(
    ISNUMBER(VALUE(LEFT($A42, 1))),
    "",
    IFERROR(IF(_xlfn.XLOOKUP($A42, INDIRECT("'" &amp; E$2 &amp; "'!$A:$A"), INDIRECT("'" &amp; E$2 &amp; "'!$B:$B"), "")&lt;&gt;"", "✓", "✗"), "✗")
)</f>
        <v/>
      </c>
      <c r="F42">
        <f t="array" ref="F42">IF(
    ISNUMBER(VALUE(LEFT($A42, 1))),
    "",
    IFERROR(IF(_xlfn.XLOOKUP($A42, INDIRECT("'" &amp; F$2 &amp; "'!$A:$A"), INDIRECT("'" &amp; F$2 &amp; "'!$B:$B"), "")&lt;&gt;"", "✓", "✗"), "✗")
)</f>
        <v/>
      </c>
      <c r="G42">
        <f t="array" ref="G42">IF(
    ISNUMBER(VALUE(LEFT($A42, 1))),
    "",
    IFERROR(IF(_xlfn.XLOOKUP($A42, INDIRECT("'" &amp; G$2 &amp; "'!$A:$A"), INDIRECT("'" &amp; G$2 &amp; "'!$B:$B"), "")&lt;&gt;"", "✓", "✗"), "✗")
)</f>
        <v/>
      </c>
      <c r="H42">
        <f t="array" ref="H42">IF(
    ISNUMBER(VALUE(LEFT($A42, 1))),
    "",
    IFERROR(IF(_xlfn.XLOOKUP($A42, INDIRECT("'" &amp; H$2 &amp; "'!$A:$A"), INDIRECT("'" &amp; H$2 &amp; "'!$B:$B"), "")&lt;&gt;"", "✓", "✗"), "✗")
)</f>
        <v/>
      </c>
      <c r="I42">
        <f t="array" ref="I42">IF(
    ISNUMBER(VALUE(LEFT($A42, 1))),
    "",
    IFERROR(IF(_xlfn.XLOOKUP($A42, INDIRECT("'" &amp; I$2 &amp; "'!$A:$A"), INDIRECT("'" &amp; I$2 &amp; "'!$B:$B"), "")&lt;&gt;"", "✓", "✗"), "✗")
)</f>
        <v/>
      </c>
      <c r="J42">
        <f t="array" ref="J42">IF(
    ISNUMBER(VALUE(LEFT($A42, 1))),
    "",
    IFERROR(IF(_xlfn.XLOOKUP($A42, INDIRECT("'" &amp; J$2 &amp; "'!$A:$A"), INDIRECT("'" &amp; J$2 &amp; "'!$B:$B"), "")&lt;&gt;"", "✓", "✗"), "✗")
)</f>
        <v/>
      </c>
      <c r="K42">
        <f t="array" ref="K42">IF(
    ISNUMBER(VALUE(LEFT($A42, 1))),
    "",
    IFERROR(IF(_xlfn.XLOOKUP($A42, INDIRECT("'" &amp; K$2 &amp; "'!$A:$A"), INDIRECT("'" &amp; K$2 &amp; "'!$B:$B"), "")&lt;&gt;"", "✓", "✗"), "✗")
)</f>
        <v/>
      </c>
      <c r="L42">
        <f t="array" ref="L42">IF(
    ISNUMBER(VALUE(LEFT($A42, 1))),
    "",
    IFERROR(IF(_xlfn.XLOOKUP($A42, INDIRECT("'" &amp; L$2 &amp; "'!$A:$A"), INDIRECT("'" &amp; L$2 &amp; "'!$B:$B"), "")&lt;&gt;"", "✓", "✗"), "✗")
)</f>
        <v/>
      </c>
      <c r="M42">
        <f t="array" ref="M42">IF(
    ISNUMBER(VALUE(LEFT($A42, 1))),
    "",
    IFERROR(IF(_xlfn.XLOOKUP($A42, INDIRECT("'" &amp; M$2 &amp; "'!$A:$A"), INDIRECT("'" &amp; M$2 &amp; "'!$B:$B"), "")&lt;&gt;"", "✓", "✗"), "✗")
)</f>
        <v/>
      </c>
      <c r="N42">
        <f t="array" ref="N42">IF(
    ISNUMBER(VALUE(LEFT($A42, 1))),
    "",
    IFERROR(IF(_xlfn.XLOOKUP($A42, INDIRECT("'" &amp; N$2 &amp; "'!$A:$A"), INDIRECT("'" &amp; N$2 &amp; "'!$B:$B"), "")&lt;&gt;"", "✓", "✗"), "✗")
)</f>
        <v/>
      </c>
      <c r="O42">
        <f t="array" ref="O42">IF(
    ISNUMBER(VALUE(LEFT($A42, 1))),
    "",
    IFERROR(IF(_xlfn.XLOOKUP($A42, INDIRECT("'" &amp; O$2 &amp; "'!$A:$A"), INDIRECT("'" &amp; O$2 &amp; "'!$B:$B"), "")&lt;&gt;"", "✓", "✗"), "✗")
)</f>
        <v/>
      </c>
      <c r="P42">
        <f t="array" ref="P42">IF(
    ISNUMBER(VALUE(LEFT($A42, 1))),
    "",
    IFERROR(IF(_xlfn.XLOOKUP($A42, INDIRECT("'" &amp; P$2 &amp; "'!$A:$A"), INDIRECT("'" &amp; P$2 &amp; "'!$B:$B"), "")&lt;&gt;"", "✓", "✗"), "✗")
)</f>
        <v/>
      </c>
      <c r="Q42">
        <f t="array" ref="Q42">IF(
    ISNUMBER(VALUE(LEFT($A42, 1))),
    "",
    IFERROR(IF(_xlfn.XLOOKUP($A42, INDIRECT("'" &amp; Q$2 &amp; "'!$A:$A"), INDIRECT("'" &amp; Q$2 &amp; "'!$B:$B"), "")&lt;&gt;"", "✓", "✗"), "✗")
)</f>
        <v/>
      </c>
      <c r="R42">
        <f t="array" ref="R42">IF(
    ISNUMBER(VALUE(LEFT($A42, 1))),
    "",
    IFERROR(IF(_xlfn.XLOOKUP($A42, INDIRECT("'" &amp; R$2 &amp; "'!$A:$A"), INDIRECT("'" &amp; R$2 &amp; "'!$B:$B"), "")&lt;&gt;"", "✓", "✗"), "✗")
)</f>
        <v/>
      </c>
      <c r="S42">
        <f t="array" ref="S42">IF(
    ISNUMBER(VALUE(LEFT($A42, 1))),
    "",
    IFERROR(IF(_xlfn.XLOOKUP($A42, INDIRECT("'" &amp; S$2 &amp; "'!$A:$A"), INDIRECT("'" &amp; S$2 &amp; "'!$B:$B"), "")&lt;&gt;"", "✓", "✗"), "✗")
)</f>
        <v/>
      </c>
      <c r="T42">
        <f t="array" ref="T42">IF(
    ISNUMBER(VALUE(LEFT($A42, 1))),
    "",
    IFERROR(IF(_xlfn.XLOOKUP($A42, INDIRECT("'" &amp; T$2 &amp; "'!$A:$A"), INDIRECT("'" &amp; T$2 &amp; "'!$B:$B"), "")&lt;&gt;"", "✓", "✗"), "✗")
)</f>
        <v/>
      </c>
      <c r="U42">
        <f t="array" ref="U42">IF(
    ISNUMBER(VALUE(LEFT($A42, 1))),
    "",
    IFERROR(IF(_xlfn.XLOOKUP($A42, INDIRECT("'" &amp; U$2 &amp; "'!$A:$A"), INDIRECT("'" &amp; U$2 &amp; "'!$B:$B"), "")&lt;&gt;"", "✓", "✗"), "✗")
)</f>
        <v/>
      </c>
      <c r="V42">
        <f t="array" ref="V42">IF(
    ISNUMBER(VALUE(LEFT($A42, 1))),
    "",
    IFERROR(IF(_xlfn.XLOOKUP($A42, INDIRECT("'" &amp; V$2 &amp; "'!$A:$A"), INDIRECT("'" &amp; V$2 &amp; "'!$B:$B"), "")&lt;&gt;"", "✓", "✗"), "✗")
)</f>
        <v/>
      </c>
      <c r="W42">
        <f t="array" ref="W42">IF(
    ISNUMBER(VALUE(LEFT($A42, 1))),
    "",
    IFERROR(IF(_xlfn.XLOOKUP($A42, INDIRECT("'" &amp; W$2 &amp; "'!$A:$A"), INDIRECT("'" &amp; W$2 &amp; "'!$B:$B"), "")&lt;&gt;"", "✓", "✗"), "✗")
)</f>
        <v/>
      </c>
      <c r="X42">
        <f t="array" ref="X42">IF(
    ISNUMBER(VALUE(LEFT($A42, 1))),
    "",
    IFERROR(IF(_xlfn.XLOOKUP($A42, INDIRECT("'" &amp; X$2 &amp; "'!$A:$A"), INDIRECT("'" &amp; X$2 &amp; "'!$B:$B"), "")&lt;&gt;"", "✓", "✗"), "✗")
)</f>
        <v/>
      </c>
      <c r="Y42">
        <f t="array" ref="Y42">IF(
    ISNUMBER(VALUE(LEFT($A42, 1))),
    "",
    IFERROR(IF(_xlfn.XLOOKUP($A42, INDIRECT("'" &amp; Y$2 &amp; "'!$A:$A"), INDIRECT("'" &amp; Y$2 &amp; "'!$B:$B"), "")&lt;&gt;"", "✓", "✗"), "✗")
)</f>
        <v/>
      </c>
      <c r="Z42">
        <f t="array" ref="Z42">IF(
    ISNUMBER(VALUE(LEFT($A42, 1))),
    "",
    IFERROR(IF(_xlfn.XLOOKUP($A42, INDIRECT("'" &amp; Z$2 &amp; "'!$A:$A"), INDIRECT("'" &amp; Z$2 &amp; "'!$B:$B"), "")&lt;&gt;"", "✓", "✗"), "✗")
)</f>
        <v/>
      </c>
      <c r="AA42">
        <f t="array" ref="AA42">IF(
    ISNUMBER(VALUE(LEFT($A42, 1))),
    "",
    IFERROR(IF(_xlfn.XLOOKUP($A42, INDIRECT("'" &amp; AA$2 &amp; "'!$A:$A"), INDIRECT("'" &amp; AA$2 &amp; "'!$B:$B"), "")&lt;&gt;"", "✓", "✗"), "✗")
)</f>
        <v/>
      </c>
      <c r="AB42">
        <f t="array" ref="AB42">IF(
    ISNUMBER(VALUE(LEFT($A42, 1))),
    "",
    IFERROR(IF(_xlfn.XLOOKUP($A42, INDIRECT("'" &amp; AB$2 &amp; "'!$A:$A"), INDIRECT("'" &amp; AB$2 &amp; "'!$B:$B"), "")&lt;&gt;"", "✓", "✗"), "✗")
)</f>
        <v/>
      </c>
      <c r="AC42">
        <f t="array" ref="AC42">IF(
    ISNUMBER(VALUE(LEFT($A42, 1))),
    "",
    IFERROR(IF(_xlfn.XLOOKUP($A42, INDIRECT("'" &amp; AC$2 &amp; "'!$A:$A"), INDIRECT("'" &amp; AC$2 &amp; "'!$B:$B"), "")&lt;&gt;"", "✓", "✗"), "✗")
)</f>
        <v/>
      </c>
      <c r="AD42">
        <f t="array" ref="AD42">IF(
    ISNUMBER(VALUE(LEFT($A42, 1))),
    "",
    IFERROR(IF(_xlfn.XLOOKUP($A42, INDIRECT("'" &amp; AD$2 &amp; "'!$A:$A"), INDIRECT("'" &amp; AD$2 &amp; "'!$B:$B"), "")&lt;&gt;"", "✓", "✗"), "✗")
)</f>
        <v/>
      </c>
      <c r="AE42">
        <f t="array" ref="AE42">IF(
    ISNUMBER(VALUE(LEFT($A42, 1))),
    "",
    IFERROR(IF(_xlfn.XLOOKUP($A42, INDIRECT("'" &amp; AE$2 &amp; "'!$A:$A"), INDIRECT("'" &amp; AE$2 &amp; "'!$B:$B"), "")&lt;&gt;"", "✓", "✗"), "✗")
)</f>
        <v/>
      </c>
      <c r="AF42">
        <f t="array" ref="AF42">IF(
    ISNUMBER(VALUE(LEFT($A42, 1))),
    "",
    IFERROR(IF(_xlfn.XLOOKUP($A42, INDIRECT("'" &amp; AF$2 &amp; "'!$A:$A"), INDIRECT("'" &amp; AF$2 &amp; "'!$B:$B"), "")&lt;&gt;"", "✓", "✗"), "✗")
)</f>
        <v/>
      </c>
      <c r="AG42">
        <f t="array" ref="AG42">IF(
    ISNUMBER(VALUE(LEFT($A42, 1))),
    "",
    IFERROR(IF(_xlfn.XLOOKUP($A42, INDIRECT("'" &amp; AG$2 &amp; "'!$A:$A"), INDIRECT("'" &amp; AG$2 &amp; "'!$B:$B"), "")&lt;&gt;"", "✓", "✗"), "✗")
)</f>
        <v/>
      </c>
    </row>
    <row r="43">
      <c r="A43" t="inlineStr">
        <is>
          <t>Website URL</t>
        </is>
      </c>
      <c r="B43">
        <f t="array" ref="B43">IF(
    ISNUMBER(VALUE(LEFT($A43, 1))),
    "",
    IFERROR(IF(_xlfn.XLOOKUP($A43, INDIRECT("'" &amp; B$2 &amp; "'!$A:$A"), INDIRECT("'" &amp; B$2 &amp; "'!$B:$B"), "")&lt;&gt;"", "✓", "✗"), "✗")
)</f>
        <v/>
      </c>
      <c r="C43">
        <f t="array" ref="C43">IF(
    ISNUMBER(VALUE(LEFT($A43, 1))),
    "",
    IFERROR(IF(_xlfn.XLOOKUP($A43, INDIRECT("'" &amp; C$2 &amp; "'!$A:$A"), INDIRECT("'" &amp; C$2 &amp; "'!$B:$B"), "")&lt;&gt;"", "✓", "✗"), "✗")
)</f>
        <v/>
      </c>
      <c r="D43">
        <f t="array" ref="D43">IF(
    ISNUMBER(VALUE(LEFT($A43, 1))),
    "",
    IFERROR(IF(_xlfn.XLOOKUP($A43, INDIRECT("'" &amp; D$2 &amp; "'!$A:$A"), INDIRECT("'" &amp; D$2 &amp; "'!$B:$B"), "")&lt;&gt;"", "✓", "✗"), "✗")
)</f>
        <v/>
      </c>
      <c r="E43">
        <f t="array" ref="E43">IF(
    ISNUMBER(VALUE(LEFT($A43, 1))),
    "",
    IFERROR(IF(_xlfn.XLOOKUP($A43, INDIRECT("'" &amp; E$2 &amp; "'!$A:$A"), INDIRECT("'" &amp; E$2 &amp; "'!$B:$B"), "")&lt;&gt;"", "✓", "✗"), "✗")
)</f>
        <v/>
      </c>
      <c r="F43">
        <f t="array" ref="F43">IF(
    ISNUMBER(VALUE(LEFT($A43, 1))),
    "",
    IFERROR(IF(_xlfn.XLOOKUP($A43, INDIRECT("'" &amp; F$2 &amp; "'!$A:$A"), INDIRECT("'" &amp; F$2 &amp; "'!$B:$B"), "")&lt;&gt;"", "✓", "✗"), "✗")
)</f>
        <v/>
      </c>
      <c r="G43">
        <f t="array" ref="G43">IF(
    ISNUMBER(VALUE(LEFT($A43, 1))),
    "",
    IFERROR(IF(_xlfn.XLOOKUP($A43, INDIRECT("'" &amp; G$2 &amp; "'!$A:$A"), INDIRECT("'" &amp; G$2 &amp; "'!$B:$B"), "")&lt;&gt;"", "✓", "✗"), "✗")
)</f>
        <v/>
      </c>
      <c r="H43">
        <f t="array" ref="H43">IF(
    ISNUMBER(VALUE(LEFT($A43, 1))),
    "",
    IFERROR(IF(_xlfn.XLOOKUP($A43, INDIRECT("'" &amp; H$2 &amp; "'!$A:$A"), INDIRECT("'" &amp; H$2 &amp; "'!$B:$B"), "")&lt;&gt;"", "✓", "✗"), "✗")
)</f>
        <v/>
      </c>
      <c r="I43">
        <f t="array" ref="I43">IF(
    ISNUMBER(VALUE(LEFT($A43, 1))),
    "",
    IFERROR(IF(_xlfn.XLOOKUP($A43, INDIRECT("'" &amp; I$2 &amp; "'!$A:$A"), INDIRECT("'" &amp; I$2 &amp; "'!$B:$B"), "")&lt;&gt;"", "✓", "✗"), "✗")
)</f>
        <v/>
      </c>
      <c r="J43">
        <f t="array" ref="J43">IF(
    ISNUMBER(VALUE(LEFT($A43, 1))),
    "",
    IFERROR(IF(_xlfn.XLOOKUP($A43, INDIRECT("'" &amp; J$2 &amp; "'!$A:$A"), INDIRECT("'" &amp; J$2 &amp; "'!$B:$B"), "")&lt;&gt;"", "✓", "✗"), "✗")
)</f>
        <v/>
      </c>
      <c r="K43">
        <f t="array" ref="K43">IF(
    ISNUMBER(VALUE(LEFT($A43, 1))),
    "",
    IFERROR(IF(_xlfn.XLOOKUP($A43, INDIRECT("'" &amp; K$2 &amp; "'!$A:$A"), INDIRECT("'" &amp; K$2 &amp; "'!$B:$B"), "")&lt;&gt;"", "✓", "✗"), "✗")
)</f>
        <v/>
      </c>
      <c r="L43">
        <f t="array" ref="L43">IF(
    ISNUMBER(VALUE(LEFT($A43, 1))),
    "",
    IFERROR(IF(_xlfn.XLOOKUP($A43, INDIRECT("'" &amp; L$2 &amp; "'!$A:$A"), INDIRECT("'" &amp; L$2 &amp; "'!$B:$B"), "")&lt;&gt;"", "✓", "✗"), "✗")
)</f>
        <v/>
      </c>
      <c r="M43">
        <f t="array" ref="M43">IF(
    ISNUMBER(VALUE(LEFT($A43, 1))),
    "",
    IFERROR(IF(_xlfn.XLOOKUP($A43, INDIRECT("'" &amp; M$2 &amp; "'!$A:$A"), INDIRECT("'" &amp; M$2 &amp; "'!$B:$B"), "")&lt;&gt;"", "✓", "✗"), "✗")
)</f>
        <v/>
      </c>
      <c r="N43">
        <f t="array" ref="N43">IF(
    ISNUMBER(VALUE(LEFT($A43, 1))),
    "",
    IFERROR(IF(_xlfn.XLOOKUP($A43, INDIRECT("'" &amp; N$2 &amp; "'!$A:$A"), INDIRECT("'" &amp; N$2 &amp; "'!$B:$B"), "")&lt;&gt;"", "✓", "✗"), "✗")
)</f>
        <v/>
      </c>
      <c r="O43">
        <f t="array" ref="O43">IF(
    ISNUMBER(VALUE(LEFT($A43, 1))),
    "",
    IFERROR(IF(_xlfn.XLOOKUP($A43, INDIRECT("'" &amp; O$2 &amp; "'!$A:$A"), INDIRECT("'" &amp; O$2 &amp; "'!$B:$B"), "")&lt;&gt;"", "✓", "✗"), "✗")
)</f>
        <v/>
      </c>
      <c r="P43">
        <f t="array" ref="P43">IF(
    ISNUMBER(VALUE(LEFT($A43, 1))),
    "",
    IFERROR(IF(_xlfn.XLOOKUP($A43, INDIRECT("'" &amp; P$2 &amp; "'!$A:$A"), INDIRECT("'" &amp; P$2 &amp; "'!$B:$B"), "")&lt;&gt;"", "✓", "✗"), "✗")
)</f>
        <v/>
      </c>
      <c r="Q43">
        <f t="array" ref="Q43">IF(
    ISNUMBER(VALUE(LEFT($A43, 1))),
    "",
    IFERROR(IF(_xlfn.XLOOKUP($A43, INDIRECT("'" &amp; Q$2 &amp; "'!$A:$A"), INDIRECT("'" &amp; Q$2 &amp; "'!$B:$B"), "")&lt;&gt;"", "✓", "✗"), "✗")
)</f>
        <v/>
      </c>
      <c r="R43">
        <f t="array" ref="R43">IF(
    ISNUMBER(VALUE(LEFT($A43, 1))),
    "",
    IFERROR(IF(_xlfn.XLOOKUP($A43, INDIRECT("'" &amp; R$2 &amp; "'!$A:$A"), INDIRECT("'" &amp; R$2 &amp; "'!$B:$B"), "")&lt;&gt;"", "✓", "✗"), "✗")
)</f>
        <v/>
      </c>
      <c r="S43">
        <f t="array" ref="S43">IF(
    ISNUMBER(VALUE(LEFT($A43, 1))),
    "",
    IFERROR(IF(_xlfn.XLOOKUP($A43, INDIRECT("'" &amp; S$2 &amp; "'!$A:$A"), INDIRECT("'" &amp; S$2 &amp; "'!$B:$B"), "")&lt;&gt;"", "✓", "✗"), "✗")
)</f>
        <v/>
      </c>
      <c r="T43">
        <f t="array" ref="T43">IF(
    ISNUMBER(VALUE(LEFT($A43, 1))),
    "",
    IFERROR(IF(_xlfn.XLOOKUP($A43, INDIRECT("'" &amp; T$2 &amp; "'!$A:$A"), INDIRECT("'" &amp; T$2 &amp; "'!$B:$B"), "")&lt;&gt;"", "✓", "✗"), "✗")
)</f>
        <v/>
      </c>
      <c r="U43">
        <f t="array" ref="U43">IF(
    ISNUMBER(VALUE(LEFT($A43, 1))),
    "",
    IFERROR(IF(_xlfn.XLOOKUP($A43, INDIRECT("'" &amp; U$2 &amp; "'!$A:$A"), INDIRECT("'" &amp; U$2 &amp; "'!$B:$B"), "")&lt;&gt;"", "✓", "✗"), "✗")
)</f>
        <v/>
      </c>
      <c r="V43">
        <f t="array" ref="V43">IF(
    ISNUMBER(VALUE(LEFT($A43, 1))),
    "",
    IFERROR(IF(_xlfn.XLOOKUP($A43, INDIRECT("'" &amp; V$2 &amp; "'!$A:$A"), INDIRECT("'" &amp; V$2 &amp; "'!$B:$B"), "")&lt;&gt;"", "✓", "✗"), "✗")
)</f>
        <v/>
      </c>
      <c r="W43">
        <f t="array" ref="W43">IF(
    ISNUMBER(VALUE(LEFT($A43, 1))),
    "",
    IFERROR(IF(_xlfn.XLOOKUP($A43, INDIRECT("'" &amp; W$2 &amp; "'!$A:$A"), INDIRECT("'" &amp; W$2 &amp; "'!$B:$B"), "")&lt;&gt;"", "✓", "✗"), "✗")
)</f>
        <v/>
      </c>
      <c r="X43">
        <f t="array" ref="X43">IF(
    ISNUMBER(VALUE(LEFT($A43, 1))),
    "",
    IFERROR(IF(_xlfn.XLOOKUP($A43, INDIRECT("'" &amp; X$2 &amp; "'!$A:$A"), INDIRECT("'" &amp; X$2 &amp; "'!$B:$B"), "")&lt;&gt;"", "✓", "✗"), "✗")
)</f>
        <v/>
      </c>
      <c r="Y43">
        <f t="array" ref="Y43">IF(
    ISNUMBER(VALUE(LEFT($A43, 1))),
    "",
    IFERROR(IF(_xlfn.XLOOKUP($A43, INDIRECT("'" &amp; Y$2 &amp; "'!$A:$A"), INDIRECT("'" &amp; Y$2 &amp; "'!$B:$B"), "")&lt;&gt;"", "✓", "✗"), "✗")
)</f>
        <v/>
      </c>
      <c r="Z43">
        <f t="array" ref="Z43">IF(
    ISNUMBER(VALUE(LEFT($A43, 1))),
    "",
    IFERROR(IF(_xlfn.XLOOKUP($A43, INDIRECT("'" &amp; Z$2 &amp; "'!$A:$A"), INDIRECT("'" &amp; Z$2 &amp; "'!$B:$B"), "")&lt;&gt;"", "✓", "✗"), "✗")
)</f>
        <v/>
      </c>
      <c r="AA43">
        <f t="array" ref="AA43">IF(
    ISNUMBER(VALUE(LEFT($A43, 1))),
    "",
    IFERROR(IF(_xlfn.XLOOKUP($A43, INDIRECT("'" &amp; AA$2 &amp; "'!$A:$A"), INDIRECT("'" &amp; AA$2 &amp; "'!$B:$B"), "")&lt;&gt;"", "✓", "✗"), "✗")
)</f>
        <v/>
      </c>
      <c r="AB43">
        <f t="array" ref="AB43">IF(
    ISNUMBER(VALUE(LEFT($A43, 1))),
    "",
    IFERROR(IF(_xlfn.XLOOKUP($A43, INDIRECT("'" &amp; AB$2 &amp; "'!$A:$A"), INDIRECT("'" &amp; AB$2 &amp; "'!$B:$B"), "")&lt;&gt;"", "✓", "✗"), "✗")
)</f>
        <v/>
      </c>
      <c r="AC43">
        <f t="array" ref="AC43">IF(
    ISNUMBER(VALUE(LEFT($A43, 1))),
    "",
    IFERROR(IF(_xlfn.XLOOKUP($A43, INDIRECT("'" &amp; AC$2 &amp; "'!$A:$A"), INDIRECT("'" &amp; AC$2 &amp; "'!$B:$B"), "")&lt;&gt;"", "✓", "✗"), "✗")
)</f>
        <v/>
      </c>
      <c r="AD43">
        <f t="array" ref="AD43">IF(
    ISNUMBER(VALUE(LEFT($A43, 1))),
    "",
    IFERROR(IF(_xlfn.XLOOKUP($A43, INDIRECT("'" &amp; AD$2 &amp; "'!$A:$A"), INDIRECT("'" &amp; AD$2 &amp; "'!$B:$B"), "")&lt;&gt;"", "✓", "✗"), "✗")
)</f>
        <v/>
      </c>
      <c r="AE43">
        <f t="array" ref="AE43">IF(
    ISNUMBER(VALUE(LEFT($A43, 1))),
    "",
    IFERROR(IF(_xlfn.XLOOKUP($A43, INDIRECT("'" &amp; AE$2 &amp; "'!$A:$A"), INDIRECT("'" &amp; AE$2 &amp; "'!$B:$B"), "")&lt;&gt;"", "✓", "✗"), "✗")
)</f>
        <v/>
      </c>
      <c r="AF43">
        <f t="array" ref="AF43">IF(
    ISNUMBER(VALUE(LEFT($A43, 1))),
    "",
    IFERROR(IF(_xlfn.XLOOKUP($A43, INDIRECT("'" &amp; AF$2 &amp; "'!$A:$A"), INDIRECT("'" &amp; AF$2 &amp; "'!$B:$B"), "")&lt;&gt;"", "✓", "✗"), "✗")
)</f>
        <v/>
      </c>
      <c r="AG43">
        <f t="array" ref="AG43">IF(
    ISNUMBER(VALUE(LEFT($A43, 1))),
    "",
    IFERROR(IF(_xlfn.XLOOKUP($A43, INDIRECT("'" &amp; AG$2 &amp; "'!$A:$A"), INDIRECT("'" &amp; AG$2 &amp; "'!$B:$B"), "")&lt;&gt;"", "✓", "✗"), "✗")
)</f>
        <v/>
      </c>
    </row>
    <row r="44">
      <c r="A44" t="inlineStr">
        <is>
          <t>Phone Extension</t>
        </is>
      </c>
      <c r="B44">
        <f t="array" ref="B44">IF(
    ISNUMBER(VALUE(LEFT($A44, 1))),
    "",
    IFERROR(IF(_xlfn.XLOOKUP($A44, INDIRECT("'" &amp; B$2 &amp; "'!$A:$A"), INDIRECT("'" &amp; B$2 &amp; "'!$B:$B"), "")&lt;&gt;"", "✓", "✗"), "✗")
)</f>
        <v/>
      </c>
      <c r="C44">
        <f t="array" ref="C44">IF(
    ISNUMBER(VALUE(LEFT($A44, 1))),
    "",
    IFERROR(IF(_xlfn.XLOOKUP($A44, INDIRECT("'" &amp; C$2 &amp; "'!$A:$A"), INDIRECT("'" &amp; C$2 &amp; "'!$B:$B"), "")&lt;&gt;"", "✓", "✗"), "✗")
)</f>
        <v/>
      </c>
      <c r="D44">
        <f t="array" ref="D44">IF(
    ISNUMBER(VALUE(LEFT($A44, 1))),
    "",
    IFERROR(IF(_xlfn.XLOOKUP($A44, INDIRECT("'" &amp; D$2 &amp; "'!$A:$A"), INDIRECT("'" &amp; D$2 &amp; "'!$B:$B"), "")&lt;&gt;"", "✓", "✗"), "✗")
)</f>
        <v/>
      </c>
      <c r="E44">
        <f t="array" ref="E44">IF(
    ISNUMBER(VALUE(LEFT($A44, 1))),
    "",
    IFERROR(IF(_xlfn.XLOOKUP($A44, INDIRECT("'" &amp; E$2 &amp; "'!$A:$A"), INDIRECT("'" &amp; E$2 &amp; "'!$B:$B"), "")&lt;&gt;"", "✓", "✗"), "✗")
)</f>
        <v/>
      </c>
      <c r="F44">
        <f t="array" ref="F44">IF(
    ISNUMBER(VALUE(LEFT($A44, 1))),
    "",
    IFERROR(IF(_xlfn.XLOOKUP($A44, INDIRECT("'" &amp; F$2 &amp; "'!$A:$A"), INDIRECT("'" &amp; F$2 &amp; "'!$B:$B"), "")&lt;&gt;"", "✓", "✗"), "✗")
)</f>
        <v/>
      </c>
      <c r="G44">
        <f t="array" ref="G44">IF(
    ISNUMBER(VALUE(LEFT($A44, 1))),
    "",
    IFERROR(IF(_xlfn.XLOOKUP($A44, INDIRECT("'" &amp; G$2 &amp; "'!$A:$A"), INDIRECT("'" &amp; G$2 &amp; "'!$B:$B"), "")&lt;&gt;"", "✓", "✗"), "✗")
)</f>
        <v/>
      </c>
      <c r="H44">
        <f t="array" ref="H44">IF(
    ISNUMBER(VALUE(LEFT($A44, 1))),
    "",
    IFERROR(IF(_xlfn.XLOOKUP($A44, INDIRECT("'" &amp; H$2 &amp; "'!$A:$A"), INDIRECT("'" &amp; H$2 &amp; "'!$B:$B"), "")&lt;&gt;"", "✓", "✗"), "✗")
)</f>
        <v/>
      </c>
      <c r="I44">
        <f t="array" ref="I44">IF(
    ISNUMBER(VALUE(LEFT($A44, 1))),
    "",
    IFERROR(IF(_xlfn.XLOOKUP($A44, INDIRECT("'" &amp; I$2 &amp; "'!$A:$A"), INDIRECT("'" &amp; I$2 &amp; "'!$B:$B"), "")&lt;&gt;"", "✓", "✗"), "✗")
)</f>
        <v/>
      </c>
      <c r="J44">
        <f t="array" ref="J44">IF(
    ISNUMBER(VALUE(LEFT($A44, 1))),
    "",
    IFERROR(IF(_xlfn.XLOOKUP($A44, INDIRECT("'" &amp; J$2 &amp; "'!$A:$A"), INDIRECT("'" &amp; J$2 &amp; "'!$B:$B"), "")&lt;&gt;"", "✓", "✗"), "✗")
)</f>
        <v/>
      </c>
      <c r="K44">
        <f t="array" ref="K44">IF(
    ISNUMBER(VALUE(LEFT($A44, 1))),
    "",
    IFERROR(IF(_xlfn.XLOOKUP($A44, INDIRECT("'" &amp; K$2 &amp; "'!$A:$A"), INDIRECT("'" &amp; K$2 &amp; "'!$B:$B"), "")&lt;&gt;"", "✓", "✗"), "✗")
)</f>
        <v/>
      </c>
      <c r="L44">
        <f t="array" ref="L44">IF(
    ISNUMBER(VALUE(LEFT($A44, 1))),
    "",
    IFERROR(IF(_xlfn.XLOOKUP($A44, INDIRECT("'" &amp; L$2 &amp; "'!$A:$A"), INDIRECT("'" &amp; L$2 &amp; "'!$B:$B"), "")&lt;&gt;"", "✓", "✗"), "✗")
)</f>
        <v/>
      </c>
      <c r="M44">
        <f t="array" ref="M44">IF(
    ISNUMBER(VALUE(LEFT($A44, 1))),
    "",
    IFERROR(IF(_xlfn.XLOOKUP($A44, INDIRECT("'" &amp; M$2 &amp; "'!$A:$A"), INDIRECT("'" &amp; M$2 &amp; "'!$B:$B"), "")&lt;&gt;"", "✓", "✗"), "✗")
)</f>
        <v/>
      </c>
      <c r="N44">
        <f t="array" ref="N44">IF(
    ISNUMBER(VALUE(LEFT($A44, 1))),
    "",
    IFERROR(IF(_xlfn.XLOOKUP($A44, INDIRECT("'" &amp; N$2 &amp; "'!$A:$A"), INDIRECT("'" &amp; N$2 &amp; "'!$B:$B"), "")&lt;&gt;"", "✓", "✗"), "✗")
)</f>
        <v/>
      </c>
      <c r="O44">
        <f t="array" ref="O44">IF(
    ISNUMBER(VALUE(LEFT($A44, 1))),
    "",
    IFERROR(IF(_xlfn.XLOOKUP($A44, INDIRECT("'" &amp; O$2 &amp; "'!$A:$A"), INDIRECT("'" &amp; O$2 &amp; "'!$B:$B"), "")&lt;&gt;"", "✓", "✗"), "✗")
)</f>
        <v/>
      </c>
      <c r="P44">
        <f t="array" ref="P44">IF(
    ISNUMBER(VALUE(LEFT($A44, 1))),
    "",
    IFERROR(IF(_xlfn.XLOOKUP($A44, INDIRECT("'" &amp; P$2 &amp; "'!$A:$A"), INDIRECT("'" &amp; P$2 &amp; "'!$B:$B"), "")&lt;&gt;"", "✓", "✗"), "✗")
)</f>
        <v/>
      </c>
      <c r="Q44">
        <f t="array" ref="Q44">IF(
    ISNUMBER(VALUE(LEFT($A44, 1))),
    "",
    IFERROR(IF(_xlfn.XLOOKUP($A44, INDIRECT("'" &amp; Q$2 &amp; "'!$A:$A"), INDIRECT("'" &amp; Q$2 &amp; "'!$B:$B"), "")&lt;&gt;"", "✓", "✗"), "✗")
)</f>
        <v/>
      </c>
      <c r="R44">
        <f t="array" ref="R44">IF(
    ISNUMBER(VALUE(LEFT($A44, 1))),
    "",
    IFERROR(IF(_xlfn.XLOOKUP($A44, INDIRECT("'" &amp; R$2 &amp; "'!$A:$A"), INDIRECT("'" &amp; R$2 &amp; "'!$B:$B"), "")&lt;&gt;"", "✓", "✗"), "✗")
)</f>
        <v/>
      </c>
      <c r="S44">
        <f t="array" ref="S44">IF(
    ISNUMBER(VALUE(LEFT($A44, 1))),
    "",
    IFERROR(IF(_xlfn.XLOOKUP($A44, INDIRECT("'" &amp; S$2 &amp; "'!$A:$A"), INDIRECT("'" &amp; S$2 &amp; "'!$B:$B"), "")&lt;&gt;"", "✓", "✗"), "✗")
)</f>
        <v/>
      </c>
      <c r="T44">
        <f t="array" ref="T44">IF(
    ISNUMBER(VALUE(LEFT($A44, 1))),
    "",
    IFERROR(IF(_xlfn.XLOOKUP($A44, INDIRECT("'" &amp; T$2 &amp; "'!$A:$A"), INDIRECT("'" &amp; T$2 &amp; "'!$B:$B"), "")&lt;&gt;"", "✓", "✗"), "✗")
)</f>
        <v/>
      </c>
      <c r="U44">
        <f t="array" ref="U44">IF(
    ISNUMBER(VALUE(LEFT($A44, 1))),
    "",
    IFERROR(IF(_xlfn.XLOOKUP($A44, INDIRECT("'" &amp; U$2 &amp; "'!$A:$A"), INDIRECT("'" &amp; U$2 &amp; "'!$B:$B"), "")&lt;&gt;"", "✓", "✗"), "✗")
)</f>
        <v/>
      </c>
      <c r="V44">
        <f t="array" ref="V44">IF(
    ISNUMBER(VALUE(LEFT($A44, 1))),
    "",
    IFERROR(IF(_xlfn.XLOOKUP($A44, INDIRECT("'" &amp; V$2 &amp; "'!$A:$A"), INDIRECT("'" &amp; V$2 &amp; "'!$B:$B"), "")&lt;&gt;"", "✓", "✗"), "✗")
)</f>
        <v/>
      </c>
      <c r="W44">
        <f t="array" ref="W44">IF(
    ISNUMBER(VALUE(LEFT($A44, 1))),
    "",
    IFERROR(IF(_xlfn.XLOOKUP($A44, INDIRECT("'" &amp; W$2 &amp; "'!$A:$A"), INDIRECT("'" &amp; W$2 &amp; "'!$B:$B"), "")&lt;&gt;"", "✓", "✗"), "✗")
)</f>
        <v/>
      </c>
      <c r="X44">
        <f t="array" ref="X44">IF(
    ISNUMBER(VALUE(LEFT($A44, 1))),
    "",
    IFERROR(IF(_xlfn.XLOOKUP($A44, INDIRECT("'" &amp; X$2 &amp; "'!$A:$A"), INDIRECT("'" &amp; X$2 &amp; "'!$B:$B"), "")&lt;&gt;"", "✓", "✗"), "✗")
)</f>
        <v/>
      </c>
      <c r="Y44">
        <f t="array" ref="Y44">IF(
    ISNUMBER(VALUE(LEFT($A44, 1))),
    "",
    IFERROR(IF(_xlfn.XLOOKUP($A44, INDIRECT("'" &amp; Y$2 &amp; "'!$A:$A"), INDIRECT("'" &amp; Y$2 &amp; "'!$B:$B"), "")&lt;&gt;"", "✓", "✗"), "✗")
)</f>
        <v/>
      </c>
      <c r="Z44">
        <f t="array" ref="Z44">IF(
    ISNUMBER(VALUE(LEFT($A44, 1))),
    "",
    IFERROR(IF(_xlfn.XLOOKUP($A44, INDIRECT("'" &amp; Z$2 &amp; "'!$A:$A"), INDIRECT("'" &amp; Z$2 &amp; "'!$B:$B"), "")&lt;&gt;"", "✓", "✗"), "✗")
)</f>
        <v/>
      </c>
      <c r="AA44">
        <f t="array" ref="AA44">IF(
    ISNUMBER(VALUE(LEFT($A44, 1))),
    "",
    IFERROR(IF(_xlfn.XLOOKUP($A44, INDIRECT("'" &amp; AA$2 &amp; "'!$A:$A"), INDIRECT("'" &amp; AA$2 &amp; "'!$B:$B"), "")&lt;&gt;"", "✓", "✗"), "✗")
)</f>
        <v/>
      </c>
      <c r="AB44">
        <f t="array" ref="AB44">IF(
    ISNUMBER(VALUE(LEFT($A44, 1))),
    "",
    IFERROR(IF(_xlfn.XLOOKUP($A44, INDIRECT("'" &amp; AB$2 &amp; "'!$A:$A"), INDIRECT("'" &amp; AB$2 &amp; "'!$B:$B"), "")&lt;&gt;"", "✓", "✗"), "✗")
)</f>
        <v/>
      </c>
      <c r="AC44">
        <f t="array" ref="AC44">IF(
    ISNUMBER(VALUE(LEFT($A44, 1))),
    "",
    IFERROR(IF(_xlfn.XLOOKUP($A44, INDIRECT("'" &amp; AC$2 &amp; "'!$A:$A"), INDIRECT("'" &amp; AC$2 &amp; "'!$B:$B"), "")&lt;&gt;"", "✓", "✗"), "✗")
)</f>
        <v/>
      </c>
      <c r="AD44">
        <f t="array" ref="AD44">IF(
    ISNUMBER(VALUE(LEFT($A44, 1))),
    "",
    IFERROR(IF(_xlfn.XLOOKUP($A44, INDIRECT("'" &amp; AD$2 &amp; "'!$A:$A"), INDIRECT("'" &amp; AD$2 &amp; "'!$B:$B"), "")&lt;&gt;"", "✓", "✗"), "✗")
)</f>
        <v/>
      </c>
      <c r="AE44">
        <f t="array" ref="AE44">IF(
    ISNUMBER(VALUE(LEFT($A44, 1))),
    "",
    IFERROR(IF(_xlfn.XLOOKUP($A44, INDIRECT("'" &amp; AE$2 &amp; "'!$A:$A"), INDIRECT("'" &amp; AE$2 &amp; "'!$B:$B"), "")&lt;&gt;"", "✓", "✗"), "✗")
)</f>
        <v/>
      </c>
      <c r="AF44">
        <f t="array" ref="AF44">IF(
    ISNUMBER(VALUE(LEFT($A44, 1))),
    "",
    IFERROR(IF(_xlfn.XLOOKUP($A44, INDIRECT("'" &amp; AF$2 &amp; "'!$A:$A"), INDIRECT("'" &amp; AF$2 &amp; "'!$B:$B"), "")&lt;&gt;"", "✓", "✗"), "✗")
)</f>
        <v/>
      </c>
      <c r="AG44">
        <f t="array" ref="AG44">IF(
    ISNUMBER(VALUE(LEFT($A44, 1))),
    "",
    IFERROR(IF(_xlfn.XLOOKUP($A44, INDIRECT("'" &amp; AG$2 &amp; "'!$A:$A"), INDIRECT("'" &amp; AG$2 &amp; "'!$B:$B"), "")&lt;&gt;"", "✓", "✗"), "✗")
)</f>
        <v/>
      </c>
    </row>
    <row r="45">
      <c r="A45" t="inlineStr">
        <is>
          <t>Primary Phone Number</t>
        </is>
      </c>
      <c r="B45">
        <f t="array" ref="B45">IF(
    ISNUMBER(VALUE(LEFT($A45, 1))),
    "",
    IFERROR(IF(_xlfn.XLOOKUP($A45, INDIRECT("'" &amp; B$2 &amp; "'!$A:$A"), INDIRECT("'" &amp; B$2 &amp; "'!$B:$B"), "")&lt;&gt;"", "✓", "✗"), "✗")
)</f>
        <v/>
      </c>
      <c r="C45">
        <f t="array" ref="C45">IF(
    ISNUMBER(VALUE(LEFT($A45, 1))),
    "",
    IFERROR(IF(_xlfn.XLOOKUP($A45, INDIRECT("'" &amp; C$2 &amp; "'!$A:$A"), INDIRECT("'" &amp; C$2 &amp; "'!$B:$B"), "")&lt;&gt;"", "✓", "✗"), "✗")
)</f>
        <v/>
      </c>
      <c r="D45">
        <f t="array" ref="D45">IF(
    ISNUMBER(VALUE(LEFT($A45, 1))),
    "",
    IFERROR(IF(_xlfn.XLOOKUP($A45, INDIRECT("'" &amp; D$2 &amp; "'!$A:$A"), INDIRECT("'" &amp; D$2 &amp; "'!$B:$B"), "")&lt;&gt;"", "✓", "✗"), "✗")
)</f>
        <v/>
      </c>
      <c r="E45">
        <f t="array" ref="E45">IF(
    ISNUMBER(VALUE(LEFT($A45, 1))),
    "",
    IFERROR(IF(_xlfn.XLOOKUP($A45, INDIRECT("'" &amp; E$2 &amp; "'!$A:$A"), INDIRECT("'" &amp; E$2 &amp; "'!$B:$B"), "")&lt;&gt;"", "✓", "✗"), "✗")
)</f>
        <v/>
      </c>
      <c r="F45">
        <f t="array" ref="F45">IF(
    ISNUMBER(VALUE(LEFT($A45, 1))),
    "",
    IFERROR(IF(_xlfn.XLOOKUP($A45, INDIRECT("'" &amp; F$2 &amp; "'!$A:$A"), INDIRECT("'" &amp; F$2 &amp; "'!$B:$B"), "")&lt;&gt;"", "✓", "✗"), "✗")
)</f>
        <v/>
      </c>
      <c r="G45">
        <f t="array" ref="G45">IF(
    ISNUMBER(VALUE(LEFT($A45, 1))),
    "",
    IFERROR(IF(_xlfn.XLOOKUP($A45, INDIRECT("'" &amp; G$2 &amp; "'!$A:$A"), INDIRECT("'" &amp; G$2 &amp; "'!$B:$B"), "")&lt;&gt;"", "✓", "✗"), "✗")
)</f>
        <v/>
      </c>
      <c r="H45">
        <f t="array" ref="H45">IF(
    ISNUMBER(VALUE(LEFT($A45, 1))),
    "",
    IFERROR(IF(_xlfn.XLOOKUP($A45, INDIRECT("'" &amp; H$2 &amp; "'!$A:$A"), INDIRECT("'" &amp; H$2 &amp; "'!$B:$B"), "")&lt;&gt;"", "✓", "✗"), "✗")
)</f>
        <v/>
      </c>
      <c r="I45">
        <f t="array" ref="I45">IF(
    ISNUMBER(VALUE(LEFT($A45, 1))),
    "",
    IFERROR(IF(_xlfn.XLOOKUP($A45, INDIRECT("'" &amp; I$2 &amp; "'!$A:$A"), INDIRECT("'" &amp; I$2 &amp; "'!$B:$B"), "")&lt;&gt;"", "✓", "✗"), "✗")
)</f>
        <v/>
      </c>
      <c r="J45">
        <f t="array" ref="J45">IF(
    ISNUMBER(VALUE(LEFT($A45, 1))),
    "",
    IFERROR(IF(_xlfn.XLOOKUP($A45, INDIRECT("'" &amp; J$2 &amp; "'!$A:$A"), INDIRECT("'" &amp; J$2 &amp; "'!$B:$B"), "")&lt;&gt;"", "✓", "✗"), "✗")
)</f>
        <v/>
      </c>
      <c r="K45">
        <f t="array" ref="K45">IF(
    ISNUMBER(VALUE(LEFT($A45, 1))),
    "",
    IFERROR(IF(_xlfn.XLOOKUP($A45, INDIRECT("'" &amp; K$2 &amp; "'!$A:$A"), INDIRECT("'" &amp; K$2 &amp; "'!$B:$B"), "")&lt;&gt;"", "✓", "✗"), "✗")
)</f>
        <v/>
      </c>
      <c r="L45">
        <f t="array" ref="L45">IF(
    ISNUMBER(VALUE(LEFT($A45, 1))),
    "",
    IFERROR(IF(_xlfn.XLOOKUP($A45, INDIRECT("'" &amp; L$2 &amp; "'!$A:$A"), INDIRECT("'" &amp; L$2 &amp; "'!$B:$B"), "")&lt;&gt;"", "✓", "✗"), "✗")
)</f>
        <v/>
      </c>
      <c r="M45">
        <f t="array" ref="M45">IF(
    ISNUMBER(VALUE(LEFT($A45, 1))),
    "",
    IFERROR(IF(_xlfn.XLOOKUP($A45, INDIRECT("'" &amp; M$2 &amp; "'!$A:$A"), INDIRECT("'" &amp; M$2 &amp; "'!$B:$B"), "")&lt;&gt;"", "✓", "✗"), "✗")
)</f>
        <v/>
      </c>
      <c r="N45">
        <f t="array" ref="N45">IF(
    ISNUMBER(VALUE(LEFT($A45, 1))),
    "",
    IFERROR(IF(_xlfn.XLOOKUP($A45, INDIRECT("'" &amp; N$2 &amp; "'!$A:$A"), INDIRECT("'" &amp; N$2 &amp; "'!$B:$B"), "")&lt;&gt;"", "✓", "✗"), "✗")
)</f>
        <v/>
      </c>
      <c r="O45">
        <f t="array" ref="O45">IF(
    ISNUMBER(VALUE(LEFT($A45, 1))),
    "",
    IFERROR(IF(_xlfn.XLOOKUP($A45, INDIRECT("'" &amp; O$2 &amp; "'!$A:$A"), INDIRECT("'" &amp; O$2 &amp; "'!$B:$B"), "")&lt;&gt;"", "✓", "✗"), "✗")
)</f>
        <v/>
      </c>
      <c r="P45">
        <f t="array" ref="P45">IF(
    ISNUMBER(VALUE(LEFT($A45, 1))),
    "",
    IFERROR(IF(_xlfn.XLOOKUP($A45, INDIRECT("'" &amp; P$2 &amp; "'!$A:$A"), INDIRECT("'" &amp; P$2 &amp; "'!$B:$B"), "")&lt;&gt;"", "✓", "✗"), "✗")
)</f>
        <v/>
      </c>
      <c r="Q45">
        <f t="array" ref="Q45">IF(
    ISNUMBER(VALUE(LEFT($A45, 1))),
    "",
    IFERROR(IF(_xlfn.XLOOKUP($A45, INDIRECT("'" &amp; Q$2 &amp; "'!$A:$A"), INDIRECT("'" &amp; Q$2 &amp; "'!$B:$B"), "")&lt;&gt;"", "✓", "✗"), "✗")
)</f>
        <v/>
      </c>
      <c r="R45">
        <f t="array" ref="R45">IF(
    ISNUMBER(VALUE(LEFT($A45, 1))),
    "",
    IFERROR(IF(_xlfn.XLOOKUP($A45, INDIRECT("'" &amp; R$2 &amp; "'!$A:$A"), INDIRECT("'" &amp; R$2 &amp; "'!$B:$B"), "")&lt;&gt;"", "✓", "✗"), "✗")
)</f>
        <v/>
      </c>
      <c r="S45">
        <f t="array" ref="S45">IF(
    ISNUMBER(VALUE(LEFT($A45, 1))),
    "",
    IFERROR(IF(_xlfn.XLOOKUP($A45, INDIRECT("'" &amp; S$2 &amp; "'!$A:$A"), INDIRECT("'" &amp; S$2 &amp; "'!$B:$B"), "")&lt;&gt;"", "✓", "✗"), "✗")
)</f>
        <v/>
      </c>
      <c r="T45">
        <f t="array" ref="T45">IF(
    ISNUMBER(VALUE(LEFT($A45, 1))),
    "",
    IFERROR(IF(_xlfn.XLOOKUP($A45, INDIRECT("'" &amp; T$2 &amp; "'!$A:$A"), INDIRECT("'" &amp; T$2 &amp; "'!$B:$B"), "")&lt;&gt;"", "✓", "✗"), "✗")
)</f>
        <v/>
      </c>
      <c r="U45">
        <f t="array" ref="U45">IF(
    ISNUMBER(VALUE(LEFT($A45, 1))),
    "",
    IFERROR(IF(_xlfn.XLOOKUP($A45, INDIRECT("'" &amp; U$2 &amp; "'!$A:$A"), INDIRECT("'" &amp; U$2 &amp; "'!$B:$B"), "")&lt;&gt;"", "✓", "✗"), "✗")
)</f>
        <v/>
      </c>
      <c r="V45">
        <f t="array" ref="V45">IF(
    ISNUMBER(VALUE(LEFT($A45, 1))),
    "",
    IFERROR(IF(_xlfn.XLOOKUP($A45, INDIRECT("'" &amp; V$2 &amp; "'!$A:$A"), INDIRECT("'" &amp; V$2 &amp; "'!$B:$B"), "")&lt;&gt;"", "✓", "✗"), "✗")
)</f>
        <v/>
      </c>
      <c r="W45">
        <f t="array" ref="W45">IF(
    ISNUMBER(VALUE(LEFT($A45, 1))),
    "",
    IFERROR(IF(_xlfn.XLOOKUP($A45, INDIRECT("'" &amp; W$2 &amp; "'!$A:$A"), INDIRECT("'" &amp; W$2 &amp; "'!$B:$B"), "")&lt;&gt;"", "✓", "✗"), "✗")
)</f>
        <v/>
      </c>
      <c r="X45">
        <f t="array" ref="X45">IF(
    ISNUMBER(VALUE(LEFT($A45, 1))),
    "",
    IFERROR(IF(_xlfn.XLOOKUP($A45, INDIRECT("'" &amp; X$2 &amp; "'!$A:$A"), INDIRECT("'" &amp; X$2 &amp; "'!$B:$B"), "")&lt;&gt;"", "✓", "✗"), "✗")
)</f>
        <v/>
      </c>
      <c r="Y45">
        <f t="array" ref="Y45">IF(
    ISNUMBER(VALUE(LEFT($A45, 1))),
    "",
    IFERROR(IF(_xlfn.XLOOKUP($A45, INDIRECT("'" &amp; Y$2 &amp; "'!$A:$A"), INDIRECT("'" &amp; Y$2 &amp; "'!$B:$B"), "")&lt;&gt;"", "✓", "✗"), "✗")
)</f>
        <v/>
      </c>
      <c r="Z45">
        <f t="array" ref="Z45">IF(
    ISNUMBER(VALUE(LEFT($A45, 1))),
    "",
    IFERROR(IF(_xlfn.XLOOKUP($A45, INDIRECT("'" &amp; Z$2 &amp; "'!$A:$A"), INDIRECT("'" &amp; Z$2 &amp; "'!$B:$B"), "")&lt;&gt;"", "✓", "✗"), "✗")
)</f>
        <v/>
      </c>
      <c r="AA45">
        <f t="array" ref="AA45">IF(
    ISNUMBER(VALUE(LEFT($A45, 1))),
    "",
    IFERROR(IF(_xlfn.XLOOKUP($A45, INDIRECT("'" &amp; AA$2 &amp; "'!$A:$A"), INDIRECT("'" &amp; AA$2 &amp; "'!$B:$B"), "")&lt;&gt;"", "✓", "✗"), "✗")
)</f>
        <v/>
      </c>
      <c r="AB45">
        <f t="array" ref="AB45">IF(
    ISNUMBER(VALUE(LEFT($A45, 1))),
    "",
    IFERROR(IF(_xlfn.XLOOKUP($A45, INDIRECT("'" &amp; AB$2 &amp; "'!$A:$A"), INDIRECT("'" &amp; AB$2 &amp; "'!$B:$B"), "")&lt;&gt;"", "✓", "✗"), "✗")
)</f>
        <v/>
      </c>
      <c r="AC45">
        <f t="array" ref="AC45">IF(
    ISNUMBER(VALUE(LEFT($A45, 1))),
    "",
    IFERROR(IF(_xlfn.XLOOKUP($A45, INDIRECT("'" &amp; AC$2 &amp; "'!$A:$A"), INDIRECT("'" &amp; AC$2 &amp; "'!$B:$B"), "")&lt;&gt;"", "✓", "✗"), "✗")
)</f>
        <v/>
      </c>
      <c r="AD45">
        <f t="array" ref="AD45">IF(
    ISNUMBER(VALUE(LEFT($A45, 1))),
    "",
    IFERROR(IF(_xlfn.XLOOKUP($A45, INDIRECT("'" &amp; AD$2 &amp; "'!$A:$A"), INDIRECT("'" &amp; AD$2 &amp; "'!$B:$B"), "")&lt;&gt;"", "✓", "✗"), "✗")
)</f>
        <v/>
      </c>
      <c r="AE45">
        <f t="array" ref="AE45">IF(
    ISNUMBER(VALUE(LEFT($A45, 1))),
    "",
    IFERROR(IF(_xlfn.XLOOKUP($A45, INDIRECT("'" &amp; AE$2 &amp; "'!$A:$A"), INDIRECT("'" &amp; AE$2 &amp; "'!$B:$B"), "")&lt;&gt;"", "✓", "✗"), "✗")
)</f>
        <v/>
      </c>
      <c r="AF45">
        <f t="array" ref="AF45">IF(
    ISNUMBER(VALUE(LEFT($A45, 1))),
    "",
    IFERROR(IF(_xlfn.XLOOKUP($A45, INDIRECT("'" &amp; AF$2 &amp; "'!$A:$A"), INDIRECT("'" &amp; AF$2 &amp; "'!$B:$B"), "")&lt;&gt;"", "✓", "✗"), "✗")
)</f>
        <v/>
      </c>
      <c r="AG45">
        <f t="array" ref="AG45">IF(
    ISNUMBER(VALUE(LEFT($A45, 1))),
    "",
    IFERROR(IF(_xlfn.XLOOKUP($A45, INDIRECT("'" &amp; AG$2 &amp; "'!$A:$A"), INDIRECT("'" &amp; AG$2 &amp; "'!$B:$B"), "")&lt;&gt;"", "✓", "✗"), "✗")
)</f>
        <v/>
      </c>
    </row>
    <row r="46">
      <c r="A46" t="inlineStr">
        <is>
          <t>4 - Compliance / Permissions</t>
        </is>
      </c>
      <c r="B46">
        <f t="array" ref="B46">IF(
    ISNUMBER(VALUE(LEFT($A46, 1))),
    "",
    IFERROR(IF(_xlfn.XLOOKUP($A46, INDIRECT("'" &amp; B$2 &amp; "'!$A:$A"), INDIRECT("'" &amp; B$2 &amp; "'!$B:$B"), "")&lt;&gt;"", "✓", "✗"), "✗")
)</f>
        <v/>
      </c>
      <c r="C46">
        <f t="array" ref="C46">IF(
    ISNUMBER(VALUE(LEFT($A46, 1))),
    "",
    IFERROR(IF(_xlfn.XLOOKUP($A46, INDIRECT("'" &amp; C$2 &amp; "'!$A:$A"), INDIRECT("'" &amp; C$2 &amp; "'!$B:$B"), "")&lt;&gt;"", "✓", "✗"), "✗")
)</f>
        <v/>
      </c>
      <c r="D46">
        <f t="array" ref="D46">IF(
    ISNUMBER(VALUE(LEFT($A46, 1))),
    "",
    IFERROR(IF(_xlfn.XLOOKUP($A46, INDIRECT("'" &amp; D$2 &amp; "'!$A:$A"), INDIRECT("'" &amp; D$2 &amp; "'!$B:$B"), "")&lt;&gt;"", "✓", "✗"), "✗")
)</f>
        <v/>
      </c>
      <c r="E46">
        <f t="array" ref="E46">IF(
    ISNUMBER(VALUE(LEFT($A46, 1))),
    "",
    IFERROR(IF(_xlfn.XLOOKUP($A46, INDIRECT("'" &amp; E$2 &amp; "'!$A:$A"), INDIRECT("'" &amp; E$2 &amp; "'!$B:$B"), "")&lt;&gt;"", "✓", "✗"), "✗")
)</f>
        <v/>
      </c>
      <c r="F46">
        <f t="array" ref="F46">IF(
    ISNUMBER(VALUE(LEFT($A46, 1))),
    "",
    IFERROR(IF(_xlfn.XLOOKUP($A46, INDIRECT("'" &amp; F$2 &amp; "'!$A:$A"), INDIRECT("'" &amp; F$2 &amp; "'!$B:$B"), "")&lt;&gt;"", "✓", "✗"), "✗")
)</f>
        <v/>
      </c>
      <c r="G46">
        <f t="array" ref="G46">IF(
    ISNUMBER(VALUE(LEFT($A46, 1))),
    "",
    IFERROR(IF(_xlfn.XLOOKUP($A46, INDIRECT("'" &amp; G$2 &amp; "'!$A:$A"), INDIRECT("'" &amp; G$2 &amp; "'!$B:$B"), "")&lt;&gt;"", "✓", "✗"), "✗")
)</f>
        <v/>
      </c>
      <c r="H46">
        <f t="array" ref="H46">IF(
    ISNUMBER(VALUE(LEFT($A46, 1))),
    "",
    IFERROR(IF(_xlfn.XLOOKUP($A46, INDIRECT("'" &amp; H$2 &amp; "'!$A:$A"), INDIRECT("'" &amp; H$2 &amp; "'!$B:$B"), "")&lt;&gt;"", "✓", "✗"), "✗")
)</f>
        <v/>
      </c>
      <c r="I46">
        <f t="array" ref="I46">IF(
    ISNUMBER(VALUE(LEFT($A46, 1))),
    "",
    IFERROR(IF(_xlfn.XLOOKUP($A46, INDIRECT("'" &amp; I$2 &amp; "'!$A:$A"), INDIRECT("'" &amp; I$2 &amp; "'!$B:$B"), "")&lt;&gt;"", "✓", "✗"), "✗")
)</f>
        <v/>
      </c>
      <c r="J46">
        <f t="array" ref="J46">IF(
    ISNUMBER(VALUE(LEFT($A46, 1))),
    "",
    IFERROR(IF(_xlfn.XLOOKUP($A46, INDIRECT("'" &amp; J$2 &amp; "'!$A:$A"), INDIRECT("'" &amp; J$2 &amp; "'!$B:$B"), "")&lt;&gt;"", "✓", "✗"), "✗")
)</f>
        <v/>
      </c>
      <c r="K46">
        <f t="array" ref="K46">IF(
    ISNUMBER(VALUE(LEFT($A46, 1))),
    "",
    IFERROR(IF(_xlfn.XLOOKUP($A46, INDIRECT("'" &amp; K$2 &amp; "'!$A:$A"), INDIRECT("'" &amp; K$2 &amp; "'!$B:$B"), "")&lt;&gt;"", "✓", "✗"), "✗")
)</f>
        <v/>
      </c>
      <c r="L46">
        <f t="array" ref="L46">IF(
    ISNUMBER(VALUE(LEFT($A46, 1))),
    "",
    IFERROR(IF(_xlfn.XLOOKUP($A46, INDIRECT("'" &amp; L$2 &amp; "'!$A:$A"), INDIRECT("'" &amp; L$2 &amp; "'!$B:$B"), "")&lt;&gt;"", "✓", "✗"), "✗")
)</f>
        <v/>
      </c>
      <c r="M46">
        <f t="array" ref="M46">IF(
    ISNUMBER(VALUE(LEFT($A46, 1))),
    "",
    IFERROR(IF(_xlfn.XLOOKUP($A46, INDIRECT("'" &amp; M$2 &amp; "'!$A:$A"), INDIRECT("'" &amp; M$2 &amp; "'!$B:$B"), "")&lt;&gt;"", "✓", "✗"), "✗")
)</f>
        <v/>
      </c>
      <c r="N46">
        <f t="array" ref="N46">IF(
    ISNUMBER(VALUE(LEFT($A46, 1))),
    "",
    IFERROR(IF(_xlfn.XLOOKUP($A46, INDIRECT("'" &amp; N$2 &amp; "'!$A:$A"), INDIRECT("'" &amp; N$2 &amp; "'!$B:$B"), "")&lt;&gt;"", "✓", "✗"), "✗")
)</f>
        <v/>
      </c>
      <c r="O46">
        <f t="array" ref="O46">IF(
    ISNUMBER(VALUE(LEFT($A46, 1))),
    "",
    IFERROR(IF(_xlfn.XLOOKUP($A46, INDIRECT("'" &amp; O$2 &amp; "'!$A:$A"), INDIRECT("'" &amp; O$2 &amp; "'!$B:$B"), "")&lt;&gt;"", "✓", "✗"), "✗")
)</f>
        <v/>
      </c>
      <c r="P46">
        <f t="array" ref="P46">IF(
    ISNUMBER(VALUE(LEFT($A46, 1))),
    "",
    IFERROR(IF(_xlfn.XLOOKUP($A46, INDIRECT("'" &amp; P$2 &amp; "'!$A:$A"), INDIRECT("'" &amp; P$2 &amp; "'!$B:$B"), "")&lt;&gt;"", "✓", "✗"), "✗")
)</f>
        <v/>
      </c>
      <c r="Q46">
        <f t="array" ref="Q46">IF(
    ISNUMBER(VALUE(LEFT($A46, 1))),
    "",
    IFERROR(IF(_xlfn.XLOOKUP($A46, INDIRECT("'" &amp; Q$2 &amp; "'!$A:$A"), INDIRECT("'" &amp; Q$2 &amp; "'!$B:$B"), "")&lt;&gt;"", "✓", "✗"), "✗")
)</f>
        <v/>
      </c>
      <c r="R46">
        <f t="array" ref="R46">IF(
    ISNUMBER(VALUE(LEFT($A46, 1))),
    "",
    IFERROR(IF(_xlfn.XLOOKUP($A46, INDIRECT("'" &amp; R$2 &amp; "'!$A:$A"), INDIRECT("'" &amp; R$2 &amp; "'!$B:$B"), "")&lt;&gt;"", "✓", "✗"), "✗")
)</f>
        <v/>
      </c>
      <c r="S46">
        <f t="array" ref="S46">IF(
    ISNUMBER(VALUE(LEFT($A46, 1))),
    "",
    IFERROR(IF(_xlfn.XLOOKUP($A46, INDIRECT("'" &amp; S$2 &amp; "'!$A:$A"), INDIRECT("'" &amp; S$2 &amp; "'!$B:$B"), "")&lt;&gt;"", "✓", "✗"), "✗")
)</f>
        <v/>
      </c>
      <c r="T46">
        <f t="array" ref="T46">IF(
    ISNUMBER(VALUE(LEFT($A46, 1))),
    "",
    IFERROR(IF(_xlfn.XLOOKUP($A46, INDIRECT("'" &amp; T$2 &amp; "'!$A:$A"), INDIRECT("'" &amp; T$2 &amp; "'!$B:$B"), "")&lt;&gt;"", "✓", "✗"), "✗")
)</f>
        <v/>
      </c>
      <c r="U46">
        <f t="array" ref="U46">IF(
    ISNUMBER(VALUE(LEFT($A46, 1))),
    "",
    IFERROR(IF(_xlfn.XLOOKUP($A46, INDIRECT("'" &amp; U$2 &amp; "'!$A:$A"), INDIRECT("'" &amp; U$2 &amp; "'!$B:$B"), "")&lt;&gt;"", "✓", "✗"), "✗")
)</f>
        <v/>
      </c>
      <c r="V46">
        <f t="array" ref="V46">IF(
    ISNUMBER(VALUE(LEFT($A46, 1))),
    "",
    IFERROR(IF(_xlfn.XLOOKUP($A46, INDIRECT("'" &amp; V$2 &amp; "'!$A:$A"), INDIRECT("'" &amp; V$2 &amp; "'!$B:$B"), "")&lt;&gt;"", "✓", "✗"), "✗")
)</f>
        <v/>
      </c>
      <c r="W46">
        <f t="array" ref="W46">IF(
    ISNUMBER(VALUE(LEFT($A46, 1))),
    "",
    IFERROR(IF(_xlfn.XLOOKUP($A46, INDIRECT("'" &amp; W$2 &amp; "'!$A:$A"), INDIRECT("'" &amp; W$2 &amp; "'!$B:$B"), "")&lt;&gt;"", "✓", "✗"), "✗")
)</f>
        <v/>
      </c>
      <c r="X46">
        <f t="array" ref="X46">IF(
    ISNUMBER(VALUE(LEFT($A46, 1))),
    "",
    IFERROR(IF(_xlfn.XLOOKUP($A46, INDIRECT("'" &amp; X$2 &amp; "'!$A:$A"), INDIRECT("'" &amp; X$2 &amp; "'!$B:$B"), "")&lt;&gt;"", "✓", "✗"), "✗")
)</f>
        <v/>
      </c>
      <c r="Y46">
        <f t="array" ref="Y46">IF(
    ISNUMBER(VALUE(LEFT($A46, 1))),
    "",
    IFERROR(IF(_xlfn.XLOOKUP($A46, INDIRECT("'" &amp; Y$2 &amp; "'!$A:$A"), INDIRECT("'" &amp; Y$2 &amp; "'!$B:$B"), "")&lt;&gt;"", "✓", "✗"), "✗")
)</f>
        <v/>
      </c>
      <c r="Z46">
        <f t="array" ref="Z46">IF(
    ISNUMBER(VALUE(LEFT($A46, 1))),
    "",
    IFERROR(IF(_xlfn.XLOOKUP($A46, INDIRECT("'" &amp; Z$2 &amp; "'!$A:$A"), INDIRECT("'" &amp; Z$2 &amp; "'!$B:$B"), "")&lt;&gt;"", "✓", "✗"), "✗")
)</f>
        <v/>
      </c>
      <c r="AA46">
        <f t="array" ref="AA46">IF(
    ISNUMBER(VALUE(LEFT($A46, 1))),
    "",
    IFERROR(IF(_xlfn.XLOOKUP($A46, INDIRECT("'" &amp; AA$2 &amp; "'!$A:$A"), INDIRECT("'" &amp; AA$2 &amp; "'!$B:$B"), "")&lt;&gt;"", "✓", "✗"), "✗")
)</f>
        <v/>
      </c>
      <c r="AB46">
        <f t="array" ref="AB46">IF(
    ISNUMBER(VALUE(LEFT($A46, 1))),
    "",
    IFERROR(IF(_xlfn.XLOOKUP($A46, INDIRECT("'" &amp; AB$2 &amp; "'!$A:$A"), INDIRECT("'" &amp; AB$2 &amp; "'!$B:$B"), "")&lt;&gt;"", "✓", "✗"), "✗")
)</f>
        <v/>
      </c>
      <c r="AC46">
        <f t="array" ref="AC46">IF(
    ISNUMBER(VALUE(LEFT($A46, 1))),
    "",
    IFERROR(IF(_xlfn.XLOOKUP($A46, INDIRECT("'" &amp; AC$2 &amp; "'!$A:$A"), INDIRECT("'" &amp; AC$2 &amp; "'!$B:$B"), "")&lt;&gt;"", "✓", "✗"), "✗")
)</f>
        <v/>
      </c>
      <c r="AD46">
        <f t="array" ref="AD46">IF(
    ISNUMBER(VALUE(LEFT($A46, 1))),
    "",
    IFERROR(IF(_xlfn.XLOOKUP($A46, INDIRECT("'" &amp; AD$2 &amp; "'!$A:$A"), INDIRECT("'" &amp; AD$2 &amp; "'!$B:$B"), "")&lt;&gt;"", "✓", "✗"), "✗")
)</f>
        <v/>
      </c>
      <c r="AE46">
        <f t="array" ref="AE46">IF(
    ISNUMBER(VALUE(LEFT($A46, 1))),
    "",
    IFERROR(IF(_xlfn.XLOOKUP($A46, INDIRECT("'" &amp; AE$2 &amp; "'!$A:$A"), INDIRECT("'" &amp; AE$2 &amp; "'!$B:$B"), "")&lt;&gt;"", "✓", "✗"), "✗")
)</f>
        <v/>
      </c>
      <c r="AF46">
        <f t="array" ref="AF46">IF(
    ISNUMBER(VALUE(LEFT($A46, 1))),
    "",
    IFERROR(IF(_xlfn.XLOOKUP($A46, INDIRECT("'" &amp; AF$2 &amp; "'!$A:$A"), INDIRECT("'" &amp; AF$2 &amp; "'!$B:$B"), "")&lt;&gt;"", "✓", "✗"), "✗")
)</f>
        <v/>
      </c>
      <c r="AG46">
        <f t="array" ref="AG46">IF(
    ISNUMBER(VALUE(LEFT($A46, 1))),
    "",
    IFERROR(IF(_xlfn.XLOOKUP($A46, INDIRECT("'" &amp; AG$2 &amp; "'!$A:$A"), INDIRECT("'" &amp; AG$2 &amp; "'!$B:$B"), "")&lt;&gt;"", "✓", "✗"), "✗")
)</f>
        <v/>
      </c>
    </row>
    <row r="47">
      <c r="A47" t="inlineStr">
        <is>
          <t>Email Opt-In Permission</t>
        </is>
      </c>
      <c r="B47">
        <f t="array" ref="B47">IF(
    ISNUMBER(VALUE(LEFT($A47, 1))),
    "",
    IFERROR(IF(_xlfn.XLOOKUP($A47, INDIRECT("'" &amp; B$2 &amp; "'!$A:$A"), INDIRECT("'" &amp; B$2 &amp; "'!$B:$B"), "")&lt;&gt;"", "✓", "✗"), "✗")
)</f>
        <v/>
      </c>
      <c r="C47">
        <f t="array" ref="C47">IF(
    ISNUMBER(VALUE(LEFT($A47, 1))),
    "",
    IFERROR(IF(_xlfn.XLOOKUP($A47, INDIRECT("'" &amp; C$2 &amp; "'!$A:$A"), INDIRECT("'" &amp; C$2 &amp; "'!$B:$B"), "")&lt;&gt;"", "✓", "✗"), "✗")
)</f>
        <v/>
      </c>
      <c r="D47">
        <f t="array" ref="D47">IF(
    ISNUMBER(VALUE(LEFT($A47, 1))),
    "",
    IFERROR(IF(_xlfn.XLOOKUP($A47, INDIRECT("'" &amp; D$2 &amp; "'!$A:$A"), INDIRECT("'" &amp; D$2 &amp; "'!$B:$B"), "")&lt;&gt;"", "✓", "✗"), "✗")
)</f>
        <v/>
      </c>
      <c r="E47">
        <f t="array" ref="E47">IF(
    ISNUMBER(VALUE(LEFT($A47, 1))),
    "",
    IFERROR(IF(_xlfn.XLOOKUP($A47, INDIRECT("'" &amp; E$2 &amp; "'!$A:$A"), INDIRECT("'" &amp; E$2 &amp; "'!$B:$B"), "")&lt;&gt;"", "✓", "✗"), "✗")
)</f>
        <v/>
      </c>
      <c r="F47">
        <f t="array" ref="F47">IF(
    ISNUMBER(VALUE(LEFT($A47, 1))),
    "",
    IFERROR(IF(_xlfn.XLOOKUP($A47, INDIRECT("'" &amp; F$2 &amp; "'!$A:$A"), INDIRECT("'" &amp; F$2 &amp; "'!$B:$B"), "")&lt;&gt;"", "✓", "✗"), "✗")
)</f>
        <v/>
      </c>
      <c r="G47">
        <f t="array" ref="G47">IF(
    ISNUMBER(VALUE(LEFT($A47, 1))),
    "",
    IFERROR(IF(_xlfn.XLOOKUP($A47, INDIRECT("'" &amp; G$2 &amp; "'!$A:$A"), INDIRECT("'" &amp; G$2 &amp; "'!$B:$B"), "")&lt;&gt;"", "✓", "✗"), "✗")
)</f>
        <v/>
      </c>
      <c r="H47">
        <f t="array" ref="H47">IF(
    ISNUMBER(VALUE(LEFT($A47, 1))),
    "",
    IFERROR(IF(_xlfn.XLOOKUP($A47, INDIRECT("'" &amp; H$2 &amp; "'!$A:$A"), INDIRECT("'" &amp; H$2 &amp; "'!$B:$B"), "")&lt;&gt;"", "✓", "✗"), "✗")
)</f>
        <v/>
      </c>
      <c r="I47">
        <f t="array" ref="I47">IF(
    ISNUMBER(VALUE(LEFT($A47, 1))),
    "",
    IFERROR(IF(_xlfn.XLOOKUP($A47, INDIRECT("'" &amp; I$2 &amp; "'!$A:$A"), INDIRECT("'" &amp; I$2 &amp; "'!$B:$B"), "")&lt;&gt;"", "✓", "✗"), "✗")
)</f>
        <v/>
      </c>
      <c r="J47">
        <f t="array" ref="J47">IF(
    ISNUMBER(VALUE(LEFT($A47, 1))),
    "",
    IFERROR(IF(_xlfn.XLOOKUP($A47, INDIRECT("'" &amp; J$2 &amp; "'!$A:$A"), INDIRECT("'" &amp; J$2 &amp; "'!$B:$B"), "")&lt;&gt;"", "✓", "✗"), "✗")
)</f>
        <v/>
      </c>
      <c r="K47">
        <f t="array" ref="K47">IF(
    ISNUMBER(VALUE(LEFT($A47, 1))),
    "",
    IFERROR(IF(_xlfn.XLOOKUP($A47, INDIRECT("'" &amp; K$2 &amp; "'!$A:$A"), INDIRECT("'" &amp; K$2 &amp; "'!$B:$B"), "")&lt;&gt;"", "✓", "✗"), "✗")
)</f>
        <v/>
      </c>
      <c r="L47">
        <f t="array" ref="L47">IF(
    ISNUMBER(VALUE(LEFT($A47, 1))),
    "",
    IFERROR(IF(_xlfn.XLOOKUP($A47, INDIRECT("'" &amp; L$2 &amp; "'!$A:$A"), INDIRECT("'" &amp; L$2 &amp; "'!$B:$B"), "")&lt;&gt;"", "✓", "✗"), "✗")
)</f>
        <v/>
      </c>
      <c r="M47">
        <f t="array" ref="M47">IF(
    ISNUMBER(VALUE(LEFT($A47, 1))),
    "",
    IFERROR(IF(_xlfn.XLOOKUP($A47, INDIRECT("'" &amp; M$2 &amp; "'!$A:$A"), INDIRECT("'" &amp; M$2 &amp; "'!$B:$B"), "")&lt;&gt;"", "✓", "✗"), "✗")
)</f>
        <v/>
      </c>
      <c r="N47">
        <f t="array" ref="N47">IF(
    ISNUMBER(VALUE(LEFT($A47, 1))),
    "",
    IFERROR(IF(_xlfn.XLOOKUP($A47, INDIRECT("'" &amp; N$2 &amp; "'!$A:$A"), INDIRECT("'" &amp; N$2 &amp; "'!$B:$B"), "")&lt;&gt;"", "✓", "✗"), "✗")
)</f>
        <v/>
      </c>
      <c r="O47">
        <f t="array" ref="O47">IF(
    ISNUMBER(VALUE(LEFT($A47, 1))),
    "",
    IFERROR(IF(_xlfn.XLOOKUP($A47, INDIRECT("'" &amp; O$2 &amp; "'!$A:$A"), INDIRECT("'" &amp; O$2 &amp; "'!$B:$B"), "")&lt;&gt;"", "✓", "✗"), "✗")
)</f>
        <v/>
      </c>
      <c r="P47">
        <f t="array" ref="P47">IF(
    ISNUMBER(VALUE(LEFT($A47, 1))),
    "",
    IFERROR(IF(_xlfn.XLOOKUP($A47, INDIRECT("'" &amp; P$2 &amp; "'!$A:$A"), INDIRECT("'" &amp; P$2 &amp; "'!$B:$B"), "")&lt;&gt;"", "✓", "✗"), "✗")
)</f>
        <v/>
      </c>
      <c r="Q47">
        <f t="array" ref="Q47">IF(
    ISNUMBER(VALUE(LEFT($A47, 1))),
    "",
    IFERROR(IF(_xlfn.XLOOKUP($A47, INDIRECT("'" &amp; Q$2 &amp; "'!$A:$A"), INDIRECT("'" &amp; Q$2 &amp; "'!$B:$B"), "")&lt;&gt;"", "✓", "✗"), "✗")
)</f>
        <v/>
      </c>
      <c r="R47">
        <f t="array" ref="R47">IF(
    ISNUMBER(VALUE(LEFT($A47, 1))),
    "",
    IFERROR(IF(_xlfn.XLOOKUP($A47, INDIRECT("'" &amp; R$2 &amp; "'!$A:$A"), INDIRECT("'" &amp; R$2 &amp; "'!$B:$B"), "")&lt;&gt;"", "✓", "✗"), "✗")
)</f>
        <v/>
      </c>
      <c r="S47">
        <f t="array" ref="S47">IF(
    ISNUMBER(VALUE(LEFT($A47, 1))),
    "",
    IFERROR(IF(_xlfn.XLOOKUP($A47, INDIRECT("'" &amp; S$2 &amp; "'!$A:$A"), INDIRECT("'" &amp; S$2 &amp; "'!$B:$B"), "")&lt;&gt;"", "✓", "✗"), "✗")
)</f>
        <v/>
      </c>
      <c r="T47">
        <f t="array" ref="T47">IF(
    ISNUMBER(VALUE(LEFT($A47, 1))),
    "",
    IFERROR(IF(_xlfn.XLOOKUP($A47, INDIRECT("'" &amp; T$2 &amp; "'!$A:$A"), INDIRECT("'" &amp; T$2 &amp; "'!$B:$B"), "")&lt;&gt;"", "✓", "✗"), "✗")
)</f>
        <v/>
      </c>
      <c r="U47">
        <f t="array" ref="U47">IF(
    ISNUMBER(VALUE(LEFT($A47, 1))),
    "",
    IFERROR(IF(_xlfn.XLOOKUP($A47, INDIRECT("'" &amp; U$2 &amp; "'!$A:$A"), INDIRECT("'" &amp; U$2 &amp; "'!$B:$B"), "")&lt;&gt;"", "✓", "✗"), "✗")
)</f>
        <v/>
      </c>
      <c r="V47">
        <f t="array" ref="V47">IF(
    ISNUMBER(VALUE(LEFT($A47, 1))),
    "",
    IFERROR(IF(_xlfn.XLOOKUP($A47, INDIRECT("'" &amp; V$2 &amp; "'!$A:$A"), INDIRECT("'" &amp; V$2 &amp; "'!$B:$B"), "")&lt;&gt;"", "✓", "✗"), "✗")
)</f>
        <v/>
      </c>
      <c r="W47">
        <f t="array" ref="W47">IF(
    ISNUMBER(VALUE(LEFT($A47, 1))),
    "",
    IFERROR(IF(_xlfn.XLOOKUP($A47, INDIRECT("'" &amp; W$2 &amp; "'!$A:$A"), INDIRECT("'" &amp; W$2 &amp; "'!$B:$B"), "")&lt;&gt;"", "✓", "✗"), "✗")
)</f>
        <v/>
      </c>
      <c r="X47">
        <f t="array" ref="X47">IF(
    ISNUMBER(VALUE(LEFT($A47, 1))),
    "",
    IFERROR(IF(_xlfn.XLOOKUP($A47, INDIRECT("'" &amp; X$2 &amp; "'!$A:$A"), INDIRECT("'" &amp; X$2 &amp; "'!$B:$B"), "")&lt;&gt;"", "✓", "✗"), "✗")
)</f>
        <v/>
      </c>
      <c r="Y47">
        <f t="array" ref="Y47">IF(
    ISNUMBER(VALUE(LEFT($A47, 1))),
    "",
    IFERROR(IF(_xlfn.XLOOKUP($A47, INDIRECT("'" &amp; Y$2 &amp; "'!$A:$A"), INDIRECT("'" &amp; Y$2 &amp; "'!$B:$B"), "")&lt;&gt;"", "✓", "✗"), "✗")
)</f>
        <v/>
      </c>
      <c r="Z47">
        <f t="array" ref="Z47">IF(
    ISNUMBER(VALUE(LEFT($A47, 1))),
    "",
    IFERROR(IF(_xlfn.XLOOKUP($A47, INDIRECT("'" &amp; Z$2 &amp; "'!$A:$A"), INDIRECT("'" &amp; Z$2 &amp; "'!$B:$B"), "")&lt;&gt;"", "✓", "✗"), "✗")
)</f>
        <v/>
      </c>
      <c r="AA47">
        <f t="array" ref="AA47">IF(
    ISNUMBER(VALUE(LEFT($A47, 1))),
    "",
    IFERROR(IF(_xlfn.XLOOKUP($A47, INDIRECT("'" &amp; AA$2 &amp; "'!$A:$A"), INDIRECT("'" &amp; AA$2 &amp; "'!$B:$B"), "")&lt;&gt;"", "✓", "✗"), "✗")
)</f>
        <v/>
      </c>
      <c r="AB47">
        <f t="array" ref="AB47">IF(
    ISNUMBER(VALUE(LEFT($A47, 1))),
    "",
    IFERROR(IF(_xlfn.XLOOKUP($A47, INDIRECT("'" &amp; AB$2 &amp; "'!$A:$A"), INDIRECT("'" &amp; AB$2 &amp; "'!$B:$B"), "")&lt;&gt;"", "✓", "✗"), "✗")
)</f>
        <v/>
      </c>
      <c r="AC47">
        <f t="array" ref="AC47">IF(
    ISNUMBER(VALUE(LEFT($A47, 1))),
    "",
    IFERROR(IF(_xlfn.XLOOKUP($A47, INDIRECT("'" &amp; AC$2 &amp; "'!$A:$A"), INDIRECT("'" &amp; AC$2 &amp; "'!$B:$B"), "")&lt;&gt;"", "✓", "✗"), "✗")
)</f>
        <v/>
      </c>
      <c r="AD47">
        <f t="array" ref="AD47">IF(
    ISNUMBER(VALUE(LEFT($A47, 1))),
    "",
    IFERROR(IF(_xlfn.XLOOKUP($A47, INDIRECT("'" &amp; AD$2 &amp; "'!$A:$A"), INDIRECT("'" &amp; AD$2 &amp; "'!$B:$B"), "")&lt;&gt;"", "✓", "✗"), "✗")
)</f>
        <v/>
      </c>
      <c r="AE47">
        <f t="array" ref="AE47">IF(
    ISNUMBER(VALUE(LEFT($A47, 1))),
    "",
    IFERROR(IF(_xlfn.XLOOKUP($A47, INDIRECT("'" &amp; AE$2 &amp; "'!$A:$A"), INDIRECT("'" &amp; AE$2 &amp; "'!$B:$B"), "")&lt;&gt;"", "✓", "✗"), "✗")
)</f>
        <v/>
      </c>
      <c r="AF47">
        <f t="array" ref="AF47">IF(
    ISNUMBER(VALUE(LEFT($A47, 1))),
    "",
    IFERROR(IF(_xlfn.XLOOKUP($A47, INDIRECT("'" &amp; AF$2 &amp; "'!$A:$A"), INDIRECT("'" &amp; AF$2 &amp; "'!$B:$B"), "")&lt;&gt;"", "✓", "✗"), "✗")
)</f>
        <v/>
      </c>
      <c r="AG47">
        <f t="array" ref="AG47">IF(
    ISNUMBER(VALUE(LEFT($A47, 1))),
    "",
    IFERROR(IF(_xlfn.XLOOKUP($A47, INDIRECT("'" &amp; AG$2 &amp; "'!$A:$A"), INDIRECT("'" &amp; AG$2 &amp; "'!$B:$B"), "")&lt;&gt;"", "✓", "✗"), "✗")
)</f>
        <v/>
      </c>
    </row>
    <row r="48">
      <c r="A48" t="inlineStr">
        <is>
          <t>Primary Phone Opt-In Permission</t>
        </is>
      </c>
      <c r="B48">
        <f t="array" ref="B48">IF(
    ISNUMBER(VALUE(LEFT($A48, 1))),
    "",
    IFERROR(IF(_xlfn.XLOOKUP($A48, INDIRECT("'" &amp; B$2 &amp; "'!$A:$A"), INDIRECT("'" &amp; B$2 &amp; "'!$B:$B"), "")&lt;&gt;"", "✓", "✗"), "✗")
)</f>
        <v/>
      </c>
      <c r="C48">
        <f t="array" ref="C48">IF(
    ISNUMBER(VALUE(LEFT($A48, 1))),
    "",
    IFERROR(IF(_xlfn.XLOOKUP($A48, INDIRECT("'" &amp; C$2 &amp; "'!$A:$A"), INDIRECT("'" &amp; C$2 &amp; "'!$B:$B"), "")&lt;&gt;"", "✓", "✗"), "✗")
)</f>
        <v/>
      </c>
      <c r="D48">
        <f t="array" ref="D48">IF(
    ISNUMBER(VALUE(LEFT($A48, 1))),
    "",
    IFERROR(IF(_xlfn.XLOOKUP($A48, INDIRECT("'" &amp; D$2 &amp; "'!$A:$A"), INDIRECT("'" &amp; D$2 &amp; "'!$B:$B"), "")&lt;&gt;"", "✓", "✗"), "✗")
)</f>
        <v/>
      </c>
      <c r="E48">
        <f t="array" ref="E48">IF(
    ISNUMBER(VALUE(LEFT($A48, 1))),
    "",
    IFERROR(IF(_xlfn.XLOOKUP($A48, INDIRECT("'" &amp; E$2 &amp; "'!$A:$A"), INDIRECT("'" &amp; E$2 &amp; "'!$B:$B"), "")&lt;&gt;"", "✓", "✗"), "✗")
)</f>
        <v/>
      </c>
      <c r="F48">
        <f t="array" ref="F48">IF(
    ISNUMBER(VALUE(LEFT($A48, 1))),
    "",
    IFERROR(IF(_xlfn.XLOOKUP($A48, INDIRECT("'" &amp; F$2 &amp; "'!$A:$A"), INDIRECT("'" &amp; F$2 &amp; "'!$B:$B"), "")&lt;&gt;"", "✓", "✗"), "✗")
)</f>
        <v/>
      </c>
      <c r="G48">
        <f t="array" ref="G48">IF(
    ISNUMBER(VALUE(LEFT($A48, 1))),
    "",
    IFERROR(IF(_xlfn.XLOOKUP($A48, INDIRECT("'" &amp; G$2 &amp; "'!$A:$A"), INDIRECT("'" &amp; G$2 &amp; "'!$B:$B"), "")&lt;&gt;"", "✓", "✗"), "✗")
)</f>
        <v/>
      </c>
      <c r="H48">
        <f t="array" ref="H48">IF(
    ISNUMBER(VALUE(LEFT($A48, 1))),
    "",
    IFERROR(IF(_xlfn.XLOOKUP($A48, INDIRECT("'" &amp; H$2 &amp; "'!$A:$A"), INDIRECT("'" &amp; H$2 &amp; "'!$B:$B"), "")&lt;&gt;"", "✓", "✗"), "✗")
)</f>
        <v/>
      </c>
      <c r="I48">
        <f t="array" ref="I48">IF(
    ISNUMBER(VALUE(LEFT($A48, 1))),
    "",
    IFERROR(IF(_xlfn.XLOOKUP($A48, INDIRECT("'" &amp; I$2 &amp; "'!$A:$A"), INDIRECT("'" &amp; I$2 &amp; "'!$B:$B"), "")&lt;&gt;"", "✓", "✗"), "✗")
)</f>
        <v/>
      </c>
      <c r="J48">
        <f t="array" ref="J48">IF(
    ISNUMBER(VALUE(LEFT($A48, 1))),
    "",
    IFERROR(IF(_xlfn.XLOOKUP($A48, INDIRECT("'" &amp; J$2 &amp; "'!$A:$A"), INDIRECT("'" &amp; J$2 &amp; "'!$B:$B"), "")&lt;&gt;"", "✓", "✗"), "✗")
)</f>
        <v/>
      </c>
      <c r="K48">
        <f t="array" ref="K48">IF(
    ISNUMBER(VALUE(LEFT($A48, 1))),
    "",
    IFERROR(IF(_xlfn.XLOOKUP($A48, INDIRECT("'" &amp; K$2 &amp; "'!$A:$A"), INDIRECT("'" &amp; K$2 &amp; "'!$B:$B"), "")&lt;&gt;"", "✓", "✗"), "✗")
)</f>
        <v/>
      </c>
      <c r="L48">
        <f t="array" ref="L48">IF(
    ISNUMBER(VALUE(LEFT($A48, 1))),
    "",
    IFERROR(IF(_xlfn.XLOOKUP($A48, INDIRECT("'" &amp; L$2 &amp; "'!$A:$A"), INDIRECT("'" &amp; L$2 &amp; "'!$B:$B"), "")&lt;&gt;"", "✓", "✗"), "✗")
)</f>
        <v/>
      </c>
      <c r="M48">
        <f t="array" ref="M48">IF(
    ISNUMBER(VALUE(LEFT($A48, 1))),
    "",
    IFERROR(IF(_xlfn.XLOOKUP($A48, INDIRECT("'" &amp; M$2 &amp; "'!$A:$A"), INDIRECT("'" &amp; M$2 &amp; "'!$B:$B"), "")&lt;&gt;"", "✓", "✗"), "✗")
)</f>
        <v/>
      </c>
      <c r="N48">
        <f t="array" ref="N48">IF(
    ISNUMBER(VALUE(LEFT($A48, 1))),
    "",
    IFERROR(IF(_xlfn.XLOOKUP($A48, INDIRECT("'" &amp; N$2 &amp; "'!$A:$A"), INDIRECT("'" &amp; N$2 &amp; "'!$B:$B"), "")&lt;&gt;"", "✓", "✗"), "✗")
)</f>
        <v/>
      </c>
      <c r="O48">
        <f t="array" ref="O48">IF(
    ISNUMBER(VALUE(LEFT($A48, 1))),
    "",
    IFERROR(IF(_xlfn.XLOOKUP($A48, INDIRECT("'" &amp; O$2 &amp; "'!$A:$A"), INDIRECT("'" &amp; O$2 &amp; "'!$B:$B"), "")&lt;&gt;"", "✓", "✗"), "✗")
)</f>
        <v/>
      </c>
      <c r="P48">
        <f t="array" ref="P48">IF(
    ISNUMBER(VALUE(LEFT($A48, 1))),
    "",
    IFERROR(IF(_xlfn.XLOOKUP($A48, INDIRECT("'" &amp; P$2 &amp; "'!$A:$A"), INDIRECT("'" &amp; P$2 &amp; "'!$B:$B"), "")&lt;&gt;"", "✓", "✗"), "✗")
)</f>
        <v/>
      </c>
      <c r="Q48">
        <f t="array" ref="Q48">IF(
    ISNUMBER(VALUE(LEFT($A48, 1))),
    "",
    IFERROR(IF(_xlfn.XLOOKUP($A48, INDIRECT("'" &amp; Q$2 &amp; "'!$A:$A"), INDIRECT("'" &amp; Q$2 &amp; "'!$B:$B"), "")&lt;&gt;"", "✓", "✗"), "✗")
)</f>
        <v/>
      </c>
      <c r="R48">
        <f t="array" ref="R48">IF(
    ISNUMBER(VALUE(LEFT($A48, 1))),
    "",
    IFERROR(IF(_xlfn.XLOOKUP($A48, INDIRECT("'" &amp; R$2 &amp; "'!$A:$A"), INDIRECT("'" &amp; R$2 &amp; "'!$B:$B"), "")&lt;&gt;"", "✓", "✗"), "✗")
)</f>
        <v/>
      </c>
      <c r="S48">
        <f t="array" ref="S48">IF(
    ISNUMBER(VALUE(LEFT($A48, 1))),
    "",
    IFERROR(IF(_xlfn.XLOOKUP($A48, INDIRECT("'" &amp; S$2 &amp; "'!$A:$A"), INDIRECT("'" &amp; S$2 &amp; "'!$B:$B"), "")&lt;&gt;"", "✓", "✗"), "✗")
)</f>
        <v/>
      </c>
      <c r="T48">
        <f t="array" ref="T48">IF(
    ISNUMBER(VALUE(LEFT($A48, 1))),
    "",
    IFERROR(IF(_xlfn.XLOOKUP($A48, INDIRECT("'" &amp; T$2 &amp; "'!$A:$A"), INDIRECT("'" &amp; T$2 &amp; "'!$B:$B"), "")&lt;&gt;"", "✓", "✗"), "✗")
)</f>
        <v/>
      </c>
      <c r="U48">
        <f t="array" ref="U48">IF(
    ISNUMBER(VALUE(LEFT($A48, 1))),
    "",
    IFERROR(IF(_xlfn.XLOOKUP($A48, INDIRECT("'" &amp; U$2 &amp; "'!$A:$A"), INDIRECT("'" &amp; U$2 &amp; "'!$B:$B"), "")&lt;&gt;"", "✓", "✗"), "✗")
)</f>
        <v/>
      </c>
      <c r="V48">
        <f t="array" ref="V48">IF(
    ISNUMBER(VALUE(LEFT($A48, 1))),
    "",
    IFERROR(IF(_xlfn.XLOOKUP($A48, INDIRECT("'" &amp; V$2 &amp; "'!$A:$A"), INDIRECT("'" &amp; V$2 &amp; "'!$B:$B"), "")&lt;&gt;"", "✓", "✗"), "✗")
)</f>
        <v/>
      </c>
      <c r="W48">
        <f t="array" ref="W48">IF(
    ISNUMBER(VALUE(LEFT($A48, 1))),
    "",
    IFERROR(IF(_xlfn.XLOOKUP($A48, INDIRECT("'" &amp; W$2 &amp; "'!$A:$A"), INDIRECT("'" &amp; W$2 &amp; "'!$B:$B"), "")&lt;&gt;"", "✓", "✗"), "✗")
)</f>
        <v/>
      </c>
      <c r="X48">
        <f t="array" ref="X48">IF(
    ISNUMBER(VALUE(LEFT($A48, 1))),
    "",
    IFERROR(IF(_xlfn.XLOOKUP($A48, INDIRECT("'" &amp; X$2 &amp; "'!$A:$A"), INDIRECT("'" &amp; X$2 &amp; "'!$B:$B"), "")&lt;&gt;"", "✓", "✗"), "✗")
)</f>
        <v/>
      </c>
      <c r="Y48">
        <f t="array" ref="Y48">IF(
    ISNUMBER(VALUE(LEFT($A48, 1))),
    "",
    IFERROR(IF(_xlfn.XLOOKUP($A48, INDIRECT("'" &amp; Y$2 &amp; "'!$A:$A"), INDIRECT("'" &amp; Y$2 &amp; "'!$B:$B"), "")&lt;&gt;"", "✓", "✗"), "✗")
)</f>
        <v/>
      </c>
      <c r="Z48">
        <f t="array" ref="Z48">IF(
    ISNUMBER(VALUE(LEFT($A48, 1))),
    "",
    IFERROR(IF(_xlfn.XLOOKUP($A48, INDIRECT("'" &amp; Z$2 &amp; "'!$A:$A"), INDIRECT("'" &amp; Z$2 &amp; "'!$B:$B"), "")&lt;&gt;"", "✓", "✗"), "✗")
)</f>
        <v/>
      </c>
      <c r="AA48">
        <f t="array" ref="AA48">IF(
    ISNUMBER(VALUE(LEFT($A48, 1))),
    "",
    IFERROR(IF(_xlfn.XLOOKUP($A48, INDIRECT("'" &amp; AA$2 &amp; "'!$A:$A"), INDIRECT("'" &amp; AA$2 &amp; "'!$B:$B"), "")&lt;&gt;"", "✓", "✗"), "✗")
)</f>
        <v/>
      </c>
      <c r="AB48">
        <f t="array" ref="AB48">IF(
    ISNUMBER(VALUE(LEFT($A48, 1))),
    "",
    IFERROR(IF(_xlfn.XLOOKUP($A48, INDIRECT("'" &amp; AB$2 &amp; "'!$A:$A"), INDIRECT("'" &amp; AB$2 &amp; "'!$B:$B"), "")&lt;&gt;"", "✓", "✗"), "✗")
)</f>
        <v/>
      </c>
      <c r="AC48">
        <f t="array" ref="AC48">IF(
    ISNUMBER(VALUE(LEFT($A48, 1))),
    "",
    IFERROR(IF(_xlfn.XLOOKUP($A48, INDIRECT("'" &amp; AC$2 &amp; "'!$A:$A"), INDIRECT("'" &amp; AC$2 &amp; "'!$B:$B"), "")&lt;&gt;"", "✓", "✗"), "✗")
)</f>
        <v/>
      </c>
      <c r="AD48">
        <f t="array" ref="AD48">IF(
    ISNUMBER(VALUE(LEFT($A48, 1))),
    "",
    IFERROR(IF(_xlfn.XLOOKUP($A48, INDIRECT("'" &amp; AD$2 &amp; "'!$A:$A"), INDIRECT("'" &amp; AD$2 &amp; "'!$B:$B"), "")&lt;&gt;"", "✓", "✗"), "✗")
)</f>
        <v/>
      </c>
      <c r="AE48">
        <f t="array" ref="AE48">IF(
    ISNUMBER(VALUE(LEFT($A48, 1))),
    "",
    IFERROR(IF(_xlfn.XLOOKUP($A48, INDIRECT("'" &amp; AE$2 &amp; "'!$A:$A"), INDIRECT("'" &amp; AE$2 &amp; "'!$B:$B"), "")&lt;&gt;"", "✓", "✗"), "✗")
)</f>
        <v/>
      </c>
      <c r="AF48">
        <f t="array" ref="AF48">IF(
    ISNUMBER(VALUE(LEFT($A48, 1))),
    "",
    IFERROR(IF(_xlfn.XLOOKUP($A48, INDIRECT("'" &amp; AF$2 &amp; "'!$A:$A"), INDIRECT("'" &amp; AF$2 &amp; "'!$B:$B"), "")&lt;&gt;"", "✓", "✗"), "✗")
)</f>
        <v/>
      </c>
      <c r="AG48">
        <f t="array" ref="AG48">IF(
    ISNUMBER(VALUE(LEFT($A48, 1))),
    "",
    IFERROR(IF(_xlfn.XLOOKUP($A48, INDIRECT("'" &amp; AG$2 &amp; "'!$A:$A"), INDIRECT("'" &amp; AG$2 &amp; "'!$B:$B"), "")&lt;&gt;"", "✓", "✗"), "✗")
)</f>
        <v/>
      </c>
    </row>
    <row r="49">
      <c r="A49" t="inlineStr">
        <is>
          <t>Cross Border Storage (China Hand Raisers and Responses Only)</t>
        </is>
      </c>
      <c r="B49">
        <f t="array" ref="B49">IF(
    ISNUMBER(VALUE(LEFT($A49, 1))),
    "",
    IFERROR(IF(_xlfn.XLOOKUP($A49, INDIRECT("'" &amp; B$2 &amp; "'!$A:$A"), INDIRECT("'" &amp; B$2 &amp; "'!$B:$B"), "")&lt;&gt;"", "✓", "✗"), "✗")
)</f>
        <v/>
      </c>
      <c r="C49">
        <f t="array" ref="C49">IF(
    ISNUMBER(VALUE(LEFT($A49, 1))),
    "",
    IFERROR(IF(_xlfn.XLOOKUP($A49, INDIRECT("'" &amp; C$2 &amp; "'!$A:$A"), INDIRECT("'" &amp; C$2 &amp; "'!$B:$B"), "")&lt;&gt;"", "✓", "✗"), "✗")
)</f>
        <v/>
      </c>
      <c r="D49">
        <f t="array" ref="D49">IF(
    ISNUMBER(VALUE(LEFT($A49, 1))),
    "",
    IFERROR(IF(_xlfn.XLOOKUP($A49, INDIRECT("'" &amp; D$2 &amp; "'!$A:$A"), INDIRECT("'" &amp; D$2 &amp; "'!$B:$B"), "")&lt;&gt;"", "✓", "✗"), "✗")
)</f>
        <v/>
      </c>
      <c r="E49">
        <f t="array" ref="E49">IF(
    ISNUMBER(VALUE(LEFT($A49, 1))),
    "",
    IFERROR(IF(_xlfn.XLOOKUP($A49, INDIRECT("'" &amp; E$2 &amp; "'!$A:$A"), INDIRECT("'" &amp; E$2 &amp; "'!$B:$B"), "")&lt;&gt;"", "✓", "✗"), "✗")
)</f>
        <v/>
      </c>
      <c r="F49">
        <f t="array" ref="F49">IF(
    ISNUMBER(VALUE(LEFT($A49, 1))),
    "",
    IFERROR(IF(_xlfn.XLOOKUP($A49, INDIRECT("'" &amp; F$2 &amp; "'!$A:$A"), INDIRECT("'" &amp; F$2 &amp; "'!$B:$B"), "")&lt;&gt;"", "✓", "✗"), "✗")
)</f>
        <v/>
      </c>
      <c r="G49">
        <f t="array" ref="G49">IF(
    ISNUMBER(VALUE(LEFT($A49, 1))),
    "",
    IFERROR(IF(_xlfn.XLOOKUP($A49, INDIRECT("'" &amp; G$2 &amp; "'!$A:$A"), INDIRECT("'" &amp; G$2 &amp; "'!$B:$B"), "")&lt;&gt;"", "✓", "✗"), "✗")
)</f>
        <v/>
      </c>
      <c r="H49">
        <f t="array" ref="H49">IF(
    ISNUMBER(VALUE(LEFT($A49, 1))),
    "",
    IFERROR(IF(_xlfn.XLOOKUP($A49, INDIRECT("'" &amp; H$2 &amp; "'!$A:$A"), INDIRECT("'" &amp; H$2 &amp; "'!$B:$B"), "")&lt;&gt;"", "✓", "✗"), "✗")
)</f>
        <v/>
      </c>
      <c r="I49">
        <f t="array" ref="I49">IF(
    ISNUMBER(VALUE(LEFT($A49, 1))),
    "",
    IFERROR(IF(_xlfn.XLOOKUP($A49, INDIRECT("'" &amp; I$2 &amp; "'!$A:$A"), INDIRECT("'" &amp; I$2 &amp; "'!$B:$B"), "")&lt;&gt;"", "✓", "✗"), "✗")
)</f>
        <v/>
      </c>
      <c r="J49">
        <f t="array" ref="J49">IF(
    ISNUMBER(VALUE(LEFT($A49, 1))),
    "",
    IFERROR(IF(_xlfn.XLOOKUP($A49, INDIRECT("'" &amp; J$2 &amp; "'!$A:$A"), INDIRECT("'" &amp; J$2 &amp; "'!$B:$B"), "")&lt;&gt;"", "✓", "✗"), "✗")
)</f>
        <v/>
      </c>
      <c r="K49">
        <f t="array" ref="K49">IF(
    ISNUMBER(VALUE(LEFT($A49, 1))),
    "",
    IFERROR(IF(_xlfn.XLOOKUP($A49, INDIRECT("'" &amp; K$2 &amp; "'!$A:$A"), INDIRECT("'" &amp; K$2 &amp; "'!$B:$B"), "")&lt;&gt;"", "✓", "✗"), "✗")
)</f>
        <v/>
      </c>
      <c r="L49">
        <f t="array" ref="L49">IF(
    ISNUMBER(VALUE(LEFT($A49, 1))),
    "",
    IFERROR(IF(_xlfn.XLOOKUP($A49, INDIRECT("'" &amp; L$2 &amp; "'!$A:$A"), INDIRECT("'" &amp; L$2 &amp; "'!$B:$B"), "")&lt;&gt;"", "✓", "✗"), "✗")
)</f>
        <v/>
      </c>
      <c r="M49">
        <f t="array" ref="M49">IF(
    ISNUMBER(VALUE(LEFT($A49, 1))),
    "",
    IFERROR(IF(_xlfn.XLOOKUP($A49, INDIRECT("'" &amp; M$2 &amp; "'!$A:$A"), INDIRECT("'" &amp; M$2 &amp; "'!$B:$B"), "")&lt;&gt;"", "✓", "✗"), "✗")
)</f>
        <v/>
      </c>
      <c r="N49">
        <f t="array" ref="N49">IF(
    ISNUMBER(VALUE(LEFT($A49, 1))),
    "",
    IFERROR(IF(_xlfn.XLOOKUP($A49, INDIRECT("'" &amp; N$2 &amp; "'!$A:$A"), INDIRECT("'" &amp; N$2 &amp; "'!$B:$B"), "")&lt;&gt;"", "✓", "✗"), "✗")
)</f>
        <v/>
      </c>
      <c r="O49">
        <f t="array" ref="O49">IF(
    ISNUMBER(VALUE(LEFT($A49, 1))),
    "",
    IFERROR(IF(_xlfn.XLOOKUP($A49, INDIRECT("'" &amp; O$2 &amp; "'!$A:$A"), INDIRECT("'" &amp; O$2 &amp; "'!$B:$B"), "")&lt;&gt;"", "✓", "✗"), "✗")
)</f>
        <v/>
      </c>
      <c r="P49">
        <f t="array" ref="P49">IF(
    ISNUMBER(VALUE(LEFT($A49, 1))),
    "",
    IFERROR(IF(_xlfn.XLOOKUP($A49, INDIRECT("'" &amp; P$2 &amp; "'!$A:$A"), INDIRECT("'" &amp; P$2 &amp; "'!$B:$B"), "")&lt;&gt;"", "✓", "✗"), "✗")
)</f>
        <v/>
      </c>
      <c r="Q49">
        <f t="array" ref="Q49">IF(
    ISNUMBER(VALUE(LEFT($A49, 1))),
    "",
    IFERROR(IF(_xlfn.XLOOKUP($A49, INDIRECT("'" &amp; Q$2 &amp; "'!$A:$A"), INDIRECT("'" &amp; Q$2 &amp; "'!$B:$B"), "")&lt;&gt;"", "✓", "✗"), "✗")
)</f>
        <v/>
      </c>
      <c r="R49">
        <f t="array" ref="R49">IF(
    ISNUMBER(VALUE(LEFT($A49, 1))),
    "",
    IFERROR(IF(_xlfn.XLOOKUP($A49, INDIRECT("'" &amp; R$2 &amp; "'!$A:$A"), INDIRECT("'" &amp; R$2 &amp; "'!$B:$B"), "")&lt;&gt;"", "✓", "✗"), "✗")
)</f>
        <v/>
      </c>
      <c r="S49">
        <f t="array" ref="S49">IF(
    ISNUMBER(VALUE(LEFT($A49, 1))),
    "",
    IFERROR(IF(_xlfn.XLOOKUP($A49, INDIRECT("'" &amp; S$2 &amp; "'!$A:$A"), INDIRECT("'" &amp; S$2 &amp; "'!$B:$B"), "")&lt;&gt;"", "✓", "✗"), "✗")
)</f>
        <v/>
      </c>
      <c r="T49">
        <f t="array" ref="T49">IF(
    ISNUMBER(VALUE(LEFT($A49, 1))),
    "",
    IFERROR(IF(_xlfn.XLOOKUP($A49, INDIRECT("'" &amp; T$2 &amp; "'!$A:$A"), INDIRECT("'" &amp; T$2 &amp; "'!$B:$B"), "")&lt;&gt;"", "✓", "✗"), "✗")
)</f>
        <v/>
      </c>
      <c r="U49">
        <f t="array" ref="U49">IF(
    ISNUMBER(VALUE(LEFT($A49, 1))),
    "",
    IFERROR(IF(_xlfn.XLOOKUP($A49, INDIRECT("'" &amp; U$2 &amp; "'!$A:$A"), INDIRECT("'" &amp; U$2 &amp; "'!$B:$B"), "")&lt;&gt;"", "✓", "✗"), "✗")
)</f>
        <v/>
      </c>
      <c r="V49">
        <f t="array" ref="V49">IF(
    ISNUMBER(VALUE(LEFT($A49, 1))),
    "",
    IFERROR(IF(_xlfn.XLOOKUP($A49, INDIRECT("'" &amp; V$2 &amp; "'!$A:$A"), INDIRECT("'" &amp; V$2 &amp; "'!$B:$B"), "")&lt;&gt;"", "✓", "✗"), "✗")
)</f>
        <v/>
      </c>
      <c r="W49">
        <f t="array" ref="W49">IF(
    ISNUMBER(VALUE(LEFT($A49, 1))),
    "",
    IFERROR(IF(_xlfn.XLOOKUP($A49, INDIRECT("'" &amp; W$2 &amp; "'!$A:$A"), INDIRECT("'" &amp; W$2 &amp; "'!$B:$B"), "")&lt;&gt;"", "✓", "✗"), "✗")
)</f>
        <v/>
      </c>
      <c r="X49">
        <f t="array" ref="X49">IF(
    ISNUMBER(VALUE(LEFT($A49, 1))),
    "",
    IFERROR(IF(_xlfn.XLOOKUP($A49, INDIRECT("'" &amp; X$2 &amp; "'!$A:$A"), INDIRECT("'" &amp; X$2 &amp; "'!$B:$B"), "")&lt;&gt;"", "✓", "✗"), "✗")
)</f>
        <v/>
      </c>
      <c r="Y49">
        <f t="array" ref="Y49">IF(
    ISNUMBER(VALUE(LEFT($A49, 1))),
    "",
    IFERROR(IF(_xlfn.XLOOKUP($A49, INDIRECT("'" &amp; Y$2 &amp; "'!$A:$A"), INDIRECT("'" &amp; Y$2 &amp; "'!$B:$B"), "")&lt;&gt;"", "✓", "✗"), "✗")
)</f>
        <v/>
      </c>
      <c r="Z49">
        <f t="array" ref="Z49">IF(
    ISNUMBER(VALUE(LEFT($A49, 1))),
    "",
    IFERROR(IF(_xlfn.XLOOKUP($A49, INDIRECT("'" &amp; Z$2 &amp; "'!$A:$A"), INDIRECT("'" &amp; Z$2 &amp; "'!$B:$B"), "")&lt;&gt;"", "✓", "✗"), "✗")
)</f>
        <v/>
      </c>
      <c r="AA49">
        <f t="array" ref="AA49">IF(
    ISNUMBER(VALUE(LEFT($A49, 1))),
    "",
    IFERROR(IF(_xlfn.XLOOKUP($A49, INDIRECT("'" &amp; AA$2 &amp; "'!$A:$A"), INDIRECT("'" &amp; AA$2 &amp; "'!$B:$B"), "")&lt;&gt;"", "✓", "✗"), "✗")
)</f>
        <v/>
      </c>
      <c r="AB49">
        <f t="array" ref="AB49">IF(
    ISNUMBER(VALUE(LEFT($A49, 1))),
    "",
    IFERROR(IF(_xlfn.XLOOKUP($A49, INDIRECT("'" &amp; AB$2 &amp; "'!$A:$A"), INDIRECT("'" &amp; AB$2 &amp; "'!$B:$B"), "")&lt;&gt;"", "✓", "✗"), "✗")
)</f>
        <v/>
      </c>
      <c r="AC49">
        <f t="array" ref="AC49">IF(
    ISNUMBER(VALUE(LEFT($A49, 1))),
    "",
    IFERROR(IF(_xlfn.XLOOKUP($A49, INDIRECT("'" &amp; AC$2 &amp; "'!$A:$A"), INDIRECT("'" &amp; AC$2 &amp; "'!$B:$B"), "")&lt;&gt;"", "✓", "✗"), "✗")
)</f>
        <v/>
      </c>
      <c r="AD49">
        <f t="array" ref="AD49">IF(
    ISNUMBER(VALUE(LEFT($A49, 1))),
    "",
    IFERROR(IF(_xlfn.XLOOKUP($A49, INDIRECT("'" &amp; AD$2 &amp; "'!$A:$A"), INDIRECT("'" &amp; AD$2 &amp; "'!$B:$B"), "")&lt;&gt;"", "✓", "✗"), "✗")
)</f>
        <v/>
      </c>
      <c r="AE49">
        <f t="array" ref="AE49">IF(
    ISNUMBER(VALUE(LEFT($A49, 1))),
    "",
    IFERROR(IF(_xlfn.XLOOKUP($A49, INDIRECT("'" &amp; AE$2 &amp; "'!$A:$A"), INDIRECT("'" &amp; AE$2 &amp; "'!$B:$B"), "")&lt;&gt;"", "✓", "✗"), "✗")
)</f>
        <v/>
      </c>
      <c r="AF49">
        <f t="array" ref="AF49">IF(
    ISNUMBER(VALUE(LEFT($A49, 1))),
    "",
    IFERROR(IF(_xlfn.XLOOKUP($A49, INDIRECT("'" &amp; AF$2 &amp; "'!$A:$A"), INDIRECT("'" &amp; AF$2 &amp; "'!$B:$B"), "")&lt;&gt;"", "✓", "✗"), "✗")
)</f>
        <v/>
      </c>
      <c r="AG49">
        <f t="array" ref="AG49">IF(
    ISNUMBER(VALUE(LEFT($A49, 1))),
    "",
    IFERROR(IF(_xlfn.XLOOKUP($A49, INDIRECT("'" &amp; AG$2 &amp; "'!$A:$A"), INDIRECT("'" &amp; AG$2 &amp; "'!$B:$B"), "")&lt;&gt;"", "✓", "✗"), "✗")
)</f>
        <v/>
      </c>
    </row>
    <row r="50">
      <c r="A50" t="inlineStr">
        <is>
          <t>Korea and Vietnam Combined Consent</t>
        </is>
      </c>
      <c r="B50">
        <f t="array" ref="B50">IF(
    ISNUMBER(VALUE(LEFT($A50, 1))),
    "",
    IFERROR(IF(_xlfn.XLOOKUP($A50, INDIRECT("'" &amp; B$2 &amp; "'!$A:$A"), INDIRECT("'" &amp; B$2 &amp; "'!$B:$B"), "")&lt;&gt;"", "✓", "✗"), "✗")
)</f>
        <v/>
      </c>
      <c r="C50">
        <f t="array" ref="C50">IF(
    ISNUMBER(VALUE(LEFT($A50, 1))),
    "",
    IFERROR(IF(_xlfn.XLOOKUP($A50, INDIRECT("'" &amp; C$2 &amp; "'!$A:$A"), INDIRECT("'" &amp; C$2 &amp; "'!$B:$B"), "")&lt;&gt;"", "✓", "✗"), "✗")
)</f>
        <v/>
      </c>
      <c r="D50">
        <f t="array" ref="D50">IF(
    ISNUMBER(VALUE(LEFT($A50, 1))),
    "",
    IFERROR(IF(_xlfn.XLOOKUP($A50, INDIRECT("'" &amp; D$2 &amp; "'!$A:$A"), INDIRECT("'" &amp; D$2 &amp; "'!$B:$B"), "")&lt;&gt;"", "✓", "✗"), "✗")
)</f>
        <v/>
      </c>
      <c r="E50">
        <f t="array" ref="E50">IF(
    ISNUMBER(VALUE(LEFT($A50, 1))),
    "",
    IFERROR(IF(_xlfn.XLOOKUP($A50, INDIRECT("'" &amp; E$2 &amp; "'!$A:$A"), INDIRECT("'" &amp; E$2 &amp; "'!$B:$B"), "")&lt;&gt;"", "✓", "✗"), "✗")
)</f>
        <v/>
      </c>
      <c r="F50">
        <f t="array" ref="F50">IF(
    ISNUMBER(VALUE(LEFT($A50, 1))),
    "",
    IFERROR(IF(_xlfn.XLOOKUP($A50, INDIRECT("'" &amp; F$2 &amp; "'!$A:$A"), INDIRECT("'" &amp; F$2 &amp; "'!$B:$B"), "")&lt;&gt;"", "✓", "✗"), "✗")
)</f>
        <v/>
      </c>
      <c r="G50">
        <f t="array" ref="G50">IF(
    ISNUMBER(VALUE(LEFT($A50, 1))),
    "",
    IFERROR(IF(_xlfn.XLOOKUP($A50, INDIRECT("'" &amp; G$2 &amp; "'!$A:$A"), INDIRECT("'" &amp; G$2 &amp; "'!$B:$B"), "")&lt;&gt;"", "✓", "✗"), "✗")
)</f>
        <v/>
      </c>
      <c r="H50">
        <f t="array" ref="H50">IF(
    ISNUMBER(VALUE(LEFT($A50, 1))),
    "",
    IFERROR(IF(_xlfn.XLOOKUP($A50, INDIRECT("'" &amp; H$2 &amp; "'!$A:$A"), INDIRECT("'" &amp; H$2 &amp; "'!$B:$B"), "")&lt;&gt;"", "✓", "✗"), "✗")
)</f>
        <v/>
      </c>
      <c r="I50">
        <f t="array" ref="I50">IF(
    ISNUMBER(VALUE(LEFT($A50, 1))),
    "",
    IFERROR(IF(_xlfn.XLOOKUP($A50, INDIRECT("'" &amp; I$2 &amp; "'!$A:$A"), INDIRECT("'" &amp; I$2 &amp; "'!$B:$B"), "")&lt;&gt;"", "✓", "✗"), "✗")
)</f>
        <v/>
      </c>
      <c r="J50">
        <f t="array" ref="J50">IF(
    ISNUMBER(VALUE(LEFT($A50, 1))),
    "",
    IFERROR(IF(_xlfn.XLOOKUP($A50, INDIRECT("'" &amp; J$2 &amp; "'!$A:$A"), INDIRECT("'" &amp; J$2 &amp; "'!$B:$B"), "")&lt;&gt;"", "✓", "✗"), "✗")
)</f>
        <v/>
      </c>
      <c r="K50">
        <f t="array" ref="K50">IF(
    ISNUMBER(VALUE(LEFT($A50, 1))),
    "",
    IFERROR(IF(_xlfn.XLOOKUP($A50, INDIRECT("'" &amp; K$2 &amp; "'!$A:$A"), INDIRECT("'" &amp; K$2 &amp; "'!$B:$B"), "")&lt;&gt;"", "✓", "✗"), "✗")
)</f>
        <v/>
      </c>
      <c r="L50">
        <f t="array" ref="L50">IF(
    ISNUMBER(VALUE(LEFT($A50, 1))),
    "",
    IFERROR(IF(_xlfn.XLOOKUP($A50, INDIRECT("'" &amp; L$2 &amp; "'!$A:$A"), INDIRECT("'" &amp; L$2 &amp; "'!$B:$B"), "")&lt;&gt;"", "✓", "✗"), "✗")
)</f>
        <v/>
      </c>
      <c r="M50">
        <f t="array" ref="M50">IF(
    ISNUMBER(VALUE(LEFT($A50, 1))),
    "",
    IFERROR(IF(_xlfn.XLOOKUP($A50, INDIRECT("'" &amp; M$2 &amp; "'!$A:$A"), INDIRECT("'" &amp; M$2 &amp; "'!$B:$B"), "")&lt;&gt;"", "✓", "✗"), "✗")
)</f>
        <v/>
      </c>
      <c r="N50">
        <f t="array" ref="N50">IF(
    ISNUMBER(VALUE(LEFT($A50, 1))),
    "",
    IFERROR(IF(_xlfn.XLOOKUP($A50, INDIRECT("'" &amp; N$2 &amp; "'!$A:$A"), INDIRECT("'" &amp; N$2 &amp; "'!$B:$B"), "")&lt;&gt;"", "✓", "✗"), "✗")
)</f>
        <v/>
      </c>
      <c r="O50">
        <f t="array" ref="O50">IF(
    ISNUMBER(VALUE(LEFT($A50, 1))),
    "",
    IFERROR(IF(_xlfn.XLOOKUP($A50, INDIRECT("'" &amp; O$2 &amp; "'!$A:$A"), INDIRECT("'" &amp; O$2 &amp; "'!$B:$B"), "")&lt;&gt;"", "✓", "✗"), "✗")
)</f>
        <v/>
      </c>
      <c r="P50">
        <f t="array" ref="P50">IF(
    ISNUMBER(VALUE(LEFT($A50, 1))),
    "",
    IFERROR(IF(_xlfn.XLOOKUP($A50, INDIRECT("'" &amp; P$2 &amp; "'!$A:$A"), INDIRECT("'" &amp; P$2 &amp; "'!$B:$B"), "")&lt;&gt;"", "✓", "✗"), "✗")
)</f>
        <v/>
      </c>
      <c r="Q50">
        <f t="array" ref="Q50">IF(
    ISNUMBER(VALUE(LEFT($A50, 1))),
    "",
    IFERROR(IF(_xlfn.XLOOKUP($A50, INDIRECT("'" &amp; Q$2 &amp; "'!$A:$A"), INDIRECT("'" &amp; Q$2 &amp; "'!$B:$B"), "")&lt;&gt;"", "✓", "✗"), "✗")
)</f>
        <v/>
      </c>
      <c r="R50">
        <f t="array" ref="R50">IF(
    ISNUMBER(VALUE(LEFT($A50, 1))),
    "",
    IFERROR(IF(_xlfn.XLOOKUP($A50, INDIRECT("'" &amp; R$2 &amp; "'!$A:$A"), INDIRECT("'" &amp; R$2 &amp; "'!$B:$B"), "")&lt;&gt;"", "✓", "✗"), "✗")
)</f>
        <v/>
      </c>
      <c r="S50">
        <f t="array" ref="S50">IF(
    ISNUMBER(VALUE(LEFT($A50, 1))),
    "",
    IFERROR(IF(_xlfn.XLOOKUP($A50, INDIRECT("'" &amp; S$2 &amp; "'!$A:$A"), INDIRECT("'" &amp; S$2 &amp; "'!$B:$B"), "")&lt;&gt;"", "✓", "✗"), "✗")
)</f>
        <v/>
      </c>
      <c r="T50">
        <f t="array" ref="T50">IF(
    ISNUMBER(VALUE(LEFT($A50, 1))),
    "",
    IFERROR(IF(_xlfn.XLOOKUP($A50, INDIRECT("'" &amp; T$2 &amp; "'!$A:$A"), INDIRECT("'" &amp; T$2 &amp; "'!$B:$B"), "")&lt;&gt;"", "✓", "✗"), "✗")
)</f>
        <v/>
      </c>
      <c r="U50">
        <f t="array" ref="U50">IF(
    ISNUMBER(VALUE(LEFT($A50, 1))),
    "",
    IFERROR(IF(_xlfn.XLOOKUP($A50, INDIRECT("'" &amp; U$2 &amp; "'!$A:$A"), INDIRECT("'" &amp; U$2 &amp; "'!$B:$B"), "")&lt;&gt;"", "✓", "✗"), "✗")
)</f>
        <v/>
      </c>
      <c r="V50">
        <f t="array" ref="V50">IF(
    ISNUMBER(VALUE(LEFT($A50, 1))),
    "",
    IFERROR(IF(_xlfn.XLOOKUP($A50, INDIRECT("'" &amp; V$2 &amp; "'!$A:$A"), INDIRECT("'" &amp; V$2 &amp; "'!$B:$B"), "")&lt;&gt;"", "✓", "✗"), "✗")
)</f>
        <v/>
      </c>
      <c r="W50">
        <f t="array" ref="W50">IF(
    ISNUMBER(VALUE(LEFT($A50, 1))),
    "",
    IFERROR(IF(_xlfn.XLOOKUP($A50, INDIRECT("'" &amp; W$2 &amp; "'!$A:$A"), INDIRECT("'" &amp; W$2 &amp; "'!$B:$B"), "")&lt;&gt;"", "✓", "✗"), "✗")
)</f>
        <v/>
      </c>
      <c r="X50">
        <f t="array" ref="X50">IF(
    ISNUMBER(VALUE(LEFT($A50, 1))),
    "",
    IFERROR(IF(_xlfn.XLOOKUP($A50, INDIRECT("'" &amp; X$2 &amp; "'!$A:$A"), INDIRECT("'" &amp; X$2 &amp; "'!$B:$B"), "")&lt;&gt;"", "✓", "✗"), "✗")
)</f>
        <v/>
      </c>
      <c r="Y50">
        <f t="array" ref="Y50">IF(
    ISNUMBER(VALUE(LEFT($A50, 1))),
    "",
    IFERROR(IF(_xlfn.XLOOKUP($A50, INDIRECT("'" &amp; Y$2 &amp; "'!$A:$A"), INDIRECT("'" &amp; Y$2 &amp; "'!$B:$B"), "")&lt;&gt;"", "✓", "✗"), "✗")
)</f>
        <v/>
      </c>
      <c r="Z50">
        <f t="array" ref="Z50">IF(
    ISNUMBER(VALUE(LEFT($A50, 1))),
    "",
    IFERROR(IF(_xlfn.XLOOKUP($A50, INDIRECT("'" &amp; Z$2 &amp; "'!$A:$A"), INDIRECT("'" &amp; Z$2 &amp; "'!$B:$B"), "")&lt;&gt;"", "✓", "✗"), "✗")
)</f>
        <v/>
      </c>
      <c r="AA50">
        <f t="array" ref="AA50">IF(
    ISNUMBER(VALUE(LEFT($A50, 1))),
    "",
    IFERROR(IF(_xlfn.XLOOKUP($A50, INDIRECT("'" &amp; AA$2 &amp; "'!$A:$A"), INDIRECT("'" &amp; AA$2 &amp; "'!$B:$B"), "")&lt;&gt;"", "✓", "✗"), "✗")
)</f>
        <v/>
      </c>
      <c r="AB50">
        <f t="array" ref="AB50">IF(
    ISNUMBER(VALUE(LEFT($A50, 1))),
    "",
    IFERROR(IF(_xlfn.XLOOKUP($A50, INDIRECT("'" &amp; AB$2 &amp; "'!$A:$A"), INDIRECT("'" &amp; AB$2 &amp; "'!$B:$B"), "")&lt;&gt;"", "✓", "✗"), "✗")
)</f>
        <v/>
      </c>
      <c r="AC50">
        <f t="array" ref="AC50">IF(
    ISNUMBER(VALUE(LEFT($A50, 1))),
    "",
    IFERROR(IF(_xlfn.XLOOKUP($A50, INDIRECT("'" &amp; AC$2 &amp; "'!$A:$A"), INDIRECT("'" &amp; AC$2 &amp; "'!$B:$B"), "")&lt;&gt;"", "✓", "✗"), "✗")
)</f>
        <v/>
      </c>
      <c r="AD50">
        <f t="array" ref="AD50">IF(
    ISNUMBER(VALUE(LEFT($A50, 1))),
    "",
    IFERROR(IF(_xlfn.XLOOKUP($A50, INDIRECT("'" &amp; AD$2 &amp; "'!$A:$A"), INDIRECT("'" &amp; AD$2 &amp; "'!$B:$B"), "")&lt;&gt;"", "✓", "✗"), "✗")
)</f>
        <v/>
      </c>
      <c r="AE50">
        <f t="array" ref="AE50">IF(
    ISNUMBER(VALUE(LEFT($A50, 1))),
    "",
    IFERROR(IF(_xlfn.XLOOKUP($A50, INDIRECT("'" &amp; AE$2 &amp; "'!$A:$A"), INDIRECT("'" &amp; AE$2 &amp; "'!$B:$B"), "")&lt;&gt;"", "✓", "✗"), "✗")
)</f>
        <v/>
      </c>
      <c r="AF50">
        <f t="array" ref="AF50">IF(
    ISNUMBER(VALUE(LEFT($A50, 1))),
    "",
    IFERROR(IF(_xlfn.XLOOKUP($A50, INDIRECT("'" &amp; AF$2 &amp; "'!$A:$A"), INDIRECT("'" &amp; AF$2 &amp; "'!$B:$B"), "")&lt;&gt;"", "✓", "✗"), "✗")
)</f>
        <v/>
      </c>
      <c r="AG50">
        <f t="array" ref="AG50">IF(
    ISNUMBER(VALUE(LEFT($A50, 1))),
    "",
    IFERROR(IF(_xlfn.XLOOKUP($A50, INDIRECT("'" &amp; AG$2 &amp; "'!$A:$A"), INDIRECT("'" &amp; AG$2 &amp; "'!$B:$B"), "")&lt;&gt;"", "✓", "✗"), "✗")
)</f>
        <v/>
      </c>
    </row>
    <row r="51">
      <c r="A51" t="inlineStr">
        <is>
          <t>Share Data with Cisco Affiliates and Suppliers (China Hand Raisers and Responses Only)</t>
        </is>
      </c>
      <c r="B51">
        <f t="array" ref="B51">IF(
    ISNUMBER(VALUE(LEFT($A51, 1))),
    "",
    IFERROR(IF(_xlfn.XLOOKUP($A51, INDIRECT("'" &amp; B$2 &amp; "'!$A:$A"), INDIRECT("'" &amp; B$2 &amp; "'!$B:$B"), "")&lt;&gt;"", "✓", "✗"), "✗")
)</f>
        <v/>
      </c>
      <c r="C51">
        <f t="array" ref="C51">IF(
    ISNUMBER(VALUE(LEFT($A51, 1))),
    "",
    IFERROR(IF(_xlfn.XLOOKUP($A51, INDIRECT("'" &amp; C$2 &amp; "'!$A:$A"), INDIRECT("'" &amp; C$2 &amp; "'!$B:$B"), "")&lt;&gt;"", "✓", "✗"), "✗")
)</f>
        <v/>
      </c>
      <c r="D51">
        <f t="array" ref="D51">IF(
    ISNUMBER(VALUE(LEFT($A51, 1))),
    "",
    IFERROR(IF(_xlfn.XLOOKUP($A51, INDIRECT("'" &amp; D$2 &amp; "'!$A:$A"), INDIRECT("'" &amp; D$2 &amp; "'!$B:$B"), "")&lt;&gt;"", "✓", "✗"), "✗")
)</f>
        <v/>
      </c>
      <c r="E51">
        <f t="array" ref="E51">IF(
    ISNUMBER(VALUE(LEFT($A51, 1))),
    "",
    IFERROR(IF(_xlfn.XLOOKUP($A51, INDIRECT("'" &amp; E$2 &amp; "'!$A:$A"), INDIRECT("'" &amp; E$2 &amp; "'!$B:$B"), "")&lt;&gt;"", "✓", "✗"), "✗")
)</f>
        <v/>
      </c>
      <c r="F51">
        <f t="array" ref="F51">IF(
    ISNUMBER(VALUE(LEFT($A51, 1))),
    "",
    IFERROR(IF(_xlfn.XLOOKUP($A51, INDIRECT("'" &amp; F$2 &amp; "'!$A:$A"), INDIRECT("'" &amp; F$2 &amp; "'!$B:$B"), "")&lt;&gt;"", "✓", "✗"), "✗")
)</f>
        <v/>
      </c>
      <c r="G51">
        <f t="array" ref="G51">IF(
    ISNUMBER(VALUE(LEFT($A51, 1))),
    "",
    IFERROR(IF(_xlfn.XLOOKUP($A51, INDIRECT("'" &amp; G$2 &amp; "'!$A:$A"), INDIRECT("'" &amp; G$2 &amp; "'!$B:$B"), "")&lt;&gt;"", "✓", "✗"), "✗")
)</f>
        <v/>
      </c>
      <c r="H51">
        <f t="array" ref="H51">IF(
    ISNUMBER(VALUE(LEFT($A51, 1))),
    "",
    IFERROR(IF(_xlfn.XLOOKUP($A51, INDIRECT("'" &amp; H$2 &amp; "'!$A:$A"), INDIRECT("'" &amp; H$2 &amp; "'!$B:$B"), "")&lt;&gt;"", "✓", "✗"), "✗")
)</f>
        <v/>
      </c>
      <c r="I51">
        <f t="array" ref="I51">IF(
    ISNUMBER(VALUE(LEFT($A51, 1))),
    "",
    IFERROR(IF(_xlfn.XLOOKUP($A51, INDIRECT("'" &amp; I$2 &amp; "'!$A:$A"), INDIRECT("'" &amp; I$2 &amp; "'!$B:$B"), "")&lt;&gt;"", "✓", "✗"), "✗")
)</f>
        <v/>
      </c>
      <c r="J51">
        <f t="array" ref="J51">IF(
    ISNUMBER(VALUE(LEFT($A51, 1))),
    "",
    IFERROR(IF(_xlfn.XLOOKUP($A51, INDIRECT("'" &amp; J$2 &amp; "'!$A:$A"), INDIRECT("'" &amp; J$2 &amp; "'!$B:$B"), "")&lt;&gt;"", "✓", "✗"), "✗")
)</f>
        <v/>
      </c>
      <c r="K51">
        <f t="array" ref="K51">IF(
    ISNUMBER(VALUE(LEFT($A51, 1))),
    "",
    IFERROR(IF(_xlfn.XLOOKUP($A51, INDIRECT("'" &amp; K$2 &amp; "'!$A:$A"), INDIRECT("'" &amp; K$2 &amp; "'!$B:$B"), "")&lt;&gt;"", "✓", "✗"), "✗")
)</f>
        <v/>
      </c>
      <c r="L51">
        <f t="array" ref="L51">IF(
    ISNUMBER(VALUE(LEFT($A51, 1))),
    "",
    IFERROR(IF(_xlfn.XLOOKUP($A51, INDIRECT("'" &amp; L$2 &amp; "'!$A:$A"), INDIRECT("'" &amp; L$2 &amp; "'!$B:$B"), "")&lt;&gt;"", "✓", "✗"), "✗")
)</f>
        <v/>
      </c>
      <c r="M51">
        <f t="array" ref="M51">IF(
    ISNUMBER(VALUE(LEFT($A51, 1))),
    "",
    IFERROR(IF(_xlfn.XLOOKUP($A51, INDIRECT("'" &amp; M$2 &amp; "'!$A:$A"), INDIRECT("'" &amp; M$2 &amp; "'!$B:$B"), "")&lt;&gt;"", "✓", "✗"), "✗")
)</f>
        <v/>
      </c>
      <c r="N51">
        <f t="array" ref="N51">IF(
    ISNUMBER(VALUE(LEFT($A51, 1))),
    "",
    IFERROR(IF(_xlfn.XLOOKUP($A51, INDIRECT("'" &amp; N$2 &amp; "'!$A:$A"), INDIRECT("'" &amp; N$2 &amp; "'!$B:$B"), "")&lt;&gt;"", "✓", "✗"), "✗")
)</f>
        <v/>
      </c>
      <c r="O51">
        <f t="array" ref="O51">IF(
    ISNUMBER(VALUE(LEFT($A51, 1))),
    "",
    IFERROR(IF(_xlfn.XLOOKUP($A51, INDIRECT("'" &amp; O$2 &amp; "'!$A:$A"), INDIRECT("'" &amp; O$2 &amp; "'!$B:$B"), "")&lt;&gt;"", "✓", "✗"), "✗")
)</f>
        <v/>
      </c>
      <c r="P51">
        <f t="array" ref="P51">IF(
    ISNUMBER(VALUE(LEFT($A51, 1))),
    "",
    IFERROR(IF(_xlfn.XLOOKUP($A51, INDIRECT("'" &amp; P$2 &amp; "'!$A:$A"), INDIRECT("'" &amp; P$2 &amp; "'!$B:$B"), "")&lt;&gt;"", "✓", "✗"), "✗")
)</f>
        <v/>
      </c>
      <c r="Q51">
        <f t="array" ref="Q51">IF(
    ISNUMBER(VALUE(LEFT($A51, 1))),
    "",
    IFERROR(IF(_xlfn.XLOOKUP($A51, INDIRECT("'" &amp; Q$2 &amp; "'!$A:$A"), INDIRECT("'" &amp; Q$2 &amp; "'!$B:$B"), "")&lt;&gt;"", "✓", "✗"), "✗")
)</f>
        <v/>
      </c>
      <c r="R51">
        <f t="array" ref="R51">IF(
    ISNUMBER(VALUE(LEFT($A51, 1))),
    "",
    IFERROR(IF(_xlfn.XLOOKUP($A51, INDIRECT("'" &amp; R$2 &amp; "'!$A:$A"), INDIRECT("'" &amp; R$2 &amp; "'!$B:$B"), "")&lt;&gt;"", "✓", "✗"), "✗")
)</f>
        <v/>
      </c>
      <c r="S51">
        <f t="array" ref="S51">IF(
    ISNUMBER(VALUE(LEFT($A51, 1))),
    "",
    IFERROR(IF(_xlfn.XLOOKUP($A51, INDIRECT("'" &amp; S$2 &amp; "'!$A:$A"), INDIRECT("'" &amp; S$2 &amp; "'!$B:$B"), "")&lt;&gt;"", "✓", "✗"), "✗")
)</f>
        <v/>
      </c>
      <c r="T51">
        <f t="array" ref="T51">IF(
    ISNUMBER(VALUE(LEFT($A51, 1))),
    "",
    IFERROR(IF(_xlfn.XLOOKUP($A51, INDIRECT("'" &amp; T$2 &amp; "'!$A:$A"), INDIRECT("'" &amp; T$2 &amp; "'!$B:$B"), "")&lt;&gt;"", "✓", "✗"), "✗")
)</f>
        <v/>
      </c>
      <c r="U51">
        <f t="array" ref="U51">IF(
    ISNUMBER(VALUE(LEFT($A51, 1))),
    "",
    IFERROR(IF(_xlfn.XLOOKUP($A51, INDIRECT("'" &amp; U$2 &amp; "'!$A:$A"), INDIRECT("'" &amp; U$2 &amp; "'!$B:$B"), "")&lt;&gt;"", "✓", "✗"), "✗")
)</f>
        <v/>
      </c>
      <c r="V51">
        <f t="array" ref="V51">IF(
    ISNUMBER(VALUE(LEFT($A51, 1))),
    "",
    IFERROR(IF(_xlfn.XLOOKUP($A51, INDIRECT("'" &amp; V$2 &amp; "'!$A:$A"), INDIRECT("'" &amp; V$2 &amp; "'!$B:$B"), "")&lt;&gt;"", "✓", "✗"), "✗")
)</f>
        <v/>
      </c>
      <c r="W51">
        <f t="array" ref="W51">IF(
    ISNUMBER(VALUE(LEFT($A51, 1))),
    "",
    IFERROR(IF(_xlfn.XLOOKUP($A51, INDIRECT("'" &amp; W$2 &amp; "'!$A:$A"), INDIRECT("'" &amp; W$2 &amp; "'!$B:$B"), "")&lt;&gt;"", "✓", "✗"), "✗")
)</f>
        <v/>
      </c>
      <c r="X51">
        <f t="array" ref="X51">IF(
    ISNUMBER(VALUE(LEFT($A51, 1))),
    "",
    IFERROR(IF(_xlfn.XLOOKUP($A51, INDIRECT("'" &amp; X$2 &amp; "'!$A:$A"), INDIRECT("'" &amp; X$2 &amp; "'!$B:$B"), "")&lt;&gt;"", "✓", "✗"), "✗")
)</f>
        <v/>
      </c>
      <c r="Y51">
        <f t="array" ref="Y51">IF(
    ISNUMBER(VALUE(LEFT($A51, 1))),
    "",
    IFERROR(IF(_xlfn.XLOOKUP($A51, INDIRECT("'" &amp; Y$2 &amp; "'!$A:$A"), INDIRECT("'" &amp; Y$2 &amp; "'!$B:$B"), "")&lt;&gt;"", "✓", "✗"), "✗")
)</f>
        <v/>
      </c>
      <c r="Z51">
        <f t="array" ref="Z51">IF(
    ISNUMBER(VALUE(LEFT($A51, 1))),
    "",
    IFERROR(IF(_xlfn.XLOOKUP($A51, INDIRECT("'" &amp; Z$2 &amp; "'!$A:$A"), INDIRECT("'" &amp; Z$2 &amp; "'!$B:$B"), "")&lt;&gt;"", "✓", "✗"), "✗")
)</f>
        <v/>
      </c>
      <c r="AA51">
        <f t="array" ref="AA51">IF(
    ISNUMBER(VALUE(LEFT($A51, 1))),
    "",
    IFERROR(IF(_xlfn.XLOOKUP($A51, INDIRECT("'" &amp; AA$2 &amp; "'!$A:$A"), INDIRECT("'" &amp; AA$2 &amp; "'!$B:$B"), "")&lt;&gt;"", "✓", "✗"), "✗")
)</f>
        <v/>
      </c>
      <c r="AB51">
        <f t="array" ref="AB51">IF(
    ISNUMBER(VALUE(LEFT($A51, 1))),
    "",
    IFERROR(IF(_xlfn.XLOOKUP($A51, INDIRECT("'" &amp; AB$2 &amp; "'!$A:$A"), INDIRECT("'" &amp; AB$2 &amp; "'!$B:$B"), "")&lt;&gt;"", "✓", "✗"), "✗")
)</f>
        <v/>
      </c>
      <c r="AC51">
        <f t="array" ref="AC51">IF(
    ISNUMBER(VALUE(LEFT($A51, 1))),
    "",
    IFERROR(IF(_xlfn.XLOOKUP($A51, INDIRECT("'" &amp; AC$2 &amp; "'!$A:$A"), INDIRECT("'" &amp; AC$2 &amp; "'!$B:$B"), "")&lt;&gt;"", "✓", "✗"), "✗")
)</f>
        <v/>
      </c>
      <c r="AD51">
        <f t="array" ref="AD51">IF(
    ISNUMBER(VALUE(LEFT($A51, 1))),
    "",
    IFERROR(IF(_xlfn.XLOOKUP($A51, INDIRECT("'" &amp; AD$2 &amp; "'!$A:$A"), INDIRECT("'" &amp; AD$2 &amp; "'!$B:$B"), "")&lt;&gt;"", "✓", "✗"), "✗")
)</f>
        <v/>
      </c>
      <c r="AE51">
        <f t="array" ref="AE51">IF(
    ISNUMBER(VALUE(LEFT($A51, 1))),
    "",
    IFERROR(IF(_xlfn.XLOOKUP($A51, INDIRECT("'" &amp; AE$2 &amp; "'!$A:$A"), INDIRECT("'" &amp; AE$2 &amp; "'!$B:$B"), "")&lt;&gt;"", "✓", "✗"), "✗")
)</f>
        <v/>
      </c>
      <c r="AF51">
        <f t="array" ref="AF51">IF(
    ISNUMBER(VALUE(LEFT($A51, 1))),
    "",
    IFERROR(IF(_xlfn.XLOOKUP($A51, INDIRECT("'" &amp; AF$2 &amp; "'!$A:$A"), INDIRECT("'" &amp; AF$2 &amp; "'!$B:$B"), "")&lt;&gt;"", "✓", "✗"), "✗")
)</f>
        <v/>
      </c>
      <c r="AG51">
        <f t="array" ref="AG51">IF(
    ISNUMBER(VALUE(LEFT($A51, 1))),
    "",
    IFERROR(IF(_xlfn.XLOOKUP($A51, INDIRECT("'" &amp; AG$2 &amp; "'!$A:$A"), INDIRECT("'" &amp; AG$2 &amp; "'!$B:$B"), "")&lt;&gt;"", "✓", "✗"), "✗")
)</f>
        <v/>
      </c>
    </row>
    <row r="52">
      <c r="A52" t="inlineStr">
        <is>
          <t>Contact Provided Permission</t>
        </is>
      </c>
      <c r="B52">
        <f t="array" ref="B52">IF(
    ISNUMBER(VALUE(LEFT($A52, 1))),
    "",
    IFERROR(IF(_xlfn.XLOOKUP($A52, INDIRECT("'" &amp; B$2 &amp; "'!$A:$A"), INDIRECT("'" &amp; B$2 &amp; "'!$B:$B"), "")&lt;&gt;"", "✓", "✗"), "✗")
)</f>
        <v/>
      </c>
      <c r="C52">
        <f t="array" ref="C52">IF(
    ISNUMBER(VALUE(LEFT($A52, 1))),
    "",
    IFERROR(IF(_xlfn.XLOOKUP($A52, INDIRECT("'" &amp; C$2 &amp; "'!$A:$A"), INDIRECT("'" &amp; C$2 &amp; "'!$B:$B"), "")&lt;&gt;"", "✓", "✗"), "✗")
)</f>
        <v/>
      </c>
      <c r="D52">
        <f t="array" ref="D52">IF(
    ISNUMBER(VALUE(LEFT($A52, 1))),
    "",
    IFERROR(IF(_xlfn.XLOOKUP($A52, INDIRECT("'" &amp; D$2 &amp; "'!$A:$A"), INDIRECT("'" &amp; D$2 &amp; "'!$B:$B"), "")&lt;&gt;"", "✓", "✗"), "✗")
)</f>
        <v/>
      </c>
      <c r="E52">
        <f t="array" ref="E52">IF(
    ISNUMBER(VALUE(LEFT($A52, 1))),
    "",
    IFERROR(IF(_xlfn.XLOOKUP($A52, INDIRECT("'" &amp; E$2 &amp; "'!$A:$A"), INDIRECT("'" &amp; E$2 &amp; "'!$B:$B"), "")&lt;&gt;"", "✓", "✗"), "✗")
)</f>
        <v/>
      </c>
      <c r="F52">
        <f t="array" ref="F52">IF(
    ISNUMBER(VALUE(LEFT($A52, 1))),
    "",
    IFERROR(IF(_xlfn.XLOOKUP($A52, INDIRECT("'" &amp; F$2 &amp; "'!$A:$A"), INDIRECT("'" &amp; F$2 &amp; "'!$B:$B"), "")&lt;&gt;"", "✓", "✗"), "✗")
)</f>
        <v/>
      </c>
      <c r="G52">
        <f t="array" ref="G52">IF(
    ISNUMBER(VALUE(LEFT($A52, 1))),
    "",
    IFERROR(IF(_xlfn.XLOOKUP($A52, INDIRECT("'" &amp; G$2 &amp; "'!$A:$A"), INDIRECT("'" &amp; G$2 &amp; "'!$B:$B"), "")&lt;&gt;"", "✓", "✗"), "✗")
)</f>
        <v/>
      </c>
      <c r="H52">
        <f t="array" ref="H52">IF(
    ISNUMBER(VALUE(LEFT($A52, 1))),
    "",
    IFERROR(IF(_xlfn.XLOOKUP($A52, INDIRECT("'" &amp; H$2 &amp; "'!$A:$A"), INDIRECT("'" &amp; H$2 &amp; "'!$B:$B"), "")&lt;&gt;"", "✓", "✗"), "✗")
)</f>
        <v/>
      </c>
      <c r="I52">
        <f t="array" ref="I52">IF(
    ISNUMBER(VALUE(LEFT($A52, 1))),
    "",
    IFERROR(IF(_xlfn.XLOOKUP($A52, INDIRECT("'" &amp; I$2 &amp; "'!$A:$A"), INDIRECT("'" &amp; I$2 &amp; "'!$B:$B"), "")&lt;&gt;"", "✓", "✗"), "✗")
)</f>
        <v/>
      </c>
      <c r="J52">
        <f t="array" ref="J52">IF(
    ISNUMBER(VALUE(LEFT($A52, 1))),
    "",
    IFERROR(IF(_xlfn.XLOOKUP($A52, INDIRECT("'" &amp; J$2 &amp; "'!$A:$A"), INDIRECT("'" &amp; J$2 &amp; "'!$B:$B"), "")&lt;&gt;"", "✓", "✗"), "✗")
)</f>
        <v/>
      </c>
      <c r="K52">
        <f t="array" ref="K52">IF(
    ISNUMBER(VALUE(LEFT($A52, 1))),
    "",
    IFERROR(IF(_xlfn.XLOOKUP($A52, INDIRECT("'" &amp; K$2 &amp; "'!$A:$A"), INDIRECT("'" &amp; K$2 &amp; "'!$B:$B"), "")&lt;&gt;"", "✓", "✗"), "✗")
)</f>
        <v/>
      </c>
      <c r="L52">
        <f t="array" ref="L52">IF(
    ISNUMBER(VALUE(LEFT($A52, 1))),
    "",
    IFERROR(IF(_xlfn.XLOOKUP($A52, INDIRECT("'" &amp; L$2 &amp; "'!$A:$A"), INDIRECT("'" &amp; L$2 &amp; "'!$B:$B"), "")&lt;&gt;"", "✓", "✗"), "✗")
)</f>
        <v/>
      </c>
      <c r="M52">
        <f t="array" ref="M52">IF(
    ISNUMBER(VALUE(LEFT($A52, 1))),
    "",
    IFERROR(IF(_xlfn.XLOOKUP($A52, INDIRECT("'" &amp; M$2 &amp; "'!$A:$A"), INDIRECT("'" &amp; M$2 &amp; "'!$B:$B"), "")&lt;&gt;"", "✓", "✗"), "✗")
)</f>
        <v/>
      </c>
      <c r="N52">
        <f t="array" ref="N52">IF(
    ISNUMBER(VALUE(LEFT($A52, 1))),
    "",
    IFERROR(IF(_xlfn.XLOOKUP($A52, INDIRECT("'" &amp; N$2 &amp; "'!$A:$A"), INDIRECT("'" &amp; N$2 &amp; "'!$B:$B"), "")&lt;&gt;"", "✓", "✗"), "✗")
)</f>
        <v/>
      </c>
      <c r="O52">
        <f t="array" ref="O52">IF(
    ISNUMBER(VALUE(LEFT($A52, 1))),
    "",
    IFERROR(IF(_xlfn.XLOOKUP($A52, INDIRECT("'" &amp; O$2 &amp; "'!$A:$A"), INDIRECT("'" &amp; O$2 &amp; "'!$B:$B"), "")&lt;&gt;"", "✓", "✗"), "✗")
)</f>
        <v/>
      </c>
      <c r="P52">
        <f t="array" ref="P52">IF(
    ISNUMBER(VALUE(LEFT($A52, 1))),
    "",
    IFERROR(IF(_xlfn.XLOOKUP($A52, INDIRECT("'" &amp; P$2 &amp; "'!$A:$A"), INDIRECT("'" &amp; P$2 &amp; "'!$B:$B"), "")&lt;&gt;"", "✓", "✗"), "✗")
)</f>
        <v/>
      </c>
      <c r="Q52">
        <f t="array" ref="Q52">IF(
    ISNUMBER(VALUE(LEFT($A52, 1))),
    "",
    IFERROR(IF(_xlfn.XLOOKUP($A52, INDIRECT("'" &amp; Q$2 &amp; "'!$A:$A"), INDIRECT("'" &amp; Q$2 &amp; "'!$B:$B"), "")&lt;&gt;"", "✓", "✗"), "✗")
)</f>
        <v/>
      </c>
      <c r="R52">
        <f t="array" ref="R52">IF(
    ISNUMBER(VALUE(LEFT($A52, 1))),
    "",
    IFERROR(IF(_xlfn.XLOOKUP($A52, INDIRECT("'" &amp; R$2 &amp; "'!$A:$A"), INDIRECT("'" &amp; R$2 &amp; "'!$B:$B"), "")&lt;&gt;"", "✓", "✗"), "✗")
)</f>
        <v/>
      </c>
      <c r="S52">
        <f t="array" ref="S52">IF(
    ISNUMBER(VALUE(LEFT($A52, 1))),
    "",
    IFERROR(IF(_xlfn.XLOOKUP($A52, INDIRECT("'" &amp; S$2 &amp; "'!$A:$A"), INDIRECT("'" &amp; S$2 &amp; "'!$B:$B"), "")&lt;&gt;"", "✓", "✗"), "✗")
)</f>
        <v/>
      </c>
      <c r="T52">
        <f t="array" ref="T52">IF(
    ISNUMBER(VALUE(LEFT($A52, 1))),
    "",
    IFERROR(IF(_xlfn.XLOOKUP($A52, INDIRECT("'" &amp; T$2 &amp; "'!$A:$A"), INDIRECT("'" &amp; T$2 &amp; "'!$B:$B"), "")&lt;&gt;"", "✓", "✗"), "✗")
)</f>
        <v/>
      </c>
      <c r="U52">
        <f t="array" ref="U52">IF(
    ISNUMBER(VALUE(LEFT($A52, 1))),
    "",
    IFERROR(IF(_xlfn.XLOOKUP($A52, INDIRECT("'" &amp; U$2 &amp; "'!$A:$A"), INDIRECT("'" &amp; U$2 &amp; "'!$B:$B"), "")&lt;&gt;"", "✓", "✗"), "✗")
)</f>
        <v/>
      </c>
      <c r="V52">
        <f t="array" ref="V52">IF(
    ISNUMBER(VALUE(LEFT($A52, 1))),
    "",
    IFERROR(IF(_xlfn.XLOOKUP($A52, INDIRECT("'" &amp; V$2 &amp; "'!$A:$A"), INDIRECT("'" &amp; V$2 &amp; "'!$B:$B"), "")&lt;&gt;"", "✓", "✗"), "✗")
)</f>
        <v/>
      </c>
      <c r="W52">
        <f t="array" ref="W52">IF(
    ISNUMBER(VALUE(LEFT($A52, 1))),
    "",
    IFERROR(IF(_xlfn.XLOOKUP($A52, INDIRECT("'" &amp; W$2 &amp; "'!$A:$A"), INDIRECT("'" &amp; W$2 &amp; "'!$B:$B"), "")&lt;&gt;"", "✓", "✗"), "✗")
)</f>
        <v/>
      </c>
      <c r="X52">
        <f t="array" ref="X52">IF(
    ISNUMBER(VALUE(LEFT($A52, 1))),
    "",
    IFERROR(IF(_xlfn.XLOOKUP($A52, INDIRECT("'" &amp; X$2 &amp; "'!$A:$A"), INDIRECT("'" &amp; X$2 &amp; "'!$B:$B"), "")&lt;&gt;"", "✓", "✗"), "✗")
)</f>
        <v/>
      </c>
      <c r="Y52">
        <f t="array" ref="Y52">IF(
    ISNUMBER(VALUE(LEFT($A52, 1))),
    "",
    IFERROR(IF(_xlfn.XLOOKUP($A52, INDIRECT("'" &amp; Y$2 &amp; "'!$A:$A"), INDIRECT("'" &amp; Y$2 &amp; "'!$B:$B"), "")&lt;&gt;"", "✓", "✗"), "✗")
)</f>
        <v/>
      </c>
      <c r="Z52">
        <f t="array" ref="Z52">IF(
    ISNUMBER(VALUE(LEFT($A52, 1))),
    "",
    IFERROR(IF(_xlfn.XLOOKUP($A52, INDIRECT("'" &amp; Z$2 &amp; "'!$A:$A"), INDIRECT("'" &amp; Z$2 &amp; "'!$B:$B"), "")&lt;&gt;"", "✓", "✗"), "✗")
)</f>
        <v/>
      </c>
      <c r="AA52">
        <f t="array" ref="AA52">IF(
    ISNUMBER(VALUE(LEFT($A52, 1))),
    "",
    IFERROR(IF(_xlfn.XLOOKUP($A52, INDIRECT("'" &amp; AA$2 &amp; "'!$A:$A"), INDIRECT("'" &amp; AA$2 &amp; "'!$B:$B"), "")&lt;&gt;"", "✓", "✗"), "✗")
)</f>
        <v/>
      </c>
      <c r="AB52">
        <f t="array" ref="AB52">IF(
    ISNUMBER(VALUE(LEFT($A52, 1))),
    "",
    IFERROR(IF(_xlfn.XLOOKUP($A52, INDIRECT("'" &amp; AB$2 &amp; "'!$A:$A"), INDIRECT("'" &amp; AB$2 &amp; "'!$B:$B"), "")&lt;&gt;"", "✓", "✗"), "✗")
)</f>
        <v/>
      </c>
      <c r="AC52">
        <f t="array" ref="AC52">IF(
    ISNUMBER(VALUE(LEFT($A52, 1))),
    "",
    IFERROR(IF(_xlfn.XLOOKUP($A52, INDIRECT("'" &amp; AC$2 &amp; "'!$A:$A"), INDIRECT("'" &amp; AC$2 &amp; "'!$B:$B"), "")&lt;&gt;"", "✓", "✗"), "✗")
)</f>
        <v/>
      </c>
      <c r="AD52">
        <f t="array" ref="AD52">IF(
    ISNUMBER(VALUE(LEFT($A52, 1))),
    "",
    IFERROR(IF(_xlfn.XLOOKUP($A52, INDIRECT("'" &amp; AD$2 &amp; "'!$A:$A"), INDIRECT("'" &amp; AD$2 &amp; "'!$B:$B"), "")&lt;&gt;"", "✓", "✗"), "✗")
)</f>
        <v/>
      </c>
      <c r="AE52">
        <f t="array" ref="AE52">IF(
    ISNUMBER(VALUE(LEFT($A52, 1))),
    "",
    IFERROR(IF(_xlfn.XLOOKUP($A52, INDIRECT("'" &amp; AE$2 &amp; "'!$A:$A"), INDIRECT("'" &amp; AE$2 &amp; "'!$B:$B"), "")&lt;&gt;"", "✓", "✗"), "✗")
)</f>
        <v/>
      </c>
      <c r="AF52">
        <f t="array" ref="AF52">IF(
    ISNUMBER(VALUE(LEFT($A52, 1))),
    "",
    IFERROR(IF(_xlfn.XLOOKUP($A52, INDIRECT("'" &amp; AF$2 &amp; "'!$A:$A"), INDIRECT("'" &amp; AF$2 &amp; "'!$B:$B"), "")&lt;&gt;"", "✓", "✗"), "✗")
)</f>
        <v/>
      </c>
      <c r="AG52">
        <f t="array" ref="AG52">IF(
    ISNUMBER(VALUE(LEFT($A52, 1))),
    "",
    IFERROR(IF(_xlfn.XLOOKUP($A52, INDIRECT("'" &amp; AG$2 &amp; "'!$A:$A"), INDIRECT("'" &amp; AG$2 &amp; "'!$B:$B"), "")&lt;&gt;"", "✓", "✗"), "✗")
)</f>
        <v/>
      </c>
    </row>
    <row r="53">
      <c r="A53" t="inlineStr">
        <is>
          <t>Consent / Permission Status</t>
        </is>
      </c>
      <c r="B53">
        <f t="array" ref="B53">IF(
    ISNUMBER(VALUE(LEFT($A53, 1))),
    "",
    IFERROR(IF(_xlfn.XLOOKUP($A53, INDIRECT("'" &amp; B$2 &amp; "'!$A:$A"), INDIRECT("'" &amp; B$2 &amp; "'!$B:$B"), "")&lt;&gt;"", "✓", "✗"), "✗")
)</f>
        <v/>
      </c>
      <c r="C53">
        <f t="array" ref="C53">IF(
    ISNUMBER(VALUE(LEFT($A53, 1))),
    "",
    IFERROR(IF(_xlfn.XLOOKUP($A53, INDIRECT("'" &amp; C$2 &amp; "'!$A:$A"), INDIRECT("'" &amp; C$2 &amp; "'!$B:$B"), "")&lt;&gt;"", "✓", "✗"), "✗")
)</f>
        <v/>
      </c>
      <c r="D53">
        <f t="array" ref="D53">IF(
    ISNUMBER(VALUE(LEFT($A53, 1))),
    "",
    IFERROR(IF(_xlfn.XLOOKUP($A53, INDIRECT("'" &amp; D$2 &amp; "'!$A:$A"), INDIRECT("'" &amp; D$2 &amp; "'!$B:$B"), "")&lt;&gt;"", "✓", "✗"), "✗")
)</f>
        <v/>
      </c>
      <c r="E53">
        <f t="array" ref="E53">IF(
    ISNUMBER(VALUE(LEFT($A53, 1))),
    "",
    IFERROR(IF(_xlfn.XLOOKUP($A53, INDIRECT("'" &amp; E$2 &amp; "'!$A:$A"), INDIRECT("'" &amp; E$2 &amp; "'!$B:$B"), "")&lt;&gt;"", "✓", "✗"), "✗")
)</f>
        <v/>
      </c>
      <c r="F53">
        <f t="array" ref="F53">IF(
    ISNUMBER(VALUE(LEFT($A53, 1))),
    "",
    IFERROR(IF(_xlfn.XLOOKUP($A53, INDIRECT("'" &amp; F$2 &amp; "'!$A:$A"), INDIRECT("'" &amp; F$2 &amp; "'!$B:$B"), "")&lt;&gt;"", "✓", "✗"), "✗")
)</f>
        <v/>
      </c>
      <c r="G53">
        <f t="array" ref="G53">IF(
    ISNUMBER(VALUE(LEFT($A53, 1))),
    "",
    IFERROR(IF(_xlfn.XLOOKUP($A53, INDIRECT("'" &amp; G$2 &amp; "'!$A:$A"), INDIRECT("'" &amp; G$2 &amp; "'!$B:$B"), "")&lt;&gt;"", "✓", "✗"), "✗")
)</f>
        <v/>
      </c>
      <c r="H53">
        <f t="array" ref="H53">IF(
    ISNUMBER(VALUE(LEFT($A53, 1))),
    "",
    IFERROR(IF(_xlfn.XLOOKUP($A53, INDIRECT("'" &amp; H$2 &amp; "'!$A:$A"), INDIRECT("'" &amp; H$2 &amp; "'!$B:$B"), "")&lt;&gt;"", "✓", "✗"), "✗")
)</f>
        <v/>
      </c>
      <c r="I53">
        <f t="array" ref="I53">IF(
    ISNUMBER(VALUE(LEFT($A53, 1))),
    "",
    IFERROR(IF(_xlfn.XLOOKUP($A53, INDIRECT("'" &amp; I$2 &amp; "'!$A:$A"), INDIRECT("'" &amp; I$2 &amp; "'!$B:$B"), "")&lt;&gt;"", "✓", "✗"), "✗")
)</f>
        <v/>
      </c>
      <c r="J53">
        <f t="array" ref="J53">IF(
    ISNUMBER(VALUE(LEFT($A53, 1))),
    "",
    IFERROR(IF(_xlfn.XLOOKUP($A53, INDIRECT("'" &amp; J$2 &amp; "'!$A:$A"), INDIRECT("'" &amp; J$2 &amp; "'!$B:$B"), "")&lt;&gt;"", "✓", "✗"), "✗")
)</f>
        <v/>
      </c>
      <c r="K53">
        <f t="array" ref="K53">IF(
    ISNUMBER(VALUE(LEFT($A53, 1))),
    "",
    IFERROR(IF(_xlfn.XLOOKUP($A53, INDIRECT("'" &amp; K$2 &amp; "'!$A:$A"), INDIRECT("'" &amp; K$2 &amp; "'!$B:$B"), "")&lt;&gt;"", "✓", "✗"), "✗")
)</f>
        <v/>
      </c>
      <c r="L53">
        <f t="array" ref="L53">IF(
    ISNUMBER(VALUE(LEFT($A53, 1))),
    "",
    IFERROR(IF(_xlfn.XLOOKUP($A53, INDIRECT("'" &amp; L$2 &amp; "'!$A:$A"), INDIRECT("'" &amp; L$2 &amp; "'!$B:$B"), "")&lt;&gt;"", "✓", "✗"), "✗")
)</f>
        <v/>
      </c>
      <c r="M53">
        <f t="array" ref="M53">IF(
    ISNUMBER(VALUE(LEFT($A53, 1))),
    "",
    IFERROR(IF(_xlfn.XLOOKUP($A53, INDIRECT("'" &amp; M$2 &amp; "'!$A:$A"), INDIRECT("'" &amp; M$2 &amp; "'!$B:$B"), "")&lt;&gt;"", "✓", "✗"), "✗")
)</f>
        <v/>
      </c>
      <c r="N53">
        <f t="array" ref="N53">IF(
    ISNUMBER(VALUE(LEFT($A53, 1))),
    "",
    IFERROR(IF(_xlfn.XLOOKUP($A53, INDIRECT("'" &amp; N$2 &amp; "'!$A:$A"), INDIRECT("'" &amp; N$2 &amp; "'!$B:$B"), "")&lt;&gt;"", "✓", "✗"), "✗")
)</f>
        <v/>
      </c>
      <c r="O53">
        <f t="array" ref="O53">IF(
    ISNUMBER(VALUE(LEFT($A53, 1))),
    "",
    IFERROR(IF(_xlfn.XLOOKUP($A53, INDIRECT("'" &amp; O$2 &amp; "'!$A:$A"), INDIRECT("'" &amp; O$2 &amp; "'!$B:$B"), "")&lt;&gt;"", "✓", "✗"), "✗")
)</f>
        <v/>
      </c>
      <c r="P53">
        <f t="array" ref="P53">IF(
    ISNUMBER(VALUE(LEFT($A53, 1))),
    "",
    IFERROR(IF(_xlfn.XLOOKUP($A53, INDIRECT("'" &amp; P$2 &amp; "'!$A:$A"), INDIRECT("'" &amp; P$2 &amp; "'!$B:$B"), "")&lt;&gt;"", "✓", "✗"), "✗")
)</f>
        <v/>
      </c>
      <c r="Q53">
        <f t="array" ref="Q53">IF(
    ISNUMBER(VALUE(LEFT($A53, 1))),
    "",
    IFERROR(IF(_xlfn.XLOOKUP($A53, INDIRECT("'" &amp; Q$2 &amp; "'!$A:$A"), INDIRECT("'" &amp; Q$2 &amp; "'!$B:$B"), "")&lt;&gt;"", "✓", "✗"), "✗")
)</f>
        <v/>
      </c>
      <c r="R53">
        <f t="array" ref="R53">IF(
    ISNUMBER(VALUE(LEFT($A53, 1))),
    "",
    IFERROR(IF(_xlfn.XLOOKUP($A53, INDIRECT("'" &amp; R$2 &amp; "'!$A:$A"), INDIRECT("'" &amp; R$2 &amp; "'!$B:$B"), "")&lt;&gt;"", "✓", "✗"), "✗")
)</f>
        <v/>
      </c>
      <c r="S53">
        <f t="array" ref="S53">IF(
    ISNUMBER(VALUE(LEFT($A53, 1))),
    "",
    IFERROR(IF(_xlfn.XLOOKUP($A53, INDIRECT("'" &amp; S$2 &amp; "'!$A:$A"), INDIRECT("'" &amp; S$2 &amp; "'!$B:$B"), "")&lt;&gt;"", "✓", "✗"), "✗")
)</f>
        <v/>
      </c>
      <c r="T53">
        <f t="array" ref="T53">IF(
    ISNUMBER(VALUE(LEFT($A53, 1))),
    "",
    IFERROR(IF(_xlfn.XLOOKUP($A53, INDIRECT("'" &amp; T$2 &amp; "'!$A:$A"), INDIRECT("'" &amp; T$2 &amp; "'!$B:$B"), "")&lt;&gt;"", "✓", "✗"), "✗")
)</f>
        <v/>
      </c>
      <c r="U53">
        <f t="array" ref="U53">IF(
    ISNUMBER(VALUE(LEFT($A53, 1))),
    "",
    IFERROR(IF(_xlfn.XLOOKUP($A53, INDIRECT("'" &amp; U$2 &amp; "'!$A:$A"), INDIRECT("'" &amp; U$2 &amp; "'!$B:$B"), "")&lt;&gt;"", "✓", "✗"), "✗")
)</f>
        <v/>
      </c>
      <c r="V53">
        <f t="array" ref="V53">IF(
    ISNUMBER(VALUE(LEFT($A53, 1))),
    "",
    IFERROR(IF(_xlfn.XLOOKUP($A53, INDIRECT("'" &amp; V$2 &amp; "'!$A:$A"), INDIRECT("'" &amp; V$2 &amp; "'!$B:$B"), "")&lt;&gt;"", "✓", "✗"), "✗")
)</f>
        <v/>
      </c>
      <c r="W53">
        <f t="array" ref="W53">IF(
    ISNUMBER(VALUE(LEFT($A53, 1))),
    "",
    IFERROR(IF(_xlfn.XLOOKUP($A53, INDIRECT("'" &amp; W$2 &amp; "'!$A:$A"), INDIRECT("'" &amp; W$2 &amp; "'!$B:$B"), "")&lt;&gt;"", "✓", "✗"), "✗")
)</f>
        <v/>
      </c>
      <c r="X53">
        <f t="array" ref="X53">IF(
    ISNUMBER(VALUE(LEFT($A53, 1))),
    "",
    IFERROR(IF(_xlfn.XLOOKUP($A53, INDIRECT("'" &amp; X$2 &amp; "'!$A:$A"), INDIRECT("'" &amp; X$2 &amp; "'!$B:$B"), "")&lt;&gt;"", "✓", "✗"), "✗")
)</f>
        <v/>
      </c>
      <c r="Y53">
        <f t="array" ref="Y53">IF(
    ISNUMBER(VALUE(LEFT($A53, 1))),
    "",
    IFERROR(IF(_xlfn.XLOOKUP($A53, INDIRECT("'" &amp; Y$2 &amp; "'!$A:$A"), INDIRECT("'" &amp; Y$2 &amp; "'!$B:$B"), "")&lt;&gt;"", "✓", "✗"), "✗")
)</f>
        <v/>
      </c>
      <c r="Z53">
        <f t="array" ref="Z53">IF(
    ISNUMBER(VALUE(LEFT($A53, 1))),
    "",
    IFERROR(IF(_xlfn.XLOOKUP($A53, INDIRECT("'" &amp; Z$2 &amp; "'!$A:$A"), INDIRECT("'" &amp; Z$2 &amp; "'!$B:$B"), "")&lt;&gt;"", "✓", "✗"), "✗")
)</f>
        <v/>
      </c>
      <c r="AA53">
        <f t="array" ref="AA53">IF(
    ISNUMBER(VALUE(LEFT($A53, 1))),
    "",
    IFERROR(IF(_xlfn.XLOOKUP($A53, INDIRECT("'" &amp; AA$2 &amp; "'!$A:$A"), INDIRECT("'" &amp; AA$2 &amp; "'!$B:$B"), "")&lt;&gt;"", "✓", "✗"), "✗")
)</f>
        <v/>
      </c>
      <c r="AB53">
        <f t="array" ref="AB53">IF(
    ISNUMBER(VALUE(LEFT($A53, 1))),
    "",
    IFERROR(IF(_xlfn.XLOOKUP($A53, INDIRECT("'" &amp; AB$2 &amp; "'!$A:$A"), INDIRECT("'" &amp; AB$2 &amp; "'!$B:$B"), "")&lt;&gt;"", "✓", "✗"), "✗")
)</f>
        <v/>
      </c>
      <c r="AC53">
        <f t="array" ref="AC53">IF(
    ISNUMBER(VALUE(LEFT($A53, 1))),
    "",
    IFERROR(IF(_xlfn.XLOOKUP($A53, INDIRECT("'" &amp; AC$2 &amp; "'!$A:$A"), INDIRECT("'" &amp; AC$2 &amp; "'!$B:$B"), "")&lt;&gt;"", "✓", "✗"), "✗")
)</f>
        <v/>
      </c>
      <c r="AD53">
        <f t="array" ref="AD53">IF(
    ISNUMBER(VALUE(LEFT($A53, 1))),
    "",
    IFERROR(IF(_xlfn.XLOOKUP($A53, INDIRECT("'" &amp; AD$2 &amp; "'!$A:$A"), INDIRECT("'" &amp; AD$2 &amp; "'!$B:$B"), "")&lt;&gt;"", "✓", "✗"), "✗")
)</f>
        <v/>
      </c>
      <c r="AE53">
        <f t="array" ref="AE53">IF(
    ISNUMBER(VALUE(LEFT($A53, 1))),
    "",
    IFERROR(IF(_xlfn.XLOOKUP($A53, INDIRECT("'" &amp; AE$2 &amp; "'!$A:$A"), INDIRECT("'" &amp; AE$2 &amp; "'!$B:$B"), "")&lt;&gt;"", "✓", "✗"), "✗")
)</f>
        <v/>
      </c>
      <c r="AF53">
        <f t="array" ref="AF53">IF(
    ISNUMBER(VALUE(LEFT($A53, 1))),
    "",
    IFERROR(IF(_xlfn.XLOOKUP($A53, INDIRECT("'" &amp; AF$2 &amp; "'!$A:$A"), INDIRECT("'" &amp; AF$2 &amp; "'!$B:$B"), "")&lt;&gt;"", "✓", "✗"), "✗")
)</f>
        <v/>
      </c>
      <c r="AG53">
        <f t="array" ref="AG53">IF(
    ISNUMBER(VALUE(LEFT($A53, 1))),
    "",
    IFERROR(IF(_xlfn.XLOOKUP($A53, INDIRECT("'" &amp; AG$2 &amp; "'!$A:$A"), INDIRECT("'" &amp; AG$2 &amp; "'!$B:$B"), "")&lt;&gt;"", "✓", "✗"), "✗")
)</f>
        <v/>
      </c>
    </row>
    <row r="54">
      <c r="A54" t="inlineStr">
        <is>
          <t>5 - Legacy Tracking Parameters</t>
        </is>
      </c>
      <c r="B54">
        <f t="array" ref="B54">IF(
    ISNUMBER(VALUE(LEFT($A54, 1))),
    "",
    IFERROR(IF(_xlfn.XLOOKUP($A54, INDIRECT("'" &amp; B$2 &amp; "'!$A:$A"), INDIRECT("'" &amp; B$2 &amp; "'!$B:$B"), "")&lt;&gt;"", "✓", "✗"), "✗")
)</f>
        <v/>
      </c>
      <c r="C54">
        <f t="array" ref="C54">IF(
    ISNUMBER(VALUE(LEFT($A54, 1))),
    "",
    IFERROR(IF(_xlfn.XLOOKUP($A54, INDIRECT("'" &amp; C$2 &amp; "'!$A:$A"), INDIRECT("'" &amp; C$2 &amp; "'!$B:$B"), "")&lt;&gt;"", "✓", "✗"), "✗")
)</f>
        <v/>
      </c>
      <c r="D54">
        <f t="array" ref="D54">IF(
    ISNUMBER(VALUE(LEFT($A54, 1))),
    "",
    IFERROR(IF(_xlfn.XLOOKUP($A54, INDIRECT("'" &amp; D$2 &amp; "'!$A:$A"), INDIRECT("'" &amp; D$2 &amp; "'!$B:$B"), "")&lt;&gt;"", "✓", "✗"), "✗")
)</f>
        <v/>
      </c>
      <c r="E54">
        <f t="array" ref="E54">IF(
    ISNUMBER(VALUE(LEFT($A54, 1))),
    "",
    IFERROR(IF(_xlfn.XLOOKUP($A54, INDIRECT("'" &amp; E$2 &amp; "'!$A:$A"), INDIRECT("'" &amp; E$2 &amp; "'!$B:$B"), "")&lt;&gt;"", "✓", "✗"), "✗")
)</f>
        <v/>
      </c>
      <c r="F54">
        <f t="array" ref="F54">IF(
    ISNUMBER(VALUE(LEFT($A54, 1))),
    "",
    IFERROR(IF(_xlfn.XLOOKUP($A54, INDIRECT("'" &amp; F$2 &amp; "'!$A:$A"), INDIRECT("'" &amp; F$2 &amp; "'!$B:$B"), "")&lt;&gt;"", "✓", "✗"), "✗")
)</f>
        <v/>
      </c>
      <c r="G54">
        <f t="array" ref="G54">IF(
    ISNUMBER(VALUE(LEFT($A54, 1))),
    "",
    IFERROR(IF(_xlfn.XLOOKUP($A54, INDIRECT("'" &amp; G$2 &amp; "'!$A:$A"), INDIRECT("'" &amp; G$2 &amp; "'!$B:$B"), "")&lt;&gt;"", "✓", "✗"), "✗")
)</f>
        <v/>
      </c>
      <c r="H54">
        <f t="array" ref="H54">IF(
    ISNUMBER(VALUE(LEFT($A54, 1))),
    "",
    IFERROR(IF(_xlfn.XLOOKUP($A54, INDIRECT("'" &amp; H$2 &amp; "'!$A:$A"), INDIRECT("'" &amp; H$2 &amp; "'!$B:$B"), "")&lt;&gt;"", "✓", "✗"), "✗")
)</f>
        <v/>
      </c>
      <c r="I54">
        <f t="array" ref="I54">IF(
    ISNUMBER(VALUE(LEFT($A54, 1))),
    "",
    IFERROR(IF(_xlfn.XLOOKUP($A54, INDIRECT("'" &amp; I$2 &amp; "'!$A:$A"), INDIRECT("'" &amp; I$2 &amp; "'!$B:$B"), "")&lt;&gt;"", "✓", "✗"), "✗")
)</f>
        <v/>
      </c>
      <c r="J54">
        <f t="array" ref="J54">IF(
    ISNUMBER(VALUE(LEFT($A54, 1))),
    "",
    IFERROR(IF(_xlfn.XLOOKUP($A54, INDIRECT("'" &amp; J$2 &amp; "'!$A:$A"), INDIRECT("'" &amp; J$2 &amp; "'!$B:$B"), "")&lt;&gt;"", "✓", "✗"), "✗")
)</f>
        <v/>
      </c>
      <c r="K54">
        <f t="array" ref="K54">IF(
    ISNUMBER(VALUE(LEFT($A54, 1))),
    "",
    IFERROR(IF(_xlfn.XLOOKUP($A54, INDIRECT("'" &amp; K$2 &amp; "'!$A:$A"), INDIRECT("'" &amp; K$2 &amp; "'!$B:$B"), "")&lt;&gt;"", "✓", "✗"), "✗")
)</f>
        <v/>
      </c>
      <c r="L54">
        <f t="array" ref="L54">IF(
    ISNUMBER(VALUE(LEFT($A54, 1))),
    "",
    IFERROR(IF(_xlfn.XLOOKUP($A54, INDIRECT("'" &amp; L$2 &amp; "'!$A:$A"), INDIRECT("'" &amp; L$2 &amp; "'!$B:$B"), "")&lt;&gt;"", "✓", "✗"), "✗")
)</f>
        <v/>
      </c>
      <c r="M54">
        <f t="array" ref="M54">IF(
    ISNUMBER(VALUE(LEFT($A54, 1))),
    "",
    IFERROR(IF(_xlfn.XLOOKUP($A54, INDIRECT("'" &amp; M$2 &amp; "'!$A:$A"), INDIRECT("'" &amp; M$2 &amp; "'!$B:$B"), "")&lt;&gt;"", "✓", "✗"), "✗")
)</f>
        <v/>
      </c>
      <c r="N54">
        <f t="array" ref="N54">IF(
    ISNUMBER(VALUE(LEFT($A54, 1))),
    "",
    IFERROR(IF(_xlfn.XLOOKUP($A54, INDIRECT("'" &amp; N$2 &amp; "'!$A:$A"), INDIRECT("'" &amp; N$2 &amp; "'!$B:$B"), "")&lt;&gt;"", "✓", "✗"), "✗")
)</f>
        <v/>
      </c>
      <c r="O54">
        <f t="array" ref="O54">IF(
    ISNUMBER(VALUE(LEFT($A54, 1))),
    "",
    IFERROR(IF(_xlfn.XLOOKUP($A54, INDIRECT("'" &amp; O$2 &amp; "'!$A:$A"), INDIRECT("'" &amp; O$2 &amp; "'!$B:$B"), "")&lt;&gt;"", "✓", "✗"), "✗")
)</f>
        <v/>
      </c>
      <c r="P54">
        <f t="array" ref="P54">IF(
    ISNUMBER(VALUE(LEFT($A54, 1))),
    "",
    IFERROR(IF(_xlfn.XLOOKUP($A54, INDIRECT("'" &amp; P$2 &amp; "'!$A:$A"), INDIRECT("'" &amp; P$2 &amp; "'!$B:$B"), "")&lt;&gt;"", "✓", "✗"), "✗")
)</f>
        <v/>
      </c>
      <c r="Q54">
        <f t="array" ref="Q54">IF(
    ISNUMBER(VALUE(LEFT($A54, 1))),
    "",
    IFERROR(IF(_xlfn.XLOOKUP($A54, INDIRECT("'" &amp; Q$2 &amp; "'!$A:$A"), INDIRECT("'" &amp; Q$2 &amp; "'!$B:$B"), "")&lt;&gt;"", "✓", "✗"), "✗")
)</f>
        <v/>
      </c>
      <c r="R54">
        <f t="array" ref="R54">IF(
    ISNUMBER(VALUE(LEFT($A54, 1))),
    "",
    IFERROR(IF(_xlfn.XLOOKUP($A54, INDIRECT("'" &amp; R$2 &amp; "'!$A:$A"), INDIRECT("'" &amp; R$2 &amp; "'!$B:$B"), "")&lt;&gt;"", "✓", "✗"), "✗")
)</f>
        <v/>
      </c>
      <c r="S54">
        <f t="array" ref="S54">IF(
    ISNUMBER(VALUE(LEFT($A54, 1))),
    "",
    IFERROR(IF(_xlfn.XLOOKUP($A54, INDIRECT("'" &amp; S$2 &amp; "'!$A:$A"), INDIRECT("'" &amp; S$2 &amp; "'!$B:$B"), "")&lt;&gt;"", "✓", "✗"), "✗")
)</f>
        <v/>
      </c>
      <c r="T54">
        <f t="array" ref="T54">IF(
    ISNUMBER(VALUE(LEFT($A54, 1))),
    "",
    IFERROR(IF(_xlfn.XLOOKUP($A54, INDIRECT("'" &amp; T$2 &amp; "'!$A:$A"), INDIRECT("'" &amp; T$2 &amp; "'!$B:$B"), "")&lt;&gt;"", "✓", "✗"), "✗")
)</f>
        <v/>
      </c>
      <c r="U54">
        <f t="array" ref="U54">IF(
    ISNUMBER(VALUE(LEFT($A54, 1))),
    "",
    IFERROR(IF(_xlfn.XLOOKUP($A54, INDIRECT("'" &amp; U$2 &amp; "'!$A:$A"), INDIRECT("'" &amp; U$2 &amp; "'!$B:$B"), "")&lt;&gt;"", "✓", "✗"), "✗")
)</f>
        <v/>
      </c>
      <c r="V54">
        <f t="array" ref="V54">IF(
    ISNUMBER(VALUE(LEFT($A54, 1))),
    "",
    IFERROR(IF(_xlfn.XLOOKUP($A54, INDIRECT("'" &amp; V$2 &amp; "'!$A:$A"), INDIRECT("'" &amp; V$2 &amp; "'!$B:$B"), "")&lt;&gt;"", "✓", "✗"), "✗")
)</f>
        <v/>
      </c>
      <c r="W54">
        <f t="array" ref="W54">IF(
    ISNUMBER(VALUE(LEFT($A54, 1))),
    "",
    IFERROR(IF(_xlfn.XLOOKUP($A54, INDIRECT("'" &amp; W$2 &amp; "'!$A:$A"), INDIRECT("'" &amp; W$2 &amp; "'!$B:$B"), "")&lt;&gt;"", "✓", "✗"), "✗")
)</f>
        <v/>
      </c>
      <c r="X54">
        <f t="array" ref="X54">IF(
    ISNUMBER(VALUE(LEFT($A54, 1))),
    "",
    IFERROR(IF(_xlfn.XLOOKUP($A54, INDIRECT("'" &amp; X$2 &amp; "'!$A:$A"), INDIRECT("'" &amp; X$2 &amp; "'!$B:$B"), "")&lt;&gt;"", "✓", "✗"), "✗")
)</f>
        <v/>
      </c>
      <c r="Y54">
        <f t="array" ref="Y54">IF(
    ISNUMBER(VALUE(LEFT($A54, 1))),
    "",
    IFERROR(IF(_xlfn.XLOOKUP($A54, INDIRECT("'" &amp; Y$2 &amp; "'!$A:$A"), INDIRECT("'" &amp; Y$2 &amp; "'!$B:$B"), "")&lt;&gt;"", "✓", "✗"), "✗")
)</f>
        <v/>
      </c>
      <c r="Z54">
        <f t="array" ref="Z54">IF(
    ISNUMBER(VALUE(LEFT($A54, 1))),
    "",
    IFERROR(IF(_xlfn.XLOOKUP($A54, INDIRECT("'" &amp; Z$2 &amp; "'!$A:$A"), INDIRECT("'" &amp; Z$2 &amp; "'!$B:$B"), "")&lt;&gt;"", "✓", "✗"), "✗")
)</f>
        <v/>
      </c>
      <c r="AA54">
        <f t="array" ref="AA54">IF(
    ISNUMBER(VALUE(LEFT($A54, 1))),
    "",
    IFERROR(IF(_xlfn.XLOOKUP($A54, INDIRECT("'" &amp; AA$2 &amp; "'!$A:$A"), INDIRECT("'" &amp; AA$2 &amp; "'!$B:$B"), "")&lt;&gt;"", "✓", "✗"), "✗")
)</f>
        <v/>
      </c>
      <c r="AB54">
        <f t="array" ref="AB54">IF(
    ISNUMBER(VALUE(LEFT($A54, 1))),
    "",
    IFERROR(IF(_xlfn.XLOOKUP($A54, INDIRECT("'" &amp; AB$2 &amp; "'!$A:$A"), INDIRECT("'" &amp; AB$2 &amp; "'!$B:$B"), "")&lt;&gt;"", "✓", "✗"), "✗")
)</f>
        <v/>
      </c>
      <c r="AC54">
        <f t="array" ref="AC54">IF(
    ISNUMBER(VALUE(LEFT($A54, 1))),
    "",
    IFERROR(IF(_xlfn.XLOOKUP($A54, INDIRECT("'" &amp; AC$2 &amp; "'!$A:$A"), INDIRECT("'" &amp; AC$2 &amp; "'!$B:$B"), "")&lt;&gt;"", "✓", "✗"), "✗")
)</f>
        <v/>
      </c>
      <c r="AD54">
        <f t="array" ref="AD54">IF(
    ISNUMBER(VALUE(LEFT($A54, 1))),
    "",
    IFERROR(IF(_xlfn.XLOOKUP($A54, INDIRECT("'" &amp; AD$2 &amp; "'!$A:$A"), INDIRECT("'" &amp; AD$2 &amp; "'!$B:$B"), "")&lt;&gt;"", "✓", "✗"), "✗")
)</f>
        <v/>
      </c>
      <c r="AE54">
        <f t="array" ref="AE54">IF(
    ISNUMBER(VALUE(LEFT($A54, 1))),
    "",
    IFERROR(IF(_xlfn.XLOOKUP($A54, INDIRECT("'" &amp; AE$2 &amp; "'!$A:$A"), INDIRECT("'" &amp; AE$2 &amp; "'!$B:$B"), "")&lt;&gt;"", "✓", "✗"), "✗")
)</f>
        <v/>
      </c>
      <c r="AF54">
        <f t="array" ref="AF54">IF(
    ISNUMBER(VALUE(LEFT($A54, 1))),
    "",
    IFERROR(IF(_xlfn.XLOOKUP($A54, INDIRECT("'" &amp; AF$2 &amp; "'!$A:$A"), INDIRECT("'" &amp; AF$2 &amp; "'!$B:$B"), "")&lt;&gt;"", "✓", "✗"), "✗")
)</f>
        <v/>
      </c>
      <c r="AG54">
        <f t="array" ref="AG54">IF(
    ISNUMBER(VALUE(LEFT($A54, 1))),
    "",
    IFERROR(IF(_xlfn.XLOOKUP($A54, INDIRECT("'" &amp; AG$2 &amp; "'!$A:$A"), INDIRECT("'" &amp; AG$2 &amp; "'!$B:$B"), "")&lt;&gt;"", "✓", "✗"), "✗")
)</f>
        <v/>
      </c>
    </row>
    <row r="55">
      <c r="A55" t="inlineStr">
        <is>
          <t>Campaign Name</t>
        </is>
      </c>
      <c r="B55">
        <f t="array" ref="B55">IF(
    ISNUMBER(VALUE(LEFT($A55, 1))),
    "",
    IFERROR(IF(_xlfn.XLOOKUP($A55, INDIRECT("'" &amp; B$2 &amp; "'!$A:$A"), INDIRECT("'" &amp; B$2 &amp; "'!$B:$B"), "")&lt;&gt;"", "✓", "✗"), "✗")
)</f>
        <v/>
      </c>
      <c r="C55">
        <f t="array" ref="C55">IF(
    ISNUMBER(VALUE(LEFT($A55, 1))),
    "",
    IFERROR(IF(_xlfn.XLOOKUP($A55, INDIRECT("'" &amp; C$2 &amp; "'!$A:$A"), INDIRECT("'" &amp; C$2 &amp; "'!$B:$B"), "")&lt;&gt;"", "✓", "✗"), "✗")
)</f>
        <v/>
      </c>
      <c r="D55">
        <f t="array" ref="D55">IF(
    ISNUMBER(VALUE(LEFT($A55, 1))),
    "",
    IFERROR(IF(_xlfn.XLOOKUP($A55, INDIRECT("'" &amp; D$2 &amp; "'!$A:$A"), INDIRECT("'" &amp; D$2 &amp; "'!$B:$B"), "")&lt;&gt;"", "✓", "✗"), "✗")
)</f>
        <v/>
      </c>
      <c r="E55">
        <f t="array" ref="E55">IF(
    ISNUMBER(VALUE(LEFT($A55, 1))),
    "",
    IFERROR(IF(_xlfn.XLOOKUP($A55, INDIRECT("'" &amp; E$2 &amp; "'!$A:$A"), INDIRECT("'" &amp; E$2 &amp; "'!$B:$B"), "")&lt;&gt;"", "✓", "✗"), "✗")
)</f>
        <v/>
      </c>
      <c r="F55">
        <f t="array" ref="F55">IF(
    ISNUMBER(VALUE(LEFT($A55, 1))),
    "",
    IFERROR(IF(_xlfn.XLOOKUP($A55, INDIRECT("'" &amp; F$2 &amp; "'!$A:$A"), INDIRECT("'" &amp; F$2 &amp; "'!$B:$B"), "")&lt;&gt;"", "✓", "✗"), "✗")
)</f>
        <v/>
      </c>
      <c r="G55">
        <f t="array" ref="G55">IF(
    ISNUMBER(VALUE(LEFT($A55, 1))),
    "",
    IFERROR(IF(_xlfn.XLOOKUP($A55, INDIRECT("'" &amp; G$2 &amp; "'!$A:$A"), INDIRECT("'" &amp; G$2 &amp; "'!$B:$B"), "")&lt;&gt;"", "✓", "✗"), "✗")
)</f>
        <v/>
      </c>
      <c r="H55">
        <f t="array" ref="H55">IF(
    ISNUMBER(VALUE(LEFT($A55, 1))),
    "",
    IFERROR(IF(_xlfn.XLOOKUP($A55, INDIRECT("'" &amp; H$2 &amp; "'!$A:$A"), INDIRECT("'" &amp; H$2 &amp; "'!$B:$B"), "")&lt;&gt;"", "✓", "✗"), "✗")
)</f>
        <v/>
      </c>
      <c r="I55">
        <f t="array" ref="I55">IF(
    ISNUMBER(VALUE(LEFT($A55, 1))),
    "",
    IFERROR(IF(_xlfn.XLOOKUP($A55, INDIRECT("'" &amp; I$2 &amp; "'!$A:$A"), INDIRECT("'" &amp; I$2 &amp; "'!$B:$B"), "")&lt;&gt;"", "✓", "✗"), "✗")
)</f>
        <v/>
      </c>
      <c r="J55">
        <f t="array" ref="J55">IF(
    ISNUMBER(VALUE(LEFT($A55, 1))),
    "",
    IFERROR(IF(_xlfn.XLOOKUP($A55, INDIRECT("'" &amp; J$2 &amp; "'!$A:$A"), INDIRECT("'" &amp; J$2 &amp; "'!$B:$B"), "")&lt;&gt;"", "✓", "✗"), "✗")
)</f>
        <v/>
      </c>
      <c r="K55">
        <f t="array" ref="K55">IF(
    ISNUMBER(VALUE(LEFT($A55, 1))),
    "",
    IFERROR(IF(_xlfn.XLOOKUP($A55, INDIRECT("'" &amp; K$2 &amp; "'!$A:$A"), INDIRECT("'" &amp; K$2 &amp; "'!$B:$B"), "")&lt;&gt;"", "✓", "✗"), "✗")
)</f>
        <v/>
      </c>
      <c r="L55">
        <f t="array" ref="L55">IF(
    ISNUMBER(VALUE(LEFT($A55, 1))),
    "",
    IFERROR(IF(_xlfn.XLOOKUP($A55, INDIRECT("'" &amp; L$2 &amp; "'!$A:$A"), INDIRECT("'" &amp; L$2 &amp; "'!$B:$B"), "")&lt;&gt;"", "✓", "✗"), "✗")
)</f>
        <v/>
      </c>
      <c r="M55">
        <f t="array" ref="M55">IF(
    ISNUMBER(VALUE(LEFT($A55, 1))),
    "",
    IFERROR(IF(_xlfn.XLOOKUP($A55, INDIRECT("'" &amp; M$2 &amp; "'!$A:$A"), INDIRECT("'" &amp; M$2 &amp; "'!$B:$B"), "")&lt;&gt;"", "✓", "✗"), "✗")
)</f>
        <v/>
      </c>
      <c r="N55">
        <f t="array" ref="N55">IF(
    ISNUMBER(VALUE(LEFT($A55, 1))),
    "",
    IFERROR(IF(_xlfn.XLOOKUP($A55, INDIRECT("'" &amp; N$2 &amp; "'!$A:$A"), INDIRECT("'" &amp; N$2 &amp; "'!$B:$B"), "")&lt;&gt;"", "✓", "✗"), "✗")
)</f>
        <v/>
      </c>
      <c r="O55">
        <f t="array" ref="O55">IF(
    ISNUMBER(VALUE(LEFT($A55, 1))),
    "",
    IFERROR(IF(_xlfn.XLOOKUP($A55, INDIRECT("'" &amp; O$2 &amp; "'!$A:$A"), INDIRECT("'" &amp; O$2 &amp; "'!$B:$B"), "")&lt;&gt;"", "✓", "✗"), "✗")
)</f>
        <v/>
      </c>
      <c r="P55">
        <f t="array" ref="P55">IF(
    ISNUMBER(VALUE(LEFT($A55, 1))),
    "",
    IFERROR(IF(_xlfn.XLOOKUP($A55, INDIRECT("'" &amp; P$2 &amp; "'!$A:$A"), INDIRECT("'" &amp; P$2 &amp; "'!$B:$B"), "")&lt;&gt;"", "✓", "✗"), "✗")
)</f>
        <v/>
      </c>
      <c r="Q55">
        <f t="array" ref="Q55">IF(
    ISNUMBER(VALUE(LEFT($A55, 1))),
    "",
    IFERROR(IF(_xlfn.XLOOKUP($A55, INDIRECT("'" &amp; Q$2 &amp; "'!$A:$A"), INDIRECT("'" &amp; Q$2 &amp; "'!$B:$B"), "")&lt;&gt;"", "✓", "✗"), "✗")
)</f>
        <v/>
      </c>
      <c r="R55">
        <f t="array" ref="R55">IF(
    ISNUMBER(VALUE(LEFT($A55, 1))),
    "",
    IFERROR(IF(_xlfn.XLOOKUP($A55, INDIRECT("'" &amp; R$2 &amp; "'!$A:$A"), INDIRECT("'" &amp; R$2 &amp; "'!$B:$B"), "")&lt;&gt;"", "✓", "✗"), "✗")
)</f>
        <v/>
      </c>
      <c r="S55">
        <f t="array" ref="S55">IF(
    ISNUMBER(VALUE(LEFT($A55, 1))),
    "",
    IFERROR(IF(_xlfn.XLOOKUP($A55, INDIRECT("'" &amp; S$2 &amp; "'!$A:$A"), INDIRECT("'" &amp; S$2 &amp; "'!$B:$B"), "")&lt;&gt;"", "✓", "✗"), "✗")
)</f>
        <v/>
      </c>
      <c r="T55">
        <f t="array" ref="T55">IF(
    ISNUMBER(VALUE(LEFT($A55, 1))),
    "",
    IFERROR(IF(_xlfn.XLOOKUP($A55, INDIRECT("'" &amp; T$2 &amp; "'!$A:$A"), INDIRECT("'" &amp; T$2 &amp; "'!$B:$B"), "")&lt;&gt;"", "✓", "✗"), "✗")
)</f>
        <v/>
      </c>
      <c r="U55">
        <f t="array" ref="U55">IF(
    ISNUMBER(VALUE(LEFT($A55, 1))),
    "",
    IFERROR(IF(_xlfn.XLOOKUP($A55, INDIRECT("'" &amp; U$2 &amp; "'!$A:$A"), INDIRECT("'" &amp; U$2 &amp; "'!$B:$B"), "")&lt;&gt;"", "✓", "✗"), "✗")
)</f>
        <v/>
      </c>
      <c r="V55">
        <f t="array" ref="V55">IF(
    ISNUMBER(VALUE(LEFT($A55, 1))),
    "",
    IFERROR(IF(_xlfn.XLOOKUP($A55, INDIRECT("'" &amp; V$2 &amp; "'!$A:$A"), INDIRECT("'" &amp; V$2 &amp; "'!$B:$B"), "")&lt;&gt;"", "✓", "✗"), "✗")
)</f>
        <v/>
      </c>
      <c r="W55">
        <f t="array" ref="W55">IF(
    ISNUMBER(VALUE(LEFT($A55, 1))),
    "",
    IFERROR(IF(_xlfn.XLOOKUP($A55, INDIRECT("'" &amp; W$2 &amp; "'!$A:$A"), INDIRECT("'" &amp; W$2 &amp; "'!$B:$B"), "")&lt;&gt;"", "✓", "✗"), "✗")
)</f>
        <v/>
      </c>
      <c r="X55">
        <f t="array" ref="X55">IF(
    ISNUMBER(VALUE(LEFT($A55, 1))),
    "",
    IFERROR(IF(_xlfn.XLOOKUP($A55, INDIRECT("'" &amp; X$2 &amp; "'!$A:$A"), INDIRECT("'" &amp; X$2 &amp; "'!$B:$B"), "")&lt;&gt;"", "✓", "✗"), "✗")
)</f>
        <v/>
      </c>
      <c r="Y55">
        <f t="array" ref="Y55">IF(
    ISNUMBER(VALUE(LEFT($A55, 1))),
    "",
    IFERROR(IF(_xlfn.XLOOKUP($A55, INDIRECT("'" &amp; Y$2 &amp; "'!$A:$A"), INDIRECT("'" &amp; Y$2 &amp; "'!$B:$B"), "")&lt;&gt;"", "✓", "✗"), "✗")
)</f>
        <v/>
      </c>
      <c r="Z55">
        <f t="array" ref="Z55">IF(
    ISNUMBER(VALUE(LEFT($A55, 1))),
    "",
    IFERROR(IF(_xlfn.XLOOKUP($A55, INDIRECT("'" &amp; Z$2 &amp; "'!$A:$A"), INDIRECT("'" &amp; Z$2 &amp; "'!$B:$B"), "")&lt;&gt;"", "✓", "✗"), "✗")
)</f>
        <v/>
      </c>
      <c r="AA55">
        <f t="array" ref="AA55">IF(
    ISNUMBER(VALUE(LEFT($A55, 1))),
    "",
    IFERROR(IF(_xlfn.XLOOKUP($A55, INDIRECT("'" &amp; AA$2 &amp; "'!$A:$A"), INDIRECT("'" &amp; AA$2 &amp; "'!$B:$B"), "")&lt;&gt;"", "✓", "✗"), "✗")
)</f>
        <v/>
      </c>
      <c r="AB55">
        <f t="array" ref="AB55">IF(
    ISNUMBER(VALUE(LEFT($A55, 1))),
    "",
    IFERROR(IF(_xlfn.XLOOKUP($A55, INDIRECT("'" &amp; AB$2 &amp; "'!$A:$A"), INDIRECT("'" &amp; AB$2 &amp; "'!$B:$B"), "")&lt;&gt;"", "✓", "✗"), "✗")
)</f>
        <v/>
      </c>
      <c r="AC55">
        <f t="array" ref="AC55">IF(
    ISNUMBER(VALUE(LEFT($A55, 1))),
    "",
    IFERROR(IF(_xlfn.XLOOKUP($A55, INDIRECT("'" &amp; AC$2 &amp; "'!$A:$A"), INDIRECT("'" &amp; AC$2 &amp; "'!$B:$B"), "")&lt;&gt;"", "✓", "✗"), "✗")
)</f>
        <v/>
      </c>
      <c r="AD55">
        <f t="array" ref="AD55">IF(
    ISNUMBER(VALUE(LEFT($A55, 1))),
    "",
    IFERROR(IF(_xlfn.XLOOKUP($A55, INDIRECT("'" &amp; AD$2 &amp; "'!$A:$A"), INDIRECT("'" &amp; AD$2 &amp; "'!$B:$B"), "")&lt;&gt;"", "✓", "✗"), "✗")
)</f>
        <v/>
      </c>
      <c r="AE55">
        <f t="array" ref="AE55">IF(
    ISNUMBER(VALUE(LEFT($A55, 1))),
    "",
    IFERROR(IF(_xlfn.XLOOKUP($A55, INDIRECT("'" &amp; AE$2 &amp; "'!$A:$A"), INDIRECT("'" &amp; AE$2 &amp; "'!$B:$B"), "")&lt;&gt;"", "✓", "✗"), "✗")
)</f>
        <v/>
      </c>
      <c r="AF55">
        <f t="array" ref="AF55">IF(
    ISNUMBER(VALUE(LEFT($A55, 1))),
    "",
    IFERROR(IF(_xlfn.XLOOKUP($A55, INDIRECT("'" &amp; AF$2 &amp; "'!$A:$A"), INDIRECT("'" &amp; AF$2 &amp; "'!$B:$B"), "")&lt;&gt;"", "✓", "✗"), "✗")
)</f>
        <v/>
      </c>
      <c r="AG55">
        <f t="array" ref="AG55">IF(
    ISNUMBER(VALUE(LEFT($A55, 1))),
    "",
    IFERROR(IF(_xlfn.XLOOKUP($A55, INDIRECT("'" &amp; AG$2 &amp; "'!$A:$A"), INDIRECT("'" &amp; AG$2 &amp; "'!$B:$B"), "")&lt;&gt;"", "✓", "✗"), "✗")
)</f>
        <v/>
      </c>
    </row>
    <row r="56">
      <c r="A56" t="inlineStr">
        <is>
          <t>Program Name</t>
        </is>
      </c>
      <c r="B56">
        <f t="array" ref="B56">IF(
    ISNUMBER(VALUE(LEFT($A56, 1))),
    "",
    IFERROR(IF(_xlfn.XLOOKUP($A56, INDIRECT("'" &amp; B$2 &amp; "'!$A:$A"), INDIRECT("'" &amp; B$2 &amp; "'!$B:$B"), "")&lt;&gt;"", "✓", "✗"), "✗")
)</f>
        <v/>
      </c>
      <c r="C56">
        <f t="array" ref="C56">IF(
    ISNUMBER(VALUE(LEFT($A56, 1))),
    "",
    IFERROR(IF(_xlfn.XLOOKUP($A56, INDIRECT("'" &amp; C$2 &amp; "'!$A:$A"), INDIRECT("'" &amp; C$2 &amp; "'!$B:$B"), "")&lt;&gt;"", "✓", "✗"), "✗")
)</f>
        <v/>
      </c>
      <c r="D56">
        <f t="array" ref="D56">IF(
    ISNUMBER(VALUE(LEFT($A56, 1))),
    "",
    IFERROR(IF(_xlfn.XLOOKUP($A56, INDIRECT("'" &amp; D$2 &amp; "'!$A:$A"), INDIRECT("'" &amp; D$2 &amp; "'!$B:$B"), "")&lt;&gt;"", "✓", "✗"), "✗")
)</f>
        <v/>
      </c>
      <c r="E56">
        <f t="array" ref="E56">IF(
    ISNUMBER(VALUE(LEFT($A56, 1))),
    "",
    IFERROR(IF(_xlfn.XLOOKUP($A56, INDIRECT("'" &amp; E$2 &amp; "'!$A:$A"), INDIRECT("'" &amp; E$2 &amp; "'!$B:$B"), "")&lt;&gt;"", "✓", "✗"), "✗")
)</f>
        <v/>
      </c>
      <c r="F56">
        <f t="array" ref="F56">IF(
    ISNUMBER(VALUE(LEFT($A56, 1))),
    "",
    IFERROR(IF(_xlfn.XLOOKUP($A56, INDIRECT("'" &amp; F$2 &amp; "'!$A:$A"), INDIRECT("'" &amp; F$2 &amp; "'!$B:$B"), "")&lt;&gt;"", "✓", "✗"), "✗")
)</f>
        <v/>
      </c>
      <c r="G56">
        <f t="array" ref="G56">IF(
    ISNUMBER(VALUE(LEFT($A56, 1))),
    "",
    IFERROR(IF(_xlfn.XLOOKUP($A56, INDIRECT("'" &amp; G$2 &amp; "'!$A:$A"), INDIRECT("'" &amp; G$2 &amp; "'!$B:$B"), "")&lt;&gt;"", "✓", "✗"), "✗")
)</f>
        <v/>
      </c>
      <c r="H56">
        <f t="array" ref="H56">IF(
    ISNUMBER(VALUE(LEFT($A56, 1))),
    "",
    IFERROR(IF(_xlfn.XLOOKUP($A56, INDIRECT("'" &amp; H$2 &amp; "'!$A:$A"), INDIRECT("'" &amp; H$2 &amp; "'!$B:$B"), "")&lt;&gt;"", "✓", "✗"), "✗")
)</f>
        <v/>
      </c>
      <c r="I56">
        <f t="array" ref="I56">IF(
    ISNUMBER(VALUE(LEFT($A56, 1))),
    "",
    IFERROR(IF(_xlfn.XLOOKUP($A56, INDIRECT("'" &amp; I$2 &amp; "'!$A:$A"), INDIRECT("'" &amp; I$2 &amp; "'!$B:$B"), "")&lt;&gt;"", "✓", "✗"), "✗")
)</f>
        <v/>
      </c>
      <c r="J56">
        <f t="array" ref="J56">IF(
    ISNUMBER(VALUE(LEFT($A56, 1))),
    "",
    IFERROR(IF(_xlfn.XLOOKUP($A56, INDIRECT("'" &amp; J$2 &amp; "'!$A:$A"), INDIRECT("'" &amp; J$2 &amp; "'!$B:$B"), "")&lt;&gt;"", "✓", "✗"), "✗")
)</f>
        <v/>
      </c>
      <c r="K56">
        <f t="array" ref="K56">IF(
    ISNUMBER(VALUE(LEFT($A56, 1))),
    "",
    IFERROR(IF(_xlfn.XLOOKUP($A56, INDIRECT("'" &amp; K$2 &amp; "'!$A:$A"), INDIRECT("'" &amp; K$2 &amp; "'!$B:$B"), "")&lt;&gt;"", "✓", "✗"), "✗")
)</f>
        <v/>
      </c>
      <c r="L56">
        <f t="array" ref="L56">IF(
    ISNUMBER(VALUE(LEFT($A56, 1))),
    "",
    IFERROR(IF(_xlfn.XLOOKUP($A56, INDIRECT("'" &amp; L$2 &amp; "'!$A:$A"), INDIRECT("'" &amp; L$2 &amp; "'!$B:$B"), "")&lt;&gt;"", "✓", "✗"), "✗")
)</f>
        <v/>
      </c>
      <c r="M56">
        <f t="array" ref="M56">IF(
    ISNUMBER(VALUE(LEFT($A56, 1))),
    "",
    IFERROR(IF(_xlfn.XLOOKUP($A56, INDIRECT("'" &amp; M$2 &amp; "'!$A:$A"), INDIRECT("'" &amp; M$2 &amp; "'!$B:$B"), "")&lt;&gt;"", "✓", "✗"), "✗")
)</f>
        <v/>
      </c>
      <c r="N56">
        <f t="array" ref="N56">IF(
    ISNUMBER(VALUE(LEFT($A56, 1))),
    "",
    IFERROR(IF(_xlfn.XLOOKUP($A56, INDIRECT("'" &amp; N$2 &amp; "'!$A:$A"), INDIRECT("'" &amp; N$2 &amp; "'!$B:$B"), "")&lt;&gt;"", "✓", "✗"), "✗")
)</f>
        <v/>
      </c>
      <c r="O56">
        <f t="array" ref="O56">IF(
    ISNUMBER(VALUE(LEFT($A56, 1))),
    "",
    IFERROR(IF(_xlfn.XLOOKUP($A56, INDIRECT("'" &amp; O$2 &amp; "'!$A:$A"), INDIRECT("'" &amp; O$2 &amp; "'!$B:$B"), "")&lt;&gt;"", "✓", "✗"), "✗")
)</f>
        <v/>
      </c>
      <c r="P56">
        <f t="array" ref="P56">IF(
    ISNUMBER(VALUE(LEFT($A56, 1))),
    "",
    IFERROR(IF(_xlfn.XLOOKUP($A56, INDIRECT("'" &amp; P$2 &amp; "'!$A:$A"), INDIRECT("'" &amp; P$2 &amp; "'!$B:$B"), "")&lt;&gt;"", "✓", "✗"), "✗")
)</f>
        <v/>
      </c>
      <c r="Q56">
        <f t="array" ref="Q56">IF(
    ISNUMBER(VALUE(LEFT($A56, 1))),
    "",
    IFERROR(IF(_xlfn.XLOOKUP($A56, INDIRECT("'" &amp; Q$2 &amp; "'!$A:$A"), INDIRECT("'" &amp; Q$2 &amp; "'!$B:$B"), "")&lt;&gt;"", "✓", "✗"), "✗")
)</f>
        <v/>
      </c>
      <c r="R56">
        <f t="array" ref="R56">IF(
    ISNUMBER(VALUE(LEFT($A56, 1))),
    "",
    IFERROR(IF(_xlfn.XLOOKUP($A56, INDIRECT("'" &amp; R$2 &amp; "'!$A:$A"), INDIRECT("'" &amp; R$2 &amp; "'!$B:$B"), "")&lt;&gt;"", "✓", "✗"), "✗")
)</f>
        <v/>
      </c>
      <c r="S56">
        <f t="array" ref="S56">IF(
    ISNUMBER(VALUE(LEFT($A56, 1))),
    "",
    IFERROR(IF(_xlfn.XLOOKUP($A56, INDIRECT("'" &amp; S$2 &amp; "'!$A:$A"), INDIRECT("'" &amp; S$2 &amp; "'!$B:$B"), "")&lt;&gt;"", "✓", "✗"), "✗")
)</f>
        <v/>
      </c>
      <c r="T56">
        <f t="array" ref="T56">IF(
    ISNUMBER(VALUE(LEFT($A56, 1))),
    "",
    IFERROR(IF(_xlfn.XLOOKUP($A56, INDIRECT("'" &amp; T$2 &amp; "'!$A:$A"), INDIRECT("'" &amp; T$2 &amp; "'!$B:$B"), "")&lt;&gt;"", "✓", "✗"), "✗")
)</f>
        <v/>
      </c>
      <c r="U56">
        <f t="array" ref="U56">IF(
    ISNUMBER(VALUE(LEFT($A56, 1))),
    "",
    IFERROR(IF(_xlfn.XLOOKUP($A56, INDIRECT("'" &amp; U$2 &amp; "'!$A:$A"), INDIRECT("'" &amp; U$2 &amp; "'!$B:$B"), "")&lt;&gt;"", "✓", "✗"), "✗")
)</f>
        <v/>
      </c>
      <c r="V56">
        <f t="array" ref="V56">IF(
    ISNUMBER(VALUE(LEFT($A56, 1))),
    "",
    IFERROR(IF(_xlfn.XLOOKUP($A56, INDIRECT("'" &amp; V$2 &amp; "'!$A:$A"), INDIRECT("'" &amp; V$2 &amp; "'!$B:$B"), "")&lt;&gt;"", "✓", "✗"), "✗")
)</f>
        <v/>
      </c>
      <c r="W56">
        <f t="array" ref="W56">IF(
    ISNUMBER(VALUE(LEFT($A56, 1))),
    "",
    IFERROR(IF(_xlfn.XLOOKUP($A56, INDIRECT("'" &amp; W$2 &amp; "'!$A:$A"), INDIRECT("'" &amp; W$2 &amp; "'!$B:$B"), "")&lt;&gt;"", "✓", "✗"), "✗")
)</f>
        <v/>
      </c>
      <c r="X56">
        <f t="array" ref="X56">IF(
    ISNUMBER(VALUE(LEFT($A56, 1))),
    "",
    IFERROR(IF(_xlfn.XLOOKUP($A56, INDIRECT("'" &amp; X$2 &amp; "'!$A:$A"), INDIRECT("'" &amp; X$2 &amp; "'!$B:$B"), "")&lt;&gt;"", "✓", "✗"), "✗")
)</f>
        <v/>
      </c>
      <c r="Y56">
        <f t="array" ref="Y56">IF(
    ISNUMBER(VALUE(LEFT($A56, 1))),
    "",
    IFERROR(IF(_xlfn.XLOOKUP($A56, INDIRECT("'" &amp; Y$2 &amp; "'!$A:$A"), INDIRECT("'" &amp; Y$2 &amp; "'!$B:$B"), "")&lt;&gt;"", "✓", "✗"), "✗")
)</f>
        <v/>
      </c>
      <c r="Z56">
        <f t="array" ref="Z56">IF(
    ISNUMBER(VALUE(LEFT($A56, 1))),
    "",
    IFERROR(IF(_xlfn.XLOOKUP($A56, INDIRECT("'" &amp; Z$2 &amp; "'!$A:$A"), INDIRECT("'" &amp; Z$2 &amp; "'!$B:$B"), "")&lt;&gt;"", "✓", "✗"), "✗")
)</f>
        <v/>
      </c>
      <c r="AA56">
        <f t="array" ref="AA56">IF(
    ISNUMBER(VALUE(LEFT($A56, 1))),
    "",
    IFERROR(IF(_xlfn.XLOOKUP($A56, INDIRECT("'" &amp; AA$2 &amp; "'!$A:$A"), INDIRECT("'" &amp; AA$2 &amp; "'!$B:$B"), "")&lt;&gt;"", "✓", "✗"), "✗")
)</f>
        <v/>
      </c>
      <c r="AB56">
        <f t="array" ref="AB56">IF(
    ISNUMBER(VALUE(LEFT($A56, 1))),
    "",
    IFERROR(IF(_xlfn.XLOOKUP($A56, INDIRECT("'" &amp; AB$2 &amp; "'!$A:$A"), INDIRECT("'" &amp; AB$2 &amp; "'!$B:$B"), "")&lt;&gt;"", "✓", "✗"), "✗")
)</f>
        <v/>
      </c>
      <c r="AC56">
        <f t="array" ref="AC56">IF(
    ISNUMBER(VALUE(LEFT($A56, 1))),
    "",
    IFERROR(IF(_xlfn.XLOOKUP($A56, INDIRECT("'" &amp; AC$2 &amp; "'!$A:$A"), INDIRECT("'" &amp; AC$2 &amp; "'!$B:$B"), "")&lt;&gt;"", "✓", "✗"), "✗")
)</f>
        <v/>
      </c>
      <c r="AD56">
        <f t="array" ref="AD56">IF(
    ISNUMBER(VALUE(LEFT($A56, 1))),
    "",
    IFERROR(IF(_xlfn.XLOOKUP($A56, INDIRECT("'" &amp; AD$2 &amp; "'!$A:$A"), INDIRECT("'" &amp; AD$2 &amp; "'!$B:$B"), "")&lt;&gt;"", "✓", "✗"), "✗")
)</f>
        <v/>
      </c>
      <c r="AE56">
        <f t="array" ref="AE56">IF(
    ISNUMBER(VALUE(LEFT($A56, 1))),
    "",
    IFERROR(IF(_xlfn.XLOOKUP($A56, INDIRECT("'" &amp; AE$2 &amp; "'!$A:$A"), INDIRECT("'" &amp; AE$2 &amp; "'!$B:$B"), "")&lt;&gt;"", "✓", "✗"), "✗")
)</f>
        <v/>
      </c>
      <c r="AF56">
        <f t="array" ref="AF56">IF(
    ISNUMBER(VALUE(LEFT($A56, 1))),
    "",
    IFERROR(IF(_xlfn.XLOOKUP($A56, INDIRECT("'" &amp; AF$2 &amp; "'!$A:$A"), INDIRECT("'" &amp; AF$2 &amp; "'!$B:$B"), "")&lt;&gt;"", "✓", "✗"), "✗")
)</f>
        <v/>
      </c>
      <c r="AG56">
        <f t="array" ref="AG56">IF(
    ISNUMBER(VALUE(LEFT($A56, 1))),
    "",
    IFERROR(IF(_xlfn.XLOOKUP($A56, INDIRECT("'" &amp; AG$2 &amp; "'!$A:$A"), INDIRECT("'" &amp; AG$2 &amp; "'!$B:$B"), "")&lt;&gt;"", "✓", "✗"), "✗")
)</f>
        <v/>
      </c>
    </row>
    <row r="57">
      <c r="A57" t="inlineStr">
        <is>
          <t>Activity ID</t>
        </is>
      </c>
      <c r="B57">
        <f t="array" ref="B57">IF(
    ISNUMBER(VALUE(LEFT($A57, 1))),
    "",
    IFERROR(IF(_xlfn.XLOOKUP($A57, INDIRECT("'" &amp; B$2 &amp; "'!$A:$A"), INDIRECT("'" &amp; B$2 &amp; "'!$B:$B"), "")&lt;&gt;"", "✓", "✗"), "✗")
)</f>
        <v/>
      </c>
      <c r="C57">
        <f t="array" ref="C57">IF(
    ISNUMBER(VALUE(LEFT($A57, 1))),
    "",
    IFERROR(IF(_xlfn.XLOOKUP($A57, INDIRECT("'" &amp; C$2 &amp; "'!$A:$A"), INDIRECT("'" &amp; C$2 &amp; "'!$B:$B"), "")&lt;&gt;"", "✓", "✗"), "✗")
)</f>
        <v/>
      </c>
      <c r="D57">
        <f t="array" ref="D57">IF(
    ISNUMBER(VALUE(LEFT($A57, 1))),
    "",
    IFERROR(IF(_xlfn.XLOOKUP($A57, INDIRECT("'" &amp; D$2 &amp; "'!$A:$A"), INDIRECT("'" &amp; D$2 &amp; "'!$B:$B"), "")&lt;&gt;"", "✓", "✗"), "✗")
)</f>
        <v/>
      </c>
      <c r="E57">
        <f t="array" ref="E57">IF(
    ISNUMBER(VALUE(LEFT($A57, 1))),
    "",
    IFERROR(IF(_xlfn.XLOOKUP($A57, INDIRECT("'" &amp; E$2 &amp; "'!$A:$A"), INDIRECT("'" &amp; E$2 &amp; "'!$B:$B"), "")&lt;&gt;"", "✓", "✗"), "✗")
)</f>
        <v/>
      </c>
      <c r="F57">
        <f t="array" ref="F57">IF(
    ISNUMBER(VALUE(LEFT($A57, 1))),
    "",
    IFERROR(IF(_xlfn.XLOOKUP($A57, INDIRECT("'" &amp; F$2 &amp; "'!$A:$A"), INDIRECT("'" &amp; F$2 &amp; "'!$B:$B"), "")&lt;&gt;"", "✓", "✗"), "✗")
)</f>
        <v/>
      </c>
      <c r="G57">
        <f t="array" ref="G57">IF(
    ISNUMBER(VALUE(LEFT($A57, 1))),
    "",
    IFERROR(IF(_xlfn.XLOOKUP($A57, INDIRECT("'" &amp; G$2 &amp; "'!$A:$A"), INDIRECT("'" &amp; G$2 &amp; "'!$B:$B"), "")&lt;&gt;"", "✓", "✗"), "✗")
)</f>
        <v/>
      </c>
      <c r="H57">
        <f t="array" ref="H57">IF(
    ISNUMBER(VALUE(LEFT($A57, 1))),
    "",
    IFERROR(IF(_xlfn.XLOOKUP($A57, INDIRECT("'" &amp; H$2 &amp; "'!$A:$A"), INDIRECT("'" &amp; H$2 &amp; "'!$B:$B"), "")&lt;&gt;"", "✓", "✗"), "✗")
)</f>
        <v/>
      </c>
      <c r="I57">
        <f t="array" ref="I57">IF(
    ISNUMBER(VALUE(LEFT($A57, 1))),
    "",
    IFERROR(IF(_xlfn.XLOOKUP($A57, INDIRECT("'" &amp; I$2 &amp; "'!$A:$A"), INDIRECT("'" &amp; I$2 &amp; "'!$B:$B"), "")&lt;&gt;"", "✓", "✗"), "✗")
)</f>
        <v/>
      </c>
      <c r="J57">
        <f t="array" ref="J57">IF(
    ISNUMBER(VALUE(LEFT($A57, 1))),
    "",
    IFERROR(IF(_xlfn.XLOOKUP($A57, INDIRECT("'" &amp; J$2 &amp; "'!$A:$A"), INDIRECT("'" &amp; J$2 &amp; "'!$B:$B"), "")&lt;&gt;"", "✓", "✗"), "✗")
)</f>
        <v/>
      </c>
      <c r="K57">
        <f t="array" ref="K57">IF(
    ISNUMBER(VALUE(LEFT($A57, 1))),
    "",
    IFERROR(IF(_xlfn.XLOOKUP($A57, INDIRECT("'" &amp; K$2 &amp; "'!$A:$A"), INDIRECT("'" &amp; K$2 &amp; "'!$B:$B"), "")&lt;&gt;"", "✓", "✗"), "✗")
)</f>
        <v/>
      </c>
      <c r="L57">
        <f t="array" ref="L57">IF(
    ISNUMBER(VALUE(LEFT($A57, 1))),
    "",
    IFERROR(IF(_xlfn.XLOOKUP($A57, INDIRECT("'" &amp; L$2 &amp; "'!$A:$A"), INDIRECT("'" &amp; L$2 &amp; "'!$B:$B"), "")&lt;&gt;"", "✓", "✗"), "✗")
)</f>
        <v/>
      </c>
      <c r="M57">
        <f t="array" ref="M57">IF(
    ISNUMBER(VALUE(LEFT($A57, 1))),
    "",
    IFERROR(IF(_xlfn.XLOOKUP($A57, INDIRECT("'" &amp; M$2 &amp; "'!$A:$A"), INDIRECT("'" &amp; M$2 &amp; "'!$B:$B"), "")&lt;&gt;"", "✓", "✗"), "✗")
)</f>
        <v/>
      </c>
      <c r="N57">
        <f t="array" ref="N57">IF(
    ISNUMBER(VALUE(LEFT($A57, 1))),
    "",
    IFERROR(IF(_xlfn.XLOOKUP($A57, INDIRECT("'" &amp; N$2 &amp; "'!$A:$A"), INDIRECT("'" &amp; N$2 &amp; "'!$B:$B"), "")&lt;&gt;"", "✓", "✗"), "✗")
)</f>
        <v/>
      </c>
      <c r="O57">
        <f t="array" ref="O57">IF(
    ISNUMBER(VALUE(LEFT($A57, 1))),
    "",
    IFERROR(IF(_xlfn.XLOOKUP($A57, INDIRECT("'" &amp; O$2 &amp; "'!$A:$A"), INDIRECT("'" &amp; O$2 &amp; "'!$B:$B"), "")&lt;&gt;"", "✓", "✗"), "✗")
)</f>
        <v/>
      </c>
      <c r="P57">
        <f t="array" ref="P57">IF(
    ISNUMBER(VALUE(LEFT($A57, 1))),
    "",
    IFERROR(IF(_xlfn.XLOOKUP($A57, INDIRECT("'" &amp; P$2 &amp; "'!$A:$A"), INDIRECT("'" &amp; P$2 &amp; "'!$B:$B"), "")&lt;&gt;"", "✓", "✗"), "✗")
)</f>
        <v/>
      </c>
      <c r="Q57">
        <f t="array" ref="Q57">IF(
    ISNUMBER(VALUE(LEFT($A57, 1))),
    "",
    IFERROR(IF(_xlfn.XLOOKUP($A57, INDIRECT("'" &amp; Q$2 &amp; "'!$A:$A"), INDIRECT("'" &amp; Q$2 &amp; "'!$B:$B"), "")&lt;&gt;"", "✓", "✗"), "✗")
)</f>
        <v/>
      </c>
      <c r="R57">
        <f t="array" ref="R57">IF(
    ISNUMBER(VALUE(LEFT($A57, 1))),
    "",
    IFERROR(IF(_xlfn.XLOOKUP($A57, INDIRECT("'" &amp; R$2 &amp; "'!$A:$A"), INDIRECT("'" &amp; R$2 &amp; "'!$B:$B"), "")&lt;&gt;"", "✓", "✗"), "✗")
)</f>
        <v/>
      </c>
      <c r="S57">
        <f t="array" ref="S57">IF(
    ISNUMBER(VALUE(LEFT($A57, 1))),
    "",
    IFERROR(IF(_xlfn.XLOOKUP($A57, INDIRECT("'" &amp; S$2 &amp; "'!$A:$A"), INDIRECT("'" &amp; S$2 &amp; "'!$B:$B"), "")&lt;&gt;"", "✓", "✗"), "✗")
)</f>
        <v/>
      </c>
      <c r="T57">
        <f t="array" ref="T57">IF(
    ISNUMBER(VALUE(LEFT($A57, 1))),
    "",
    IFERROR(IF(_xlfn.XLOOKUP($A57, INDIRECT("'" &amp; T$2 &amp; "'!$A:$A"), INDIRECT("'" &amp; T$2 &amp; "'!$B:$B"), "")&lt;&gt;"", "✓", "✗"), "✗")
)</f>
        <v/>
      </c>
      <c r="U57">
        <f t="array" ref="U57">IF(
    ISNUMBER(VALUE(LEFT($A57, 1))),
    "",
    IFERROR(IF(_xlfn.XLOOKUP($A57, INDIRECT("'" &amp; U$2 &amp; "'!$A:$A"), INDIRECT("'" &amp; U$2 &amp; "'!$B:$B"), "")&lt;&gt;"", "✓", "✗"), "✗")
)</f>
        <v/>
      </c>
      <c r="V57">
        <f t="array" ref="V57">IF(
    ISNUMBER(VALUE(LEFT($A57, 1))),
    "",
    IFERROR(IF(_xlfn.XLOOKUP($A57, INDIRECT("'" &amp; V$2 &amp; "'!$A:$A"), INDIRECT("'" &amp; V$2 &amp; "'!$B:$B"), "")&lt;&gt;"", "✓", "✗"), "✗")
)</f>
        <v/>
      </c>
      <c r="W57">
        <f t="array" ref="W57">IF(
    ISNUMBER(VALUE(LEFT($A57, 1))),
    "",
    IFERROR(IF(_xlfn.XLOOKUP($A57, INDIRECT("'" &amp; W$2 &amp; "'!$A:$A"), INDIRECT("'" &amp; W$2 &amp; "'!$B:$B"), "")&lt;&gt;"", "✓", "✗"), "✗")
)</f>
        <v/>
      </c>
      <c r="X57">
        <f t="array" ref="X57">IF(
    ISNUMBER(VALUE(LEFT($A57, 1))),
    "",
    IFERROR(IF(_xlfn.XLOOKUP($A57, INDIRECT("'" &amp; X$2 &amp; "'!$A:$A"), INDIRECT("'" &amp; X$2 &amp; "'!$B:$B"), "")&lt;&gt;"", "✓", "✗"), "✗")
)</f>
        <v/>
      </c>
      <c r="Y57">
        <f t="array" ref="Y57">IF(
    ISNUMBER(VALUE(LEFT($A57, 1))),
    "",
    IFERROR(IF(_xlfn.XLOOKUP($A57, INDIRECT("'" &amp; Y$2 &amp; "'!$A:$A"), INDIRECT("'" &amp; Y$2 &amp; "'!$B:$B"), "")&lt;&gt;"", "✓", "✗"), "✗")
)</f>
        <v/>
      </c>
      <c r="Z57">
        <f t="array" ref="Z57">IF(
    ISNUMBER(VALUE(LEFT($A57, 1))),
    "",
    IFERROR(IF(_xlfn.XLOOKUP($A57, INDIRECT("'" &amp; Z$2 &amp; "'!$A:$A"), INDIRECT("'" &amp; Z$2 &amp; "'!$B:$B"), "")&lt;&gt;"", "✓", "✗"), "✗")
)</f>
        <v/>
      </c>
      <c r="AA57">
        <f t="array" ref="AA57">IF(
    ISNUMBER(VALUE(LEFT($A57, 1))),
    "",
    IFERROR(IF(_xlfn.XLOOKUP($A57, INDIRECT("'" &amp; AA$2 &amp; "'!$A:$A"), INDIRECT("'" &amp; AA$2 &amp; "'!$B:$B"), "")&lt;&gt;"", "✓", "✗"), "✗")
)</f>
        <v/>
      </c>
      <c r="AB57">
        <f t="array" ref="AB57">IF(
    ISNUMBER(VALUE(LEFT($A57, 1))),
    "",
    IFERROR(IF(_xlfn.XLOOKUP($A57, INDIRECT("'" &amp; AB$2 &amp; "'!$A:$A"), INDIRECT("'" &amp; AB$2 &amp; "'!$B:$B"), "")&lt;&gt;"", "✓", "✗"), "✗")
)</f>
        <v/>
      </c>
      <c r="AC57">
        <f t="array" ref="AC57">IF(
    ISNUMBER(VALUE(LEFT($A57, 1))),
    "",
    IFERROR(IF(_xlfn.XLOOKUP($A57, INDIRECT("'" &amp; AC$2 &amp; "'!$A:$A"), INDIRECT("'" &amp; AC$2 &amp; "'!$B:$B"), "")&lt;&gt;"", "✓", "✗"), "✗")
)</f>
        <v/>
      </c>
      <c r="AD57">
        <f t="array" ref="AD57">IF(
    ISNUMBER(VALUE(LEFT($A57, 1))),
    "",
    IFERROR(IF(_xlfn.XLOOKUP($A57, INDIRECT("'" &amp; AD$2 &amp; "'!$A:$A"), INDIRECT("'" &amp; AD$2 &amp; "'!$B:$B"), "")&lt;&gt;"", "✓", "✗"), "✗")
)</f>
        <v/>
      </c>
      <c r="AE57">
        <f t="array" ref="AE57">IF(
    ISNUMBER(VALUE(LEFT($A57, 1))),
    "",
    IFERROR(IF(_xlfn.XLOOKUP($A57, INDIRECT("'" &amp; AE$2 &amp; "'!$A:$A"), INDIRECT("'" &amp; AE$2 &amp; "'!$B:$B"), "")&lt;&gt;"", "✓", "✗"), "✗")
)</f>
        <v/>
      </c>
      <c r="AF57">
        <f t="array" ref="AF57">IF(
    ISNUMBER(VALUE(LEFT($A57, 1))),
    "",
    IFERROR(IF(_xlfn.XLOOKUP($A57, INDIRECT("'" &amp; AF$2 &amp; "'!$A:$A"), INDIRECT("'" &amp; AF$2 &amp; "'!$B:$B"), "")&lt;&gt;"", "✓", "✗"), "✗")
)</f>
        <v/>
      </c>
      <c r="AG57">
        <f t="array" ref="AG57">IF(
    ISNUMBER(VALUE(LEFT($A57, 1))),
    "",
    IFERROR(IF(_xlfn.XLOOKUP($A57, INDIRECT("'" &amp; AG$2 &amp; "'!$A:$A"), INDIRECT("'" &amp; AG$2 &amp; "'!$B:$B"), "")&lt;&gt;"", "✓", "✗"), "✗")
)</f>
        <v/>
      </c>
    </row>
    <row r="58">
      <c r="A58" t="inlineStr">
        <is>
          <t>Activity Name</t>
        </is>
      </c>
      <c r="B58">
        <f t="array" ref="B58">IF(
    ISNUMBER(VALUE(LEFT($A58, 1))),
    "",
    IFERROR(IF(_xlfn.XLOOKUP($A58, INDIRECT("'" &amp; B$2 &amp; "'!$A:$A"), INDIRECT("'" &amp; B$2 &amp; "'!$B:$B"), "")&lt;&gt;"", "✓", "✗"), "✗")
)</f>
        <v/>
      </c>
      <c r="C58">
        <f t="array" ref="C58">IF(
    ISNUMBER(VALUE(LEFT($A58, 1))),
    "",
    IFERROR(IF(_xlfn.XLOOKUP($A58, INDIRECT("'" &amp; C$2 &amp; "'!$A:$A"), INDIRECT("'" &amp; C$2 &amp; "'!$B:$B"), "")&lt;&gt;"", "✓", "✗"), "✗")
)</f>
        <v/>
      </c>
      <c r="D58">
        <f t="array" ref="D58">IF(
    ISNUMBER(VALUE(LEFT($A58, 1))),
    "",
    IFERROR(IF(_xlfn.XLOOKUP($A58, INDIRECT("'" &amp; D$2 &amp; "'!$A:$A"), INDIRECT("'" &amp; D$2 &amp; "'!$B:$B"), "")&lt;&gt;"", "✓", "✗"), "✗")
)</f>
        <v/>
      </c>
      <c r="E58">
        <f t="array" ref="E58">IF(
    ISNUMBER(VALUE(LEFT($A58, 1))),
    "",
    IFERROR(IF(_xlfn.XLOOKUP($A58, INDIRECT("'" &amp; E$2 &amp; "'!$A:$A"), INDIRECT("'" &amp; E$2 &amp; "'!$B:$B"), "")&lt;&gt;"", "✓", "✗"), "✗")
)</f>
        <v/>
      </c>
      <c r="F58">
        <f t="array" ref="F58">IF(
    ISNUMBER(VALUE(LEFT($A58, 1))),
    "",
    IFERROR(IF(_xlfn.XLOOKUP($A58, INDIRECT("'" &amp; F$2 &amp; "'!$A:$A"), INDIRECT("'" &amp; F$2 &amp; "'!$B:$B"), "")&lt;&gt;"", "✓", "✗"), "✗")
)</f>
        <v/>
      </c>
      <c r="G58">
        <f t="array" ref="G58">IF(
    ISNUMBER(VALUE(LEFT($A58, 1))),
    "",
    IFERROR(IF(_xlfn.XLOOKUP($A58, INDIRECT("'" &amp; G$2 &amp; "'!$A:$A"), INDIRECT("'" &amp; G$2 &amp; "'!$B:$B"), "")&lt;&gt;"", "✓", "✗"), "✗")
)</f>
        <v/>
      </c>
      <c r="H58">
        <f t="array" ref="H58">IF(
    ISNUMBER(VALUE(LEFT($A58, 1))),
    "",
    IFERROR(IF(_xlfn.XLOOKUP($A58, INDIRECT("'" &amp; H$2 &amp; "'!$A:$A"), INDIRECT("'" &amp; H$2 &amp; "'!$B:$B"), "")&lt;&gt;"", "✓", "✗"), "✗")
)</f>
        <v/>
      </c>
      <c r="I58">
        <f t="array" ref="I58">IF(
    ISNUMBER(VALUE(LEFT($A58, 1))),
    "",
    IFERROR(IF(_xlfn.XLOOKUP($A58, INDIRECT("'" &amp; I$2 &amp; "'!$A:$A"), INDIRECT("'" &amp; I$2 &amp; "'!$B:$B"), "")&lt;&gt;"", "✓", "✗"), "✗")
)</f>
        <v/>
      </c>
      <c r="J58">
        <f t="array" ref="J58">IF(
    ISNUMBER(VALUE(LEFT($A58, 1))),
    "",
    IFERROR(IF(_xlfn.XLOOKUP($A58, INDIRECT("'" &amp; J$2 &amp; "'!$A:$A"), INDIRECT("'" &amp; J$2 &amp; "'!$B:$B"), "")&lt;&gt;"", "✓", "✗"), "✗")
)</f>
        <v/>
      </c>
      <c r="K58">
        <f t="array" ref="K58">IF(
    ISNUMBER(VALUE(LEFT($A58, 1))),
    "",
    IFERROR(IF(_xlfn.XLOOKUP($A58, INDIRECT("'" &amp; K$2 &amp; "'!$A:$A"), INDIRECT("'" &amp; K$2 &amp; "'!$B:$B"), "")&lt;&gt;"", "✓", "✗"), "✗")
)</f>
        <v/>
      </c>
      <c r="L58">
        <f t="array" ref="L58">IF(
    ISNUMBER(VALUE(LEFT($A58, 1))),
    "",
    IFERROR(IF(_xlfn.XLOOKUP($A58, INDIRECT("'" &amp; L$2 &amp; "'!$A:$A"), INDIRECT("'" &amp; L$2 &amp; "'!$B:$B"), "")&lt;&gt;"", "✓", "✗"), "✗")
)</f>
        <v/>
      </c>
      <c r="M58">
        <f t="array" ref="M58">IF(
    ISNUMBER(VALUE(LEFT($A58, 1))),
    "",
    IFERROR(IF(_xlfn.XLOOKUP($A58, INDIRECT("'" &amp; M$2 &amp; "'!$A:$A"), INDIRECT("'" &amp; M$2 &amp; "'!$B:$B"), "")&lt;&gt;"", "✓", "✗"), "✗")
)</f>
        <v/>
      </c>
      <c r="N58">
        <f t="array" ref="N58">IF(
    ISNUMBER(VALUE(LEFT($A58, 1))),
    "",
    IFERROR(IF(_xlfn.XLOOKUP($A58, INDIRECT("'" &amp; N$2 &amp; "'!$A:$A"), INDIRECT("'" &amp; N$2 &amp; "'!$B:$B"), "")&lt;&gt;"", "✓", "✗"), "✗")
)</f>
        <v/>
      </c>
      <c r="O58">
        <f t="array" ref="O58">IF(
    ISNUMBER(VALUE(LEFT($A58, 1))),
    "",
    IFERROR(IF(_xlfn.XLOOKUP($A58, INDIRECT("'" &amp; O$2 &amp; "'!$A:$A"), INDIRECT("'" &amp; O$2 &amp; "'!$B:$B"), "")&lt;&gt;"", "✓", "✗"), "✗")
)</f>
        <v/>
      </c>
      <c r="P58">
        <f t="array" ref="P58">IF(
    ISNUMBER(VALUE(LEFT($A58, 1))),
    "",
    IFERROR(IF(_xlfn.XLOOKUP($A58, INDIRECT("'" &amp; P$2 &amp; "'!$A:$A"), INDIRECT("'" &amp; P$2 &amp; "'!$B:$B"), "")&lt;&gt;"", "✓", "✗"), "✗")
)</f>
        <v/>
      </c>
      <c r="Q58">
        <f t="array" ref="Q58">IF(
    ISNUMBER(VALUE(LEFT($A58, 1))),
    "",
    IFERROR(IF(_xlfn.XLOOKUP($A58, INDIRECT("'" &amp; Q$2 &amp; "'!$A:$A"), INDIRECT("'" &amp; Q$2 &amp; "'!$B:$B"), "")&lt;&gt;"", "✓", "✗"), "✗")
)</f>
        <v/>
      </c>
      <c r="R58">
        <f t="array" ref="R58">IF(
    ISNUMBER(VALUE(LEFT($A58, 1))),
    "",
    IFERROR(IF(_xlfn.XLOOKUP($A58, INDIRECT("'" &amp; R$2 &amp; "'!$A:$A"), INDIRECT("'" &amp; R$2 &amp; "'!$B:$B"), "")&lt;&gt;"", "✓", "✗"), "✗")
)</f>
        <v/>
      </c>
      <c r="S58">
        <f t="array" ref="S58">IF(
    ISNUMBER(VALUE(LEFT($A58, 1))),
    "",
    IFERROR(IF(_xlfn.XLOOKUP($A58, INDIRECT("'" &amp; S$2 &amp; "'!$A:$A"), INDIRECT("'" &amp; S$2 &amp; "'!$B:$B"), "")&lt;&gt;"", "✓", "✗"), "✗")
)</f>
        <v/>
      </c>
      <c r="T58">
        <f t="array" ref="T58">IF(
    ISNUMBER(VALUE(LEFT($A58, 1))),
    "",
    IFERROR(IF(_xlfn.XLOOKUP($A58, INDIRECT("'" &amp; T$2 &amp; "'!$A:$A"), INDIRECT("'" &amp; T$2 &amp; "'!$B:$B"), "")&lt;&gt;"", "✓", "✗"), "✗")
)</f>
        <v/>
      </c>
      <c r="U58">
        <f t="array" ref="U58">IF(
    ISNUMBER(VALUE(LEFT($A58, 1))),
    "",
    IFERROR(IF(_xlfn.XLOOKUP($A58, INDIRECT("'" &amp; U$2 &amp; "'!$A:$A"), INDIRECT("'" &amp; U$2 &amp; "'!$B:$B"), "")&lt;&gt;"", "✓", "✗"), "✗")
)</f>
        <v/>
      </c>
      <c r="V58">
        <f t="array" ref="V58">IF(
    ISNUMBER(VALUE(LEFT($A58, 1))),
    "",
    IFERROR(IF(_xlfn.XLOOKUP($A58, INDIRECT("'" &amp; V$2 &amp; "'!$A:$A"), INDIRECT("'" &amp; V$2 &amp; "'!$B:$B"), "")&lt;&gt;"", "✓", "✗"), "✗")
)</f>
        <v/>
      </c>
      <c r="W58">
        <f t="array" ref="W58">IF(
    ISNUMBER(VALUE(LEFT($A58, 1))),
    "",
    IFERROR(IF(_xlfn.XLOOKUP($A58, INDIRECT("'" &amp; W$2 &amp; "'!$A:$A"), INDIRECT("'" &amp; W$2 &amp; "'!$B:$B"), "")&lt;&gt;"", "✓", "✗"), "✗")
)</f>
        <v/>
      </c>
      <c r="X58">
        <f t="array" ref="X58">IF(
    ISNUMBER(VALUE(LEFT($A58, 1))),
    "",
    IFERROR(IF(_xlfn.XLOOKUP($A58, INDIRECT("'" &amp; X$2 &amp; "'!$A:$A"), INDIRECT("'" &amp; X$2 &amp; "'!$B:$B"), "")&lt;&gt;"", "✓", "✗"), "✗")
)</f>
        <v/>
      </c>
      <c r="Y58">
        <f t="array" ref="Y58">IF(
    ISNUMBER(VALUE(LEFT($A58, 1))),
    "",
    IFERROR(IF(_xlfn.XLOOKUP($A58, INDIRECT("'" &amp; Y$2 &amp; "'!$A:$A"), INDIRECT("'" &amp; Y$2 &amp; "'!$B:$B"), "")&lt;&gt;"", "✓", "✗"), "✗")
)</f>
        <v/>
      </c>
      <c r="Z58">
        <f t="array" ref="Z58">IF(
    ISNUMBER(VALUE(LEFT($A58, 1))),
    "",
    IFERROR(IF(_xlfn.XLOOKUP($A58, INDIRECT("'" &amp; Z$2 &amp; "'!$A:$A"), INDIRECT("'" &amp; Z$2 &amp; "'!$B:$B"), "")&lt;&gt;"", "✓", "✗"), "✗")
)</f>
        <v/>
      </c>
      <c r="AA58">
        <f t="array" ref="AA58">IF(
    ISNUMBER(VALUE(LEFT($A58, 1))),
    "",
    IFERROR(IF(_xlfn.XLOOKUP($A58, INDIRECT("'" &amp; AA$2 &amp; "'!$A:$A"), INDIRECT("'" &amp; AA$2 &amp; "'!$B:$B"), "")&lt;&gt;"", "✓", "✗"), "✗")
)</f>
        <v/>
      </c>
      <c r="AB58">
        <f t="array" ref="AB58">IF(
    ISNUMBER(VALUE(LEFT($A58, 1))),
    "",
    IFERROR(IF(_xlfn.XLOOKUP($A58, INDIRECT("'" &amp; AB$2 &amp; "'!$A:$A"), INDIRECT("'" &amp; AB$2 &amp; "'!$B:$B"), "")&lt;&gt;"", "✓", "✗"), "✗")
)</f>
        <v/>
      </c>
      <c r="AC58">
        <f t="array" ref="AC58">IF(
    ISNUMBER(VALUE(LEFT($A58, 1))),
    "",
    IFERROR(IF(_xlfn.XLOOKUP($A58, INDIRECT("'" &amp; AC$2 &amp; "'!$A:$A"), INDIRECT("'" &amp; AC$2 &amp; "'!$B:$B"), "")&lt;&gt;"", "✓", "✗"), "✗")
)</f>
        <v/>
      </c>
      <c r="AD58">
        <f t="array" ref="AD58">IF(
    ISNUMBER(VALUE(LEFT($A58, 1))),
    "",
    IFERROR(IF(_xlfn.XLOOKUP($A58, INDIRECT("'" &amp; AD$2 &amp; "'!$A:$A"), INDIRECT("'" &amp; AD$2 &amp; "'!$B:$B"), "")&lt;&gt;"", "✓", "✗"), "✗")
)</f>
        <v/>
      </c>
      <c r="AE58">
        <f t="array" ref="AE58">IF(
    ISNUMBER(VALUE(LEFT($A58, 1))),
    "",
    IFERROR(IF(_xlfn.XLOOKUP($A58, INDIRECT("'" &amp; AE$2 &amp; "'!$A:$A"), INDIRECT("'" &amp; AE$2 &amp; "'!$B:$B"), "")&lt;&gt;"", "✓", "✗"), "✗")
)</f>
        <v/>
      </c>
      <c r="AF58">
        <f t="array" ref="AF58">IF(
    ISNUMBER(VALUE(LEFT($A58, 1))),
    "",
    IFERROR(IF(_xlfn.XLOOKUP($A58, INDIRECT("'" &amp; AF$2 &amp; "'!$A:$A"), INDIRECT("'" &amp; AF$2 &amp; "'!$B:$B"), "")&lt;&gt;"", "✓", "✗"), "✗")
)</f>
        <v/>
      </c>
      <c r="AG58">
        <f t="array" ref="AG58">IF(
    ISNUMBER(VALUE(LEFT($A58, 1))),
    "",
    IFERROR(IF(_xlfn.XLOOKUP($A58, INDIRECT("'" &amp; AG$2 &amp; "'!$A:$A"), INDIRECT("'" &amp; AG$2 &amp; "'!$B:$B"), "")&lt;&gt;"", "✓", "✗"), "✗")
)</f>
        <v/>
      </c>
    </row>
    <row r="59">
      <c r="A59" t="inlineStr">
        <is>
          <t>Activity Description</t>
        </is>
      </c>
      <c r="B59">
        <f t="array" ref="B59">IF(
    ISNUMBER(VALUE(LEFT($A59, 1))),
    "",
    IFERROR(IF(_xlfn.XLOOKUP($A59, INDIRECT("'" &amp; B$2 &amp; "'!$A:$A"), INDIRECT("'" &amp; B$2 &amp; "'!$B:$B"), "")&lt;&gt;"", "✓", "✗"), "✗")
)</f>
        <v/>
      </c>
      <c r="C59">
        <f t="array" ref="C59">IF(
    ISNUMBER(VALUE(LEFT($A59, 1))),
    "",
    IFERROR(IF(_xlfn.XLOOKUP($A59, INDIRECT("'" &amp; C$2 &amp; "'!$A:$A"), INDIRECT("'" &amp; C$2 &amp; "'!$B:$B"), "")&lt;&gt;"", "✓", "✗"), "✗")
)</f>
        <v/>
      </c>
      <c r="D59">
        <f t="array" ref="D59">IF(
    ISNUMBER(VALUE(LEFT($A59, 1))),
    "",
    IFERROR(IF(_xlfn.XLOOKUP($A59, INDIRECT("'" &amp; D$2 &amp; "'!$A:$A"), INDIRECT("'" &amp; D$2 &amp; "'!$B:$B"), "")&lt;&gt;"", "✓", "✗"), "✗")
)</f>
        <v/>
      </c>
      <c r="E59">
        <f t="array" ref="E59">IF(
    ISNUMBER(VALUE(LEFT($A59, 1))),
    "",
    IFERROR(IF(_xlfn.XLOOKUP($A59, INDIRECT("'" &amp; E$2 &amp; "'!$A:$A"), INDIRECT("'" &amp; E$2 &amp; "'!$B:$B"), "")&lt;&gt;"", "✓", "✗"), "✗")
)</f>
        <v/>
      </c>
      <c r="F59">
        <f t="array" ref="F59">IF(
    ISNUMBER(VALUE(LEFT($A59, 1))),
    "",
    IFERROR(IF(_xlfn.XLOOKUP($A59, INDIRECT("'" &amp; F$2 &amp; "'!$A:$A"), INDIRECT("'" &amp; F$2 &amp; "'!$B:$B"), "")&lt;&gt;"", "✓", "✗"), "✗")
)</f>
        <v/>
      </c>
      <c r="G59">
        <f t="array" ref="G59">IF(
    ISNUMBER(VALUE(LEFT($A59, 1))),
    "",
    IFERROR(IF(_xlfn.XLOOKUP($A59, INDIRECT("'" &amp; G$2 &amp; "'!$A:$A"), INDIRECT("'" &amp; G$2 &amp; "'!$B:$B"), "")&lt;&gt;"", "✓", "✗"), "✗")
)</f>
        <v/>
      </c>
      <c r="H59">
        <f t="array" ref="H59">IF(
    ISNUMBER(VALUE(LEFT($A59, 1))),
    "",
    IFERROR(IF(_xlfn.XLOOKUP($A59, INDIRECT("'" &amp; H$2 &amp; "'!$A:$A"), INDIRECT("'" &amp; H$2 &amp; "'!$B:$B"), "")&lt;&gt;"", "✓", "✗"), "✗")
)</f>
        <v/>
      </c>
      <c r="I59">
        <f t="array" ref="I59">IF(
    ISNUMBER(VALUE(LEFT($A59, 1))),
    "",
    IFERROR(IF(_xlfn.XLOOKUP($A59, INDIRECT("'" &amp; I$2 &amp; "'!$A:$A"), INDIRECT("'" &amp; I$2 &amp; "'!$B:$B"), "")&lt;&gt;"", "✓", "✗"), "✗")
)</f>
        <v/>
      </c>
      <c r="J59">
        <f t="array" ref="J59">IF(
    ISNUMBER(VALUE(LEFT($A59, 1))),
    "",
    IFERROR(IF(_xlfn.XLOOKUP($A59, INDIRECT("'" &amp; J$2 &amp; "'!$A:$A"), INDIRECT("'" &amp; J$2 &amp; "'!$B:$B"), "")&lt;&gt;"", "✓", "✗"), "✗")
)</f>
        <v/>
      </c>
      <c r="K59">
        <f t="array" ref="K59">IF(
    ISNUMBER(VALUE(LEFT($A59, 1))),
    "",
    IFERROR(IF(_xlfn.XLOOKUP($A59, INDIRECT("'" &amp; K$2 &amp; "'!$A:$A"), INDIRECT("'" &amp; K$2 &amp; "'!$B:$B"), "")&lt;&gt;"", "✓", "✗"), "✗")
)</f>
        <v/>
      </c>
      <c r="L59">
        <f t="array" ref="L59">IF(
    ISNUMBER(VALUE(LEFT($A59, 1))),
    "",
    IFERROR(IF(_xlfn.XLOOKUP($A59, INDIRECT("'" &amp; L$2 &amp; "'!$A:$A"), INDIRECT("'" &amp; L$2 &amp; "'!$B:$B"), "")&lt;&gt;"", "✓", "✗"), "✗")
)</f>
        <v/>
      </c>
      <c r="M59">
        <f t="array" ref="M59">IF(
    ISNUMBER(VALUE(LEFT($A59, 1))),
    "",
    IFERROR(IF(_xlfn.XLOOKUP($A59, INDIRECT("'" &amp; M$2 &amp; "'!$A:$A"), INDIRECT("'" &amp; M$2 &amp; "'!$B:$B"), "")&lt;&gt;"", "✓", "✗"), "✗")
)</f>
        <v/>
      </c>
      <c r="N59">
        <f t="array" ref="N59">IF(
    ISNUMBER(VALUE(LEFT($A59, 1))),
    "",
    IFERROR(IF(_xlfn.XLOOKUP($A59, INDIRECT("'" &amp; N$2 &amp; "'!$A:$A"), INDIRECT("'" &amp; N$2 &amp; "'!$B:$B"), "")&lt;&gt;"", "✓", "✗"), "✗")
)</f>
        <v/>
      </c>
      <c r="O59">
        <f t="array" ref="O59">IF(
    ISNUMBER(VALUE(LEFT($A59, 1))),
    "",
    IFERROR(IF(_xlfn.XLOOKUP($A59, INDIRECT("'" &amp; O$2 &amp; "'!$A:$A"), INDIRECT("'" &amp; O$2 &amp; "'!$B:$B"), "")&lt;&gt;"", "✓", "✗"), "✗")
)</f>
        <v/>
      </c>
      <c r="P59">
        <f t="array" ref="P59">IF(
    ISNUMBER(VALUE(LEFT($A59, 1))),
    "",
    IFERROR(IF(_xlfn.XLOOKUP($A59, INDIRECT("'" &amp; P$2 &amp; "'!$A:$A"), INDIRECT("'" &amp; P$2 &amp; "'!$B:$B"), "")&lt;&gt;"", "✓", "✗"), "✗")
)</f>
        <v/>
      </c>
      <c r="Q59">
        <f t="array" ref="Q59">IF(
    ISNUMBER(VALUE(LEFT($A59, 1))),
    "",
    IFERROR(IF(_xlfn.XLOOKUP($A59, INDIRECT("'" &amp; Q$2 &amp; "'!$A:$A"), INDIRECT("'" &amp; Q$2 &amp; "'!$B:$B"), "")&lt;&gt;"", "✓", "✗"), "✗")
)</f>
        <v/>
      </c>
      <c r="R59">
        <f t="array" ref="R59">IF(
    ISNUMBER(VALUE(LEFT($A59, 1))),
    "",
    IFERROR(IF(_xlfn.XLOOKUP($A59, INDIRECT("'" &amp; R$2 &amp; "'!$A:$A"), INDIRECT("'" &amp; R$2 &amp; "'!$B:$B"), "")&lt;&gt;"", "✓", "✗"), "✗")
)</f>
        <v/>
      </c>
      <c r="S59">
        <f t="array" ref="S59">IF(
    ISNUMBER(VALUE(LEFT($A59, 1))),
    "",
    IFERROR(IF(_xlfn.XLOOKUP($A59, INDIRECT("'" &amp; S$2 &amp; "'!$A:$A"), INDIRECT("'" &amp; S$2 &amp; "'!$B:$B"), "")&lt;&gt;"", "✓", "✗"), "✗")
)</f>
        <v/>
      </c>
      <c r="T59">
        <f t="array" ref="T59">IF(
    ISNUMBER(VALUE(LEFT($A59, 1))),
    "",
    IFERROR(IF(_xlfn.XLOOKUP($A59, INDIRECT("'" &amp; T$2 &amp; "'!$A:$A"), INDIRECT("'" &amp; T$2 &amp; "'!$B:$B"), "")&lt;&gt;"", "✓", "✗"), "✗")
)</f>
        <v/>
      </c>
      <c r="U59">
        <f t="array" ref="U59">IF(
    ISNUMBER(VALUE(LEFT($A59, 1))),
    "",
    IFERROR(IF(_xlfn.XLOOKUP($A59, INDIRECT("'" &amp; U$2 &amp; "'!$A:$A"), INDIRECT("'" &amp; U$2 &amp; "'!$B:$B"), "")&lt;&gt;"", "✓", "✗"), "✗")
)</f>
        <v/>
      </c>
      <c r="V59">
        <f t="array" ref="V59">IF(
    ISNUMBER(VALUE(LEFT($A59, 1))),
    "",
    IFERROR(IF(_xlfn.XLOOKUP($A59, INDIRECT("'" &amp; V$2 &amp; "'!$A:$A"), INDIRECT("'" &amp; V$2 &amp; "'!$B:$B"), "")&lt;&gt;"", "✓", "✗"), "✗")
)</f>
        <v/>
      </c>
      <c r="W59">
        <f t="array" ref="W59">IF(
    ISNUMBER(VALUE(LEFT($A59, 1))),
    "",
    IFERROR(IF(_xlfn.XLOOKUP($A59, INDIRECT("'" &amp; W$2 &amp; "'!$A:$A"), INDIRECT("'" &amp; W$2 &amp; "'!$B:$B"), "")&lt;&gt;"", "✓", "✗"), "✗")
)</f>
        <v/>
      </c>
      <c r="X59">
        <f t="array" ref="X59">IF(
    ISNUMBER(VALUE(LEFT($A59, 1))),
    "",
    IFERROR(IF(_xlfn.XLOOKUP($A59, INDIRECT("'" &amp; X$2 &amp; "'!$A:$A"), INDIRECT("'" &amp; X$2 &amp; "'!$B:$B"), "")&lt;&gt;"", "✓", "✗"), "✗")
)</f>
        <v/>
      </c>
      <c r="Y59">
        <f t="array" ref="Y59">IF(
    ISNUMBER(VALUE(LEFT($A59, 1))),
    "",
    IFERROR(IF(_xlfn.XLOOKUP($A59, INDIRECT("'" &amp; Y$2 &amp; "'!$A:$A"), INDIRECT("'" &amp; Y$2 &amp; "'!$B:$B"), "")&lt;&gt;"", "✓", "✗"), "✗")
)</f>
        <v/>
      </c>
      <c r="Z59">
        <f t="array" ref="Z59">IF(
    ISNUMBER(VALUE(LEFT($A59, 1))),
    "",
    IFERROR(IF(_xlfn.XLOOKUP($A59, INDIRECT("'" &amp; Z$2 &amp; "'!$A:$A"), INDIRECT("'" &amp; Z$2 &amp; "'!$B:$B"), "")&lt;&gt;"", "✓", "✗"), "✗")
)</f>
        <v/>
      </c>
      <c r="AA59">
        <f t="array" ref="AA59">IF(
    ISNUMBER(VALUE(LEFT($A59, 1))),
    "",
    IFERROR(IF(_xlfn.XLOOKUP($A59, INDIRECT("'" &amp; AA$2 &amp; "'!$A:$A"), INDIRECT("'" &amp; AA$2 &amp; "'!$B:$B"), "")&lt;&gt;"", "✓", "✗"), "✗")
)</f>
        <v/>
      </c>
      <c r="AB59">
        <f t="array" ref="AB59">IF(
    ISNUMBER(VALUE(LEFT($A59, 1))),
    "",
    IFERROR(IF(_xlfn.XLOOKUP($A59, INDIRECT("'" &amp; AB$2 &amp; "'!$A:$A"), INDIRECT("'" &amp; AB$2 &amp; "'!$B:$B"), "")&lt;&gt;"", "✓", "✗"), "✗")
)</f>
        <v/>
      </c>
      <c r="AC59">
        <f t="array" ref="AC59">IF(
    ISNUMBER(VALUE(LEFT($A59, 1))),
    "",
    IFERROR(IF(_xlfn.XLOOKUP($A59, INDIRECT("'" &amp; AC$2 &amp; "'!$A:$A"), INDIRECT("'" &amp; AC$2 &amp; "'!$B:$B"), "")&lt;&gt;"", "✓", "✗"), "✗")
)</f>
        <v/>
      </c>
      <c r="AD59">
        <f t="array" ref="AD59">IF(
    ISNUMBER(VALUE(LEFT($A59, 1))),
    "",
    IFERROR(IF(_xlfn.XLOOKUP($A59, INDIRECT("'" &amp; AD$2 &amp; "'!$A:$A"), INDIRECT("'" &amp; AD$2 &amp; "'!$B:$B"), "")&lt;&gt;"", "✓", "✗"), "✗")
)</f>
        <v/>
      </c>
      <c r="AE59">
        <f t="array" ref="AE59">IF(
    ISNUMBER(VALUE(LEFT($A59, 1))),
    "",
    IFERROR(IF(_xlfn.XLOOKUP($A59, INDIRECT("'" &amp; AE$2 &amp; "'!$A:$A"), INDIRECT("'" &amp; AE$2 &amp; "'!$B:$B"), "")&lt;&gt;"", "✓", "✗"), "✗")
)</f>
        <v/>
      </c>
      <c r="AF59">
        <f t="array" ref="AF59">IF(
    ISNUMBER(VALUE(LEFT($A59, 1))),
    "",
    IFERROR(IF(_xlfn.XLOOKUP($A59, INDIRECT("'" &amp; AF$2 &amp; "'!$A:$A"), INDIRECT("'" &amp; AF$2 &amp; "'!$B:$B"), "")&lt;&gt;"", "✓", "✗"), "✗")
)</f>
        <v/>
      </c>
      <c r="AG59">
        <f t="array" ref="AG59">IF(
    ISNUMBER(VALUE(LEFT($A59, 1))),
    "",
    IFERROR(IF(_xlfn.XLOOKUP($A59, INDIRECT("'" &amp; AG$2 &amp; "'!$A:$A"), INDIRECT("'" &amp; AG$2 &amp; "'!$B:$B"), "")&lt;&gt;"", "✓", "✗"), "✗")
)</f>
        <v/>
      </c>
    </row>
    <row r="60">
      <c r="A60" t="inlineStr">
        <is>
          <t>Drive To ID</t>
        </is>
      </c>
      <c r="B60">
        <f t="array" ref="B60">IF(
    ISNUMBER(VALUE(LEFT($A60, 1))),
    "",
    IFERROR(IF(_xlfn.XLOOKUP($A60, INDIRECT("'" &amp; B$2 &amp; "'!$A:$A"), INDIRECT("'" &amp; B$2 &amp; "'!$B:$B"), "")&lt;&gt;"", "✓", "✗"), "✗")
)</f>
        <v/>
      </c>
      <c r="C60">
        <f t="array" ref="C60">IF(
    ISNUMBER(VALUE(LEFT($A60, 1))),
    "",
    IFERROR(IF(_xlfn.XLOOKUP($A60, INDIRECT("'" &amp; C$2 &amp; "'!$A:$A"), INDIRECT("'" &amp; C$2 &amp; "'!$B:$B"), "")&lt;&gt;"", "✓", "✗"), "✗")
)</f>
        <v/>
      </c>
      <c r="D60">
        <f t="array" ref="D60">IF(
    ISNUMBER(VALUE(LEFT($A60, 1))),
    "",
    IFERROR(IF(_xlfn.XLOOKUP($A60, INDIRECT("'" &amp; D$2 &amp; "'!$A:$A"), INDIRECT("'" &amp; D$2 &amp; "'!$B:$B"), "")&lt;&gt;"", "✓", "✗"), "✗")
)</f>
        <v/>
      </c>
      <c r="E60">
        <f t="array" ref="E60">IF(
    ISNUMBER(VALUE(LEFT($A60, 1))),
    "",
    IFERROR(IF(_xlfn.XLOOKUP($A60, INDIRECT("'" &amp; E$2 &amp; "'!$A:$A"), INDIRECT("'" &amp; E$2 &amp; "'!$B:$B"), "")&lt;&gt;"", "✓", "✗"), "✗")
)</f>
        <v/>
      </c>
      <c r="F60">
        <f t="array" ref="F60">IF(
    ISNUMBER(VALUE(LEFT($A60, 1))),
    "",
    IFERROR(IF(_xlfn.XLOOKUP($A60, INDIRECT("'" &amp; F$2 &amp; "'!$A:$A"), INDIRECT("'" &amp; F$2 &amp; "'!$B:$B"), "")&lt;&gt;"", "✓", "✗"), "✗")
)</f>
        <v/>
      </c>
      <c r="G60">
        <f t="array" ref="G60">IF(
    ISNUMBER(VALUE(LEFT($A60, 1))),
    "",
    IFERROR(IF(_xlfn.XLOOKUP($A60, INDIRECT("'" &amp; G$2 &amp; "'!$A:$A"), INDIRECT("'" &amp; G$2 &amp; "'!$B:$B"), "")&lt;&gt;"", "✓", "✗"), "✗")
)</f>
        <v/>
      </c>
      <c r="H60">
        <f t="array" ref="H60">IF(
    ISNUMBER(VALUE(LEFT($A60, 1))),
    "",
    IFERROR(IF(_xlfn.XLOOKUP($A60, INDIRECT("'" &amp; H$2 &amp; "'!$A:$A"), INDIRECT("'" &amp; H$2 &amp; "'!$B:$B"), "")&lt;&gt;"", "✓", "✗"), "✗")
)</f>
        <v/>
      </c>
      <c r="I60">
        <f t="array" ref="I60">IF(
    ISNUMBER(VALUE(LEFT($A60, 1))),
    "",
    IFERROR(IF(_xlfn.XLOOKUP($A60, INDIRECT("'" &amp; I$2 &amp; "'!$A:$A"), INDIRECT("'" &amp; I$2 &amp; "'!$B:$B"), "")&lt;&gt;"", "✓", "✗"), "✗")
)</f>
        <v/>
      </c>
      <c r="J60">
        <f t="array" ref="J60">IF(
    ISNUMBER(VALUE(LEFT($A60, 1))),
    "",
    IFERROR(IF(_xlfn.XLOOKUP($A60, INDIRECT("'" &amp; J$2 &amp; "'!$A:$A"), INDIRECT("'" &amp; J$2 &amp; "'!$B:$B"), "")&lt;&gt;"", "✓", "✗"), "✗")
)</f>
        <v/>
      </c>
      <c r="K60">
        <f t="array" ref="K60">IF(
    ISNUMBER(VALUE(LEFT($A60, 1))),
    "",
    IFERROR(IF(_xlfn.XLOOKUP($A60, INDIRECT("'" &amp; K$2 &amp; "'!$A:$A"), INDIRECT("'" &amp; K$2 &amp; "'!$B:$B"), "")&lt;&gt;"", "✓", "✗"), "✗")
)</f>
        <v/>
      </c>
      <c r="L60">
        <f t="array" ref="L60">IF(
    ISNUMBER(VALUE(LEFT($A60, 1))),
    "",
    IFERROR(IF(_xlfn.XLOOKUP($A60, INDIRECT("'" &amp; L$2 &amp; "'!$A:$A"), INDIRECT("'" &amp; L$2 &amp; "'!$B:$B"), "")&lt;&gt;"", "✓", "✗"), "✗")
)</f>
        <v/>
      </c>
      <c r="M60">
        <f t="array" ref="M60">IF(
    ISNUMBER(VALUE(LEFT($A60, 1))),
    "",
    IFERROR(IF(_xlfn.XLOOKUP($A60, INDIRECT("'" &amp; M$2 &amp; "'!$A:$A"), INDIRECT("'" &amp; M$2 &amp; "'!$B:$B"), "")&lt;&gt;"", "✓", "✗"), "✗")
)</f>
        <v/>
      </c>
      <c r="N60">
        <f t="array" ref="N60">IF(
    ISNUMBER(VALUE(LEFT($A60, 1))),
    "",
    IFERROR(IF(_xlfn.XLOOKUP($A60, INDIRECT("'" &amp; N$2 &amp; "'!$A:$A"), INDIRECT("'" &amp; N$2 &amp; "'!$B:$B"), "")&lt;&gt;"", "✓", "✗"), "✗")
)</f>
        <v/>
      </c>
      <c r="O60">
        <f t="array" ref="O60">IF(
    ISNUMBER(VALUE(LEFT($A60, 1))),
    "",
    IFERROR(IF(_xlfn.XLOOKUP($A60, INDIRECT("'" &amp; O$2 &amp; "'!$A:$A"), INDIRECT("'" &amp; O$2 &amp; "'!$B:$B"), "")&lt;&gt;"", "✓", "✗"), "✗")
)</f>
        <v/>
      </c>
      <c r="P60">
        <f t="array" ref="P60">IF(
    ISNUMBER(VALUE(LEFT($A60, 1))),
    "",
    IFERROR(IF(_xlfn.XLOOKUP($A60, INDIRECT("'" &amp; P$2 &amp; "'!$A:$A"), INDIRECT("'" &amp; P$2 &amp; "'!$B:$B"), "")&lt;&gt;"", "✓", "✗"), "✗")
)</f>
        <v/>
      </c>
      <c r="Q60">
        <f t="array" ref="Q60">IF(
    ISNUMBER(VALUE(LEFT($A60, 1))),
    "",
    IFERROR(IF(_xlfn.XLOOKUP($A60, INDIRECT("'" &amp; Q$2 &amp; "'!$A:$A"), INDIRECT("'" &amp; Q$2 &amp; "'!$B:$B"), "")&lt;&gt;"", "✓", "✗"), "✗")
)</f>
        <v/>
      </c>
      <c r="R60">
        <f t="array" ref="R60">IF(
    ISNUMBER(VALUE(LEFT($A60, 1))),
    "",
    IFERROR(IF(_xlfn.XLOOKUP($A60, INDIRECT("'" &amp; R$2 &amp; "'!$A:$A"), INDIRECT("'" &amp; R$2 &amp; "'!$B:$B"), "")&lt;&gt;"", "✓", "✗"), "✗")
)</f>
        <v/>
      </c>
      <c r="S60">
        <f t="array" ref="S60">IF(
    ISNUMBER(VALUE(LEFT($A60, 1))),
    "",
    IFERROR(IF(_xlfn.XLOOKUP($A60, INDIRECT("'" &amp; S$2 &amp; "'!$A:$A"), INDIRECT("'" &amp; S$2 &amp; "'!$B:$B"), "")&lt;&gt;"", "✓", "✗"), "✗")
)</f>
        <v/>
      </c>
      <c r="T60">
        <f t="array" ref="T60">IF(
    ISNUMBER(VALUE(LEFT($A60, 1))),
    "",
    IFERROR(IF(_xlfn.XLOOKUP($A60, INDIRECT("'" &amp; T$2 &amp; "'!$A:$A"), INDIRECT("'" &amp; T$2 &amp; "'!$B:$B"), "")&lt;&gt;"", "✓", "✗"), "✗")
)</f>
        <v/>
      </c>
      <c r="U60">
        <f t="array" ref="U60">IF(
    ISNUMBER(VALUE(LEFT($A60, 1))),
    "",
    IFERROR(IF(_xlfn.XLOOKUP($A60, INDIRECT("'" &amp; U$2 &amp; "'!$A:$A"), INDIRECT("'" &amp; U$2 &amp; "'!$B:$B"), "")&lt;&gt;"", "✓", "✗"), "✗")
)</f>
        <v/>
      </c>
      <c r="V60">
        <f t="array" ref="V60">IF(
    ISNUMBER(VALUE(LEFT($A60, 1))),
    "",
    IFERROR(IF(_xlfn.XLOOKUP($A60, INDIRECT("'" &amp; V$2 &amp; "'!$A:$A"), INDIRECT("'" &amp; V$2 &amp; "'!$B:$B"), "")&lt;&gt;"", "✓", "✗"), "✗")
)</f>
        <v/>
      </c>
      <c r="W60">
        <f t="array" ref="W60">IF(
    ISNUMBER(VALUE(LEFT($A60, 1))),
    "",
    IFERROR(IF(_xlfn.XLOOKUP($A60, INDIRECT("'" &amp; W$2 &amp; "'!$A:$A"), INDIRECT("'" &amp; W$2 &amp; "'!$B:$B"), "")&lt;&gt;"", "✓", "✗"), "✗")
)</f>
        <v/>
      </c>
      <c r="X60">
        <f t="array" ref="X60">IF(
    ISNUMBER(VALUE(LEFT($A60, 1))),
    "",
    IFERROR(IF(_xlfn.XLOOKUP($A60, INDIRECT("'" &amp; X$2 &amp; "'!$A:$A"), INDIRECT("'" &amp; X$2 &amp; "'!$B:$B"), "")&lt;&gt;"", "✓", "✗"), "✗")
)</f>
        <v/>
      </c>
      <c r="Y60">
        <f t="array" ref="Y60">IF(
    ISNUMBER(VALUE(LEFT($A60, 1))),
    "",
    IFERROR(IF(_xlfn.XLOOKUP($A60, INDIRECT("'" &amp; Y$2 &amp; "'!$A:$A"), INDIRECT("'" &amp; Y$2 &amp; "'!$B:$B"), "")&lt;&gt;"", "✓", "✗"), "✗")
)</f>
        <v/>
      </c>
      <c r="Z60">
        <f t="array" ref="Z60">IF(
    ISNUMBER(VALUE(LEFT($A60, 1))),
    "",
    IFERROR(IF(_xlfn.XLOOKUP($A60, INDIRECT("'" &amp; Z$2 &amp; "'!$A:$A"), INDIRECT("'" &amp; Z$2 &amp; "'!$B:$B"), "")&lt;&gt;"", "✓", "✗"), "✗")
)</f>
        <v/>
      </c>
      <c r="AA60">
        <f t="array" ref="AA60">IF(
    ISNUMBER(VALUE(LEFT($A60, 1))),
    "",
    IFERROR(IF(_xlfn.XLOOKUP($A60, INDIRECT("'" &amp; AA$2 &amp; "'!$A:$A"), INDIRECT("'" &amp; AA$2 &amp; "'!$B:$B"), "")&lt;&gt;"", "✓", "✗"), "✗")
)</f>
        <v/>
      </c>
      <c r="AB60">
        <f t="array" ref="AB60">IF(
    ISNUMBER(VALUE(LEFT($A60, 1))),
    "",
    IFERROR(IF(_xlfn.XLOOKUP($A60, INDIRECT("'" &amp; AB$2 &amp; "'!$A:$A"), INDIRECT("'" &amp; AB$2 &amp; "'!$B:$B"), "")&lt;&gt;"", "✓", "✗"), "✗")
)</f>
        <v/>
      </c>
      <c r="AC60">
        <f t="array" ref="AC60">IF(
    ISNUMBER(VALUE(LEFT($A60, 1))),
    "",
    IFERROR(IF(_xlfn.XLOOKUP($A60, INDIRECT("'" &amp; AC$2 &amp; "'!$A:$A"), INDIRECT("'" &amp; AC$2 &amp; "'!$B:$B"), "")&lt;&gt;"", "✓", "✗"), "✗")
)</f>
        <v/>
      </c>
      <c r="AD60">
        <f t="array" ref="AD60">IF(
    ISNUMBER(VALUE(LEFT($A60, 1))),
    "",
    IFERROR(IF(_xlfn.XLOOKUP($A60, INDIRECT("'" &amp; AD$2 &amp; "'!$A:$A"), INDIRECT("'" &amp; AD$2 &amp; "'!$B:$B"), "")&lt;&gt;"", "✓", "✗"), "✗")
)</f>
        <v/>
      </c>
      <c r="AE60">
        <f t="array" ref="AE60">IF(
    ISNUMBER(VALUE(LEFT($A60, 1))),
    "",
    IFERROR(IF(_xlfn.XLOOKUP($A60, INDIRECT("'" &amp; AE$2 &amp; "'!$A:$A"), INDIRECT("'" &amp; AE$2 &amp; "'!$B:$B"), "")&lt;&gt;"", "✓", "✗"), "✗")
)</f>
        <v/>
      </c>
      <c r="AF60">
        <f t="array" ref="AF60">IF(
    ISNUMBER(VALUE(LEFT($A60, 1))),
    "",
    IFERROR(IF(_xlfn.XLOOKUP($A60, INDIRECT("'" &amp; AF$2 &amp; "'!$A:$A"), INDIRECT("'" &amp; AF$2 &amp; "'!$B:$B"), "")&lt;&gt;"", "✓", "✗"), "✗")
)</f>
        <v/>
      </c>
      <c r="AG60">
        <f t="array" ref="AG60">IF(
    ISNUMBER(VALUE(LEFT($A60, 1))),
    "",
    IFERROR(IF(_xlfn.XLOOKUP($A60, INDIRECT("'" &amp; AG$2 &amp; "'!$A:$A"), INDIRECT("'" &amp; AG$2 &amp; "'!$B:$B"), "")&lt;&gt;"", "✓", "✗"), "✗")
)</f>
        <v/>
      </c>
    </row>
    <row r="61">
      <c r="A61" t="inlineStr">
        <is>
          <t>DTID Reporting Channel</t>
        </is>
      </c>
      <c r="B61">
        <f t="array" ref="B61">IF(
    ISNUMBER(VALUE(LEFT($A61, 1))),
    "",
    IFERROR(IF(_xlfn.XLOOKUP($A61, INDIRECT("'" &amp; B$2 &amp; "'!$A:$A"), INDIRECT("'" &amp; B$2 &amp; "'!$B:$B"), "")&lt;&gt;"", "✓", "✗"), "✗")
)</f>
        <v/>
      </c>
      <c r="C61">
        <f t="array" ref="C61">IF(
    ISNUMBER(VALUE(LEFT($A61, 1))),
    "",
    IFERROR(IF(_xlfn.XLOOKUP($A61, INDIRECT("'" &amp; C$2 &amp; "'!$A:$A"), INDIRECT("'" &amp; C$2 &amp; "'!$B:$B"), "")&lt;&gt;"", "✓", "✗"), "✗")
)</f>
        <v/>
      </c>
      <c r="D61">
        <f t="array" ref="D61">IF(
    ISNUMBER(VALUE(LEFT($A61, 1))),
    "",
    IFERROR(IF(_xlfn.XLOOKUP($A61, INDIRECT("'" &amp; D$2 &amp; "'!$A:$A"), INDIRECT("'" &amp; D$2 &amp; "'!$B:$B"), "")&lt;&gt;"", "✓", "✗"), "✗")
)</f>
        <v/>
      </c>
      <c r="E61">
        <f t="array" ref="E61">IF(
    ISNUMBER(VALUE(LEFT($A61, 1))),
    "",
    IFERROR(IF(_xlfn.XLOOKUP($A61, INDIRECT("'" &amp; E$2 &amp; "'!$A:$A"), INDIRECT("'" &amp; E$2 &amp; "'!$B:$B"), "")&lt;&gt;"", "✓", "✗"), "✗")
)</f>
        <v/>
      </c>
      <c r="F61">
        <f t="array" ref="F61">IF(
    ISNUMBER(VALUE(LEFT($A61, 1))),
    "",
    IFERROR(IF(_xlfn.XLOOKUP($A61, INDIRECT("'" &amp; F$2 &amp; "'!$A:$A"), INDIRECT("'" &amp; F$2 &amp; "'!$B:$B"), "")&lt;&gt;"", "✓", "✗"), "✗")
)</f>
        <v/>
      </c>
      <c r="G61">
        <f t="array" ref="G61">IF(
    ISNUMBER(VALUE(LEFT($A61, 1))),
    "",
    IFERROR(IF(_xlfn.XLOOKUP($A61, INDIRECT("'" &amp; G$2 &amp; "'!$A:$A"), INDIRECT("'" &amp; G$2 &amp; "'!$B:$B"), "")&lt;&gt;"", "✓", "✗"), "✗")
)</f>
        <v/>
      </c>
      <c r="H61">
        <f t="array" ref="H61">IF(
    ISNUMBER(VALUE(LEFT($A61, 1))),
    "",
    IFERROR(IF(_xlfn.XLOOKUP($A61, INDIRECT("'" &amp; H$2 &amp; "'!$A:$A"), INDIRECT("'" &amp; H$2 &amp; "'!$B:$B"), "")&lt;&gt;"", "✓", "✗"), "✗")
)</f>
        <v/>
      </c>
      <c r="I61">
        <f t="array" ref="I61">IF(
    ISNUMBER(VALUE(LEFT($A61, 1))),
    "",
    IFERROR(IF(_xlfn.XLOOKUP($A61, INDIRECT("'" &amp; I$2 &amp; "'!$A:$A"), INDIRECT("'" &amp; I$2 &amp; "'!$B:$B"), "")&lt;&gt;"", "✓", "✗"), "✗")
)</f>
        <v/>
      </c>
      <c r="J61">
        <f t="array" ref="J61">IF(
    ISNUMBER(VALUE(LEFT($A61, 1))),
    "",
    IFERROR(IF(_xlfn.XLOOKUP($A61, INDIRECT("'" &amp; J$2 &amp; "'!$A:$A"), INDIRECT("'" &amp; J$2 &amp; "'!$B:$B"), "")&lt;&gt;"", "✓", "✗"), "✗")
)</f>
        <v/>
      </c>
      <c r="K61">
        <f t="array" ref="K61">IF(
    ISNUMBER(VALUE(LEFT($A61, 1))),
    "",
    IFERROR(IF(_xlfn.XLOOKUP($A61, INDIRECT("'" &amp; K$2 &amp; "'!$A:$A"), INDIRECT("'" &amp; K$2 &amp; "'!$B:$B"), "")&lt;&gt;"", "✓", "✗"), "✗")
)</f>
        <v/>
      </c>
      <c r="L61">
        <f t="array" ref="L61">IF(
    ISNUMBER(VALUE(LEFT($A61, 1))),
    "",
    IFERROR(IF(_xlfn.XLOOKUP($A61, INDIRECT("'" &amp; L$2 &amp; "'!$A:$A"), INDIRECT("'" &amp; L$2 &amp; "'!$B:$B"), "")&lt;&gt;"", "✓", "✗"), "✗")
)</f>
        <v/>
      </c>
      <c r="M61">
        <f t="array" ref="M61">IF(
    ISNUMBER(VALUE(LEFT($A61, 1))),
    "",
    IFERROR(IF(_xlfn.XLOOKUP($A61, INDIRECT("'" &amp; M$2 &amp; "'!$A:$A"), INDIRECT("'" &amp; M$2 &amp; "'!$B:$B"), "")&lt;&gt;"", "✓", "✗"), "✗")
)</f>
        <v/>
      </c>
      <c r="N61">
        <f t="array" ref="N61">IF(
    ISNUMBER(VALUE(LEFT($A61, 1))),
    "",
    IFERROR(IF(_xlfn.XLOOKUP($A61, INDIRECT("'" &amp; N$2 &amp; "'!$A:$A"), INDIRECT("'" &amp; N$2 &amp; "'!$B:$B"), "")&lt;&gt;"", "✓", "✗"), "✗")
)</f>
        <v/>
      </c>
      <c r="O61">
        <f t="array" ref="O61">IF(
    ISNUMBER(VALUE(LEFT($A61, 1))),
    "",
    IFERROR(IF(_xlfn.XLOOKUP($A61, INDIRECT("'" &amp; O$2 &amp; "'!$A:$A"), INDIRECT("'" &amp; O$2 &amp; "'!$B:$B"), "")&lt;&gt;"", "✓", "✗"), "✗")
)</f>
        <v/>
      </c>
      <c r="P61">
        <f t="array" ref="P61">IF(
    ISNUMBER(VALUE(LEFT($A61, 1))),
    "",
    IFERROR(IF(_xlfn.XLOOKUP($A61, INDIRECT("'" &amp; P$2 &amp; "'!$A:$A"), INDIRECT("'" &amp; P$2 &amp; "'!$B:$B"), "")&lt;&gt;"", "✓", "✗"), "✗")
)</f>
        <v/>
      </c>
      <c r="Q61">
        <f t="array" ref="Q61">IF(
    ISNUMBER(VALUE(LEFT($A61, 1))),
    "",
    IFERROR(IF(_xlfn.XLOOKUP($A61, INDIRECT("'" &amp; Q$2 &amp; "'!$A:$A"), INDIRECT("'" &amp; Q$2 &amp; "'!$B:$B"), "")&lt;&gt;"", "✓", "✗"), "✗")
)</f>
        <v/>
      </c>
      <c r="R61">
        <f t="array" ref="R61">IF(
    ISNUMBER(VALUE(LEFT($A61, 1))),
    "",
    IFERROR(IF(_xlfn.XLOOKUP($A61, INDIRECT("'" &amp; R$2 &amp; "'!$A:$A"), INDIRECT("'" &amp; R$2 &amp; "'!$B:$B"), "")&lt;&gt;"", "✓", "✗"), "✗")
)</f>
        <v/>
      </c>
      <c r="S61">
        <f t="array" ref="S61">IF(
    ISNUMBER(VALUE(LEFT($A61, 1))),
    "",
    IFERROR(IF(_xlfn.XLOOKUP($A61, INDIRECT("'" &amp; S$2 &amp; "'!$A:$A"), INDIRECT("'" &amp; S$2 &amp; "'!$B:$B"), "")&lt;&gt;"", "✓", "✗"), "✗")
)</f>
        <v/>
      </c>
      <c r="T61">
        <f t="array" ref="T61">IF(
    ISNUMBER(VALUE(LEFT($A61, 1))),
    "",
    IFERROR(IF(_xlfn.XLOOKUP($A61, INDIRECT("'" &amp; T$2 &amp; "'!$A:$A"), INDIRECT("'" &amp; T$2 &amp; "'!$B:$B"), "")&lt;&gt;"", "✓", "✗"), "✗")
)</f>
        <v/>
      </c>
      <c r="U61">
        <f t="array" ref="U61">IF(
    ISNUMBER(VALUE(LEFT($A61, 1))),
    "",
    IFERROR(IF(_xlfn.XLOOKUP($A61, INDIRECT("'" &amp; U$2 &amp; "'!$A:$A"), INDIRECT("'" &amp; U$2 &amp; "'!$B:$B"), "")&lt;&gt;"", "✓", "✗"), "✗")
)</f>
        <v/>
      </c>
      <c r="V61">
        <f t="array" ref="V61">IF(
    ISNUMBER(VALUE(LEFT($A61, 1))),
    "",
    IFERROR(IF(_xlfn.XLOOKUP($A61, INDIRECT("'" &amp; V$2 &amp; "'!$A:$A"), INDIRECT("'" &amp; V$2 &amp; "'!$B:$B"), "")&lt;&gt;"", "✓", "✗"), "✗")
)</f>
        <v/>
      </c>
      <c r="W61">
        <f t="array" ref="W61">IF(
    ISNUMBER(VALUE(LEFT($A61, 1))),
    "",
    IFERROR(IF(_xlfn.XLOOKUP($A61, INDIRECT("'" &amp; W$2 &amp; "'!$A:$A"), INDIRECT("'" &amp; W$2 &amp; "'!$B:$B"), "")&lt;&gt;"", "✓", "✗"), "✗")
)</f>
        <v/>
      </c>
      <c r="X61">
        <f t="array" ref="X61">IF(
    ISNUMBER(VALUE(LEFT($A61, 1))),
    "",
    IFERROR(IF(_xlfn.XLOOKUP($A61, INDIRECT("'" &amp; X$2 &amp; "'!$A:$A"), INDIRECT("'" &amp; X$2 &amp; "'!$B:$B"), "")&lt;&gt;"", "✓", "✗"), "✗")
)</f>
        <v/>
      </c>
      <c r="Y61">
        <f t="array" ref="Y61">IF(
    ISNUMBER(VALUE(LEFT($A61, 1))),
    "",
    IFERROR(IF(_xlfn.XLOOKUP($A61, INDIRECT("'" &amp; Y$2 &amp; "'!$A:$A"), INDIRECT("'" &amp; Y$2 &amp; "'!$B:$B"), "")&lt;&gt;"", "✓", "✗"), "✗")
)</f>
        <v/>
      </c>
      <c r="Z61">
        <f t="array" ref="Z61">IF(
    ISNUMBER(VALUE(LEFT($A61, 1))),
    "",
    IFERROR(IF(_xlfn.XLOOKUP($A61, INDIRECT("'" &amp; Z$2 &amp; "'!$A:$A"), INDIRECT("'" &amp; Z$2 &amp; "'!$B:$B"), "")&lt;&gt;"", "✓", "✗"), "✗")
)</f>
        <v/>
      </c>
      <c r="AA61">
        <f t="array" ref="AA61">IF(
    ISNUMBER(VALUE(LEFT($A61, 1))),
    "",
    IFERROR(IF(_xlfn.XLOOKUP($A61, INDIRECT("'" &amp; AA$2 &amp; "'!$A:$A"), INDIRECT("'" &amp; AA$2 &amp; "'!$B:$B"), "")&lt;&gt;"", "✓", "✗"), "✗")
)</f>
        <v/>
      </c>
      <c r="AB61">
        <f t="array" ref="AB61">IF(
    ISNUMBER(VALUE(LEFT($A61, 1))),
    "",
    IFERROR(IF(_xlfn.XLOOKUP($A61, INDIRECT("'" &amp; AB$2 &amp; "'!$A:$A"), INDIRECT("'" &amp; AB$2 &amp; "'!$B:$B"), "")&lt;&gt;"", "✓", "✗"), "✗")
)</f>
        <v/>
      </c>
      <c r="AC61">
        <f t="array" ref="AC61">IF(
    ISNUMBER(VALUE(LEFT($A61, 1))),
    "",
    IFERROR(IF(_xlfn.XLOOKUP($A61, INDIRECT("'" &amp; AC$2 &amp; "'!$A:$A"), INDIRECT("'" &amp; AC$2 &amp; "'!$B:$B"), "")&lt;&gt;"", "✓", "✗"), "✗")
)</f>
        <v/>
      </c>
      <c r="AD61">
        <f t="array" ref="AD61">IF(
    ISNUMBER(VALUE(LEFT($A61, 1))),
    "",
    IFERROR(IF(_xlfn.XLOOKUP($A61, INDIRECT("'" &amp; AD$2 &amp; "'!$A:$A"), INDIRECT("'" &amp; AD$2 &amp; "'!$B:$B"), "")&lt;&gt;"", "✓", "✗"), "✗")
)</f>
        <v/>
      </c>
      <c r="AE61">
        <f t="array" ref="AE61">IF(
    ISNUMBER(VALUE(LEFT($A61, 1))),
    "",
    IFERROR(IF(_xlfn.XLOOKUP($A61, INDIRECT("'" &amp; AE$2 &amp; "'!$A:$A"), INDIRECT("'" &amp; AE$2 &amp; "'!$B:$B"), "")&lt;&gt;"", "✓", "✗"), "✗")
)</f>
        <v/>
      </c>
      <c r="AF61">
        <f t="array" ref="AF61">IF(
    ISNUMBER(VALUE(LEFT($A61, 1))),
    "",
    IFERROR(IF(_xlfn.XLOOKUP($A61, INDIRECT("'" &amp; AF$2 &amp; "'!$A:$A"), INDIRECT("'" &amp; AF$2 &amp; "'!$B:$B"), "")&lt;&gt;"", "✓", "✗"), "✗")
)</f>
        <v/>
      </c>
      <c r="AG61">
        <f t="array" ref="AG61">IF(
    ISNUMBER(VALUE(LEFT($A61, 1))),
    "",
    IFERROR(IF(_xlfn.XLOOKUP($A61, INDIRECT("'" &amp; AG$2 &amp; "'!$A:$A"), INDIRECT("'" &amp; AG$2 &amp; "'!$B:$B"), "")&lt;&gt;"", "✓", "✗"), "✗")
)</f>
        <v/>
      </c>
    </row>
    <row r="62">
      <c r="A62" t="inlineStr">
        <is>
          <t>Vehicle</t>
        </is>
      </c>
      <c r="B62">
        <f t="array" ref="B62">IF(
    ISNUMBER(VALUE(LEFT($A62, 1))),
    "",
    IFERROR(IF(_xlfn.XLOOKUP($A62, INDIRECT("'" &amp; B$2 &amp; "'!$A:$A"), INDIRECT("'" &amp; B$2 &amp; "'!$B:$B"), "")&lt;&gt;"", "✓", "✗"), "✗")
)</f>
        <v/>
      </c>
      <c r="C62">
        <f t="array" ref="C62">IF(
    ISNUMBER(VALUE(LEFT($A62, 1))),
    "",
    IFERROR(IF(_xlfn.XLOOKUP($A62, INDIRECT("'" &amp; C$2 &amp; "'!$A:$A"), INDIRECT("'" &amp; C$2 &amp; "'!$B:$B"), "")&lt;&gt;"", "✓", "✗"), "✗")
)</f>
        <v/>
      </c>
      <c r="D62">
        <f t="array" ref="D62">IF(
    ISNUMBER(VALUE(LEFT($A62, 1))),
    "",
    IFERROR(IF(_xlfn.XLOOKUP($A62, INDIRECT("'" &amp; D$2 &amp; "'!$A:$A"), INDIRECT("'" &amp; D$2 &amp; "'!$B:$B"), "")&lt;&gt;"", "✓", "✗"), "✗")
)</f>
        <v/>
      </c>
      <c r="E62">
        <f t="array" ref="E62">IF(
    ISNUMBER(VALUE(LEFT($A62, 1))),
    "",
    IFERROR(IF(_xlfn.XLOOKUP($A62, INDIRECT("'" &amp; E$2 &amp; "'!$A:$A"), INDIRECT("'" &amp; E$2 &amp; "'!$B:$B"), "")&lt;&gt;"", "✓", "✗"), "✗")
)</f>
        <v/>
      </c>
      <c r="F62">
        <f t="array" ref="F62">IF(
    ISNUMBER(VALUE(LEFT($A62, 1))),
    "",
    IFERROR(IF(_xlfn.XLOOKUP($A62, INDIRECT("'" &amp; F$2 &amp; "'!$A:$A"), INDIRECT("'" &amp; F$2 &amp; "'!$B:$B"), "")&lt;&gt;"", "✓", "✗"), "✗")
)</f>
        <v/>
      </c>
      <c r="G62">
        <f t="array" ref="G62">IF(
    ISNUMBER(VALUE(LEFT($A62, 1))),
    "",
    IFERROR(IF(_xlfn.XLOOKUP($A62, INDIRECT("'" &amp; G$2 &amp; "'!$A:$A"), INDIRECT("'" &amp; G$2 &amp; "'!$B:$B"), "")&lt;&gt;"", "✓", "✗"), "✗")
)</f>
        <v/>
      </c>
      <c r="H62">
        <f t="array" ref="H62">IF(
    ISNUMBER(VALUE(LEFT($A62, 1))),
    "",
    IFERROR(IF(_xlfn.XLOOKUP($A62, INDIRECT("'" &amp; H$2 &amp; "'!$A:$A"), INDIRECT("'" &amp; H$2 &amp; "'!$B:$B"), "")&lt;&gt;"", "✓", "✗"), "✗")
)</f>
        <v/>
      </c>
      <c r="I62">
        <f t="array" ref="I62">IF(
    ISNUMBER(VALUE(LEFT($A62, 1))),
    "",
    IFERROR(IF(_xlfn.XLOOKUP($A62, INDIRECT("'" &amp; I$2 &amp; "'!$A:$A"), INDIRECT("'" &amp; I$2 &amp; "'!$B:$B"), "")&lt;&gt;"", "✓", "✗"), "✗")
)</f>
        <v/>
      </c>
      <c r="J62">
        <f t="array" ref="J62">IF(
    ISNUMBER(VALUE(LEFT($A62, 1))),
    "",
    IFERROR(IF(_xlfn.XLOOKUP($A62, INDIRECT("'" &amp; J$2 &amp; "'!$A:$A"), INDIRECT("'" &amp; J$2 &amp; "'!$B:$B"), "")&lt;&gt;"", "✓", "✗"), "✗")
)</f>
        <v/>
      </c>
      <c r="K62">
        <f t="array" ref="K62">IF(
    ISNUMBER(VALUE(LEFT($A62, 1))),
    "",
    IFERROR(IF(_xlfn.XLOOKUP($A62, INDIRECT("'" &amp; K$2 &amp; "'!$A:$A"), INDIRECT("'" &amp; K$2 &amp; "'!$B:$B"), "")&lt;&gt;"", "✓", "✗"), "✗")
)</f>
        <v/>
      </c>
      <c r="L62">
        <f t="array" ref="L62">IF(
    ISNUMBER(VALUE(LEFT($A62, 1))),
    "",
    IFERROR(IF(_xlfn.XLOOKUP($A62, INDIRECT("'" &amp; L$2 &amp; "'!$A:$A"), INDIRECT("'" &amp; L$2 &amp; "'!$B:$B"), "")&lt;&gt;"", "✓", "✗"), "✗")
)</f>
        <v/>
      </c>
      <c r="M62">
        <f t="array" ref="M62">IF(
    ISNUMBER(VALUE(LEFT($A62, 1))),
    "",
    IFERROR(IF(_xlfn.XLOOKUP($A62, INDIRECT("'" &amp; M$2 &amp; "'!$A:$A"), INDIRECT("'" &amp; M$2 &amp; "'!$B:$B"), "")&lt;&gt;"", "✓", "✗"), "✗")
)</f>
        <v/>
      </c>
      <c r="N62">
        <f t="array" ref="N62">IF(
    ISNUMBER(VALUE(LEFT($A62, 1))),
    "",
    IFERROR(IF(_xlfn.XLOOKUP($A62, INDIRECT("'" &amp; N$2 &amp; "'!$A:$A"), INDIRECT("'" &amp; N$2 &amp; "'!$B:$B"), "")&lt;&gt;"", "✓", "✗"), "✗")
)</f>
        <v/>
      </c>
      <c r="O62">
        <f t="array" ref="O62">IF(
    ISNUMBER(VALUE(LEFT($A62, 1))),
    "",
    IFERROR(IF(_xlfn.XLOOKUP($A62, INDIRECT("'" &amp; O$2 &amp; "'!$A:$A"), INDIRECT("'" &amp; O$2 &amp; "'!$B:$B"), "")&lt;&gt;"", "✓", "✗"), "✗")
)</f>
        <v/>
      </c>
      <c r="P62">
        <f t="array" ref="P62">IF(
    ISNUMBER(VALUE(LEFT($A62, 1))),
    "",
    IFERROR(IF(_xlfn.XLOOKUP($A62, INDIRECT("'" &amp; P$2 &amp; "'!$A:$A"), INDIRECT("'" &amp; P$2 &amp; "'!$B:$B"), "")&lt;&gt;"", "✓", "✗"), "✗")
)</f>
        <v/>
      </c>
      <c r="Q62">
        <f t="array" ref="Q62">IF(
    ISNUMBER(VALUE(LEFT($A62, 1))),
    "",
    IFERROR(IF(_xlfn.XLOOKUP($A62, INDIRECT("'" &amp; Q$2 &amp; "'!$A:$A"), INDIRECT("'" &amp; Q$2 &amp; "'!$B:$B"), "")&lt;&gt;"", "✓", "✗"), "✗")
)</f>
        <v/>
      </c>
      <c r="R62">
        <f t="array" ref="R62">IF(
    ISNUMBER(VALUE(LEFT($A62, 1))),
    "",
    IFERROR(IF(_xlfn.XLOOKUP($A62, INDIRECT("'" &amp; R$2 &amp; "'!$A:$A"), INDIRECT("'" &amp; R$2 &amp; "'!$B:$B"), "")&lt;&gt;"", "✓", "✗"), "✗")
)</f>
        <v/>
      </c>
      <c r="S62">
        <f t="array" ref="S62">IF(
    ISNUMBER(VALUE(LEFT($A62, 1))),
    "",
    IFERROR(IF(_xlfn.XLOOKUP($A62, INDIRECT("'" &amp; S$2 &amp; "'!$A:$A"), INDIRECT("'" &amp; S$2 &amp; "'!$B:$B"), "")&lt;&gt;"", "✓", "✗"), "✗")
)</f>
        <v/>
      </c>
      <c r="T62">
        <f t="array" ref="T62">IF(
    ISNUMBER(VALUE(LEFT($A62, 1))),
    "",
    IFERROR(IF(_xlfn.XLOOKUP($A62, INDIRECT("'" &amp; T$2 &amp; "'!$A:$A"), INDIRECT("'" &amp; T$2 &amp; "'!$B:$B"), "")&lt;&gt;"", "✓", "✗"), "✗")
)</f>
        <v/>
      </c>
      <c r="U62">
        <f t="array" ref="U62">IF(
    ISNUMBER(VALUE(LEFT($A62, 1))),
    "",
    IFERROR(IF(_xlfn.XLOOKUP($A62, INDIRECT("'" &amp; U$2 &amp; "'!$A:$A"), INDIRECT("'" &amp; U$2 &amp; "'!$B:$B"), "")&lt;&gt;"", "✓", "✗"), "✗")
)</f>
        <v/>
      </c>
      <c r="V62">
        <f t="array" ref="V62">IF(
    ISNUMBER(VALUE(LEFT($A62, 1))),
    "",
    IFERROR(IF(_xlfn.XLOOKUP($A62, INDIRECT("'" &amp; V$2 &amp; "'!$A:$A"), INDIRECT("'" &amp; V$2 &amp; "'!$B:$B"), "")&lt;&gt;"", "✓", "✗"), "✗")
)</f>
        <v/>
      </c>
      <c r="W62">
        <f t="array" ref="W62">IF(
    ISNUMBER(VALUE(LEFT($A62, 1))),
    "",
    IFERROR(IF(_xlfn.XLOOKUP($A62, INDIRECT("'" &amp; W$2 &amp; "'!$A:$A"), INDIRECT("'" &amp; W$2 &amp; "'!$B:$B"), "")&lt;&gt;"", "✓", "✗"), "✗")
)</f>
        <v/>
      </c>
      <c r="X62">
        <f t="array" ref="X62">IF(
    ISNUMBER(VALUE(LEFT($A62, 1))),
    "",
    IFERROR(IF(_xlfn.XLOOKUP($A62, INDIRECT("'" &amp; X$2 &amp; "'!$A:$A"), INDIRECT("'" &amp; X$2 &amp; "'!$B:$B"), "")&lt;&gt;"", "✓", "✗"), "✗")
)</f>
        <v/>
      </c>
      <c r="Y62">
        <f t="array" ref="Y62">IF(
    ISNUMBER(VALUE(LEFT($A62, 1))),
    "",
    IFERROR(IF(_xlfn.XLOOKUP($A62, INDIRECT("'" &amp; Y$2 &amp; "'!$A:$A"), INDIRECT("'" &amp; Y$2 &amp; "'!$B:$B"), "")&lt;&gt;"", "✓", "✗"), "✗")
)</f>
        <v/>
      </c>
      <c r="Z62">
        <f t="array" ref="Z62">IF(
    ISNUMBER(VALUE(LEFT($A62, 1))),
    "",
    IFERROR(IF(_xlfn.XLOOKUP($A62, INDIRECT("'" &amp; Z$2 &amp; "'!$A:$A"), INDIRECT("'" &amp; Z$2 &amp; "'!$B:$B"), "")&lt;&gt;"", "✓", "✗"), "✗")
)</f>
        <v/>
      </c>
      <c r="AA62">
        <f t="array" ref="AA62">IF(
    ISNUMBER(VALUE(LEFT($A62, 1))),
    "",
    IFERROR(IF(_xlfn.XLOOKUP($A62, INDIRECT("'" &amp; AA$2 &amp; "'!$A:$A"), INDIRECT("'" &amp; AA$2 &amp; "'!$B:$B"), "")&lt;&gt;"", "✓", "✗"), "✗")
)</f>
        <v/>
      </c>
      <c r="AB62">
        <f t="array" ref="AB62">IF(
    ISNUMBER(VALUE(LEFT($A62, 1))),
    "",
    IFERROR(IF(_xlfn.XLOOKUP($A62, INDIRECT("'" &amp; AB$2 &amp; "'!$A:$A"), INDIRECT("'" &amp; AB$2 &amp; "'!$B:$B"), "")&lt;&gt;"", "✓", "✗"), "✗")
)</f>
        <v/>
      </c>
      <c r="AC62">
        <f t="array" ref="AC62">IF(
    ISNUMBER(VALUE(LEFT($A62, 1))),
    "",
    IFERROR(IF(_xlfn.XLOOKUP($A62, INDIRECT("'" &amp; AC$2 &amp; "'!$A:$A"), INDIRECT("'" &amp; AC$2 &amp; "'!$B:$B"), "")&lt;&gt;"", "✓", "✗"), "✗")
)</f>
        <v/>
      </c>
      <c r="AD62">
        <f t="array" ref="AD62">IF(
    ISNUMBER(VALUE(LEFT($A62, 1))),
    "",
    IFERROR(IF(_xlfn.XLOOKUP($A62, INDIRECT("'" &amp; AD$2 &amp; "'!$A:$A"), INDIRECT("'" &amp; AD$2 &amp; "'!$B:$B"), "")&lt;&gt;"", "✓", "✗"), "✗")
)</f>
        <v/>
      </c>
      <c r="AE62">
        <f t="array" ref="AE62">IF(
    ISNUMBER(VALUE(LEFT($A62, 1))),
    "",
    IFERROR(IF(_xlfn.XLOOKUP($A62, INDIRECT("'" &amp; AE$2 &amp; "'!$A:$A"), INDIRECT("'" &amp; AE$2 &amp; "'!$B:$B"), "")&lt;&gt;"", "✓", "✗"), "✗")
)</f>
        <v/>
      </c>
      <c r="AF62">
        <f t="array" ref="AF62">IF(
    ISNUMBER(VALUE(LEFT($A62, 1))),
    "",
    IFERROR(IF(_xlfn.XLOOKUP($A62, INDIRECT("'" &amp; AF$2 &amp; "'!$A:$A"), INDIRECT("'" &amp; AF$2 &amp; "'!$B:$B"), "")&lt;&gt;"", "✓", "✗"), "✗")
)</f>
        <v/>
      </c>
      <c r="AG62">
        <f t="array" ref="AG62">IF(
    ISNUMBER(VALUE(LEFT($A62, 1))),
    "",
    IFERROR(IF(_xlfn.XLOOKUP($A62, INDIRECT("'" &amp; AG$2 &amp; "'!$A:$A"), INDIRECT("'" &amp; AG$2 &amp; "'!$B:$B"), "")&lt;&gt;"", "✓", "✗"), "✗")
)</f>
        <v/>
      </c>
    </row>
    <row r="63">
      <c r="A63" t="inlineStr">
        <is>
          <t>Offer ID</t>
        </is>
      </c>
      <c r="B63">
        <f t="array" ref="B63">IF(
    ISNUMBER(VALUE(LEFT($A63, 1))),
    "",
    IFERROR(IF(_xlfn.XLOOKUP($A63, INDIRECT("'" &amp; B$2 &amp; "'!$A:$A"), INDIRECT("'" &amp; B$2 &amp; "'!$B:$B"), "")&lt;&gt;"", "✓", "✗"), "✗")
)</f>
        <v/>
      </c>
      <c r="C63">
        <f t="array" ref="C63">IF(
    ISNUMBER(VALUE(LEFT($A63, 1))),
    "",
    IFERROR(IF(_xlfn.XLOOKUP($A63, INDIRECT("'" &amp; C$2 &amp; "'!$A:$A"), INDIRECT("'" &amp; C$2 &amp; "'!$B:$B"), "")&lt;&gt;"", "✓", "✗"), "✗")
)</f>
        <v/>
      </c>
      <c r="D63">
        <f t="array" ref="D63">IF(
    ISNUMBER(VALUE(LEFT($A63, 1))),
    "",
    IFERROR(IF(_xlfn.XLOOKUP($A63, INDIRECT("'" &amp; D$2 &amp; "'!$A:$A"), INDIRECT("'" &amp; D$2 &amp; "'!$B:$B"), "")&lt;&gt;"", "✓", "✗"), "✗")
)</f>
        <v/>
      </c>
      <c r="E63">
        <f t="array" ref="E63">IF(
    ISNUMBER(VALUE(LEFT($A63, 1))),
    "",
    IFERROR(IF(_xlfn.XLOOKUP($A63, INDIRECT("'" &amp; E$2 &amp; "'!$A:$A"), INDIRECT("'" &amp; E$2 &amp; "'!$B:$B"), "")&lt;&gt;"", "✓", "✗"), "✗")
)</f>
        <v/>
      </c>
      <c r="F63">
        <f t="array" ref="F63">IF(
    ISNUMBER(VALUE(LEFT($A63, 1))),
    "",
    IFERROR(IF(_xlfn.XLOOKUP($A63, INDIRECT("'" &amp; F$2 &amp; "'!$A:$A"), INDIRECT("'" &amp; F$2 &amp; "'!$B:$B"), "")&lt;&gt;"", "✓", "✗"), "✗")
)</f>
        <v/>
      </c>
      <c r="G63">
        <f t="array" ref="G63">IF(
    ISNUMBER(VALUE(LEFT($A63, 1))),
    "",
    IFERROR(IF(_xlfn.XLOOKUP($A63, INDIRECT("'" &amp; G$2 &amp; "'!$A:$A"), INDIRECT("'" &amp; G$2 &amp; "'!$B:$B"), "")&lt;&gt;"", "✓", "✗"), "✗")
)</f>
        <v/>
      </c>
      <c r="H63">
        <f t="array" ref="H63">IF(
    ISNUMBER(VALUE(LEFT($A63, 1))),
    "",
    IFERROR(IF(_xlfn.XLOOKUP($A63, INDIRECT("'" &amp; H$2 &amp; "'!$A:$A"), INDIRECT("'" &amp; H$2 &amp; "'!$B:$B"), "")&lt;&gt;"", "✓", "✗"), "✗")
)</f>
        <v/>
      </c>
      <c r="I63">
        <f t="array" ref="I63">IF(
    ISNUMBER(VALUE(LEFT($A63, 1))),
    "",
    IFERROR(IF(_xlfn.XLOOKUP($A63, INDIRECT("'" &amp; I$2 &amp; "'!$A:$A"), INDIRECT("'" &amp; I$2 &amp; "'!$B:$B"), "")&lt;&gt;"", "✓", "✗"), "✗")
)</f>
        <v/>
      </c>
      <c r="J63">
        <f t="array" ref="J63">IF(
    ISNUMBER(VALUE(LEFT($A63, 1))),
    "",
    IFERROR(IF(_xlfn.XLOOKUP($A63, INDIRECT("'" &amp; J$2 &amp; "'!$A:$A"), INDIRECT("'" &amp; J$2 &amp; "'!$B:$B"), "")&lt;&gt;"", "✓", "✗"), "✗")
)</f>
        <v/>
      </c>
      <c r="K63">
        <f t="array" ref="K63">IF(
    ISNUMBER(VALUE(LEFT($A63, 1))),
    "",
    IFERROR(IF(_xlfn.XLOOKUP($A63, INDIRECT("'" &amp; K$2 &amp; "'!$A:$A"), INDIRECT("'" &amp; K$2 &amp; "'!$B:$B"), "")&lt;&gt;"", "✓", "✗"), "✗")
)</f>
        <v/>
      </c>
      <c r="L63">
        <f t="array" ref="L63">IF(
    ISNUMBER(VALUE(LEFT($A63, 1))),
    "",
    IFERROR(IF(_xlfn.XLOOKUP($A63, INDIRECT("'" &amp; L$2 &amp; "'!$A:$A"), INDIRECT("'" &amp; L$2 &amp; "'!$B:$B"), "")&lt;&gt;"", "✓", "✗"), "✗")
)</f>
        <v/>
      </c>
      <c r="M63">
        <f t="array" ref="M63">IF(
    ISNUMBER(VALUE(LEFT($A63, 1))),
    "",
    IFERROR(IF(_xlfn.XLOOKUP($A63, INDIRECT("'" &amp; M$2 &amp; "'!$A:$A"), INDIRECT("'" &amp; M$2 &amp; "'!$B:$B"), "")&lt;&gt;"", "✓", "✗"), "✗")
)</f>
        <v/>
      </c>
      <c r="N63">
        <f t="array" ref="N63">IF(
    ISNUMBER(VALUE(LEFT($A63, 1))),
    "",
    IFERROR(IF(_xlfn.XLOOKUP($A63, INDIRECT("'" &amp; N$2 &amp; "'!$A:$A"), INDIRECT("'" &amp; N$2 &amp; "'!$B:$B"), "")&lt;&gt;"", "✓", "✗"), "✗")
)</f>
        <v/>
      </c>
      <c r="O63">
        <f t="array" ref="O63">IF(
    ISNUMBER(VALUE(LEFT($A63, 1))),
    "",
    IFERROR(IF(_xlfn.XLOOKUP($A63, INDIRECT("'" &amp; O$2 &amp; "'!$A:$A"), INDIRECT("'" &amp; O$2 &amp; "'!$B:$B"), "")&lt;&gt;"", "✓", "✗"), "✗")
)</f>
        <v/>
      </c>
      <c r="P63">
        <f t="array" ref="P63">IF(
    ISNUMBER(VALUE(LEFT($A63, 1))),
    "",
    IFERROR(IF(_xlfn.XLOOKUP($A63, INDIRECT("'" &amp; P$2 &amp; "'!$A:$A"), INDIRECT("'" &amp; P$2 &amp; "'!$B:$B"), "")&lt;&gt;"", "✓", "✗"), "✗")
)</f>
        <v/>
      </c>
      <c r="Q63">
        <f t="array" ref="Q63">IF(
    ISNUMBER(VALUE(LEFT($A63, 1))),
    "",
    IFERROR(IF(_xlfn.XLOOKUP($A63, INDIRECT("'" &amp; Q$2 &amp; "'!$A:$A"), INDIRECT("'" &amp; Q$2 &amp; "'!$B:$B"), "")&lt;&gt;"", "✓", "✗"), "✗")
)</f>
        <v/>
      </c>
      <c r="R63">
        <f t="array" ref="R63">IF(
    ISNUMBER(VALUE(LEFT($A63, 1))),
    "",
    IFERROR(IF(_xlfn.XLOOKUP($A63, INDIRECT("'" &amp; R$2 &amp; "'!$A:$A"), INDIRECT("'" &amp; R$2 &amp; "'!$B:$B"), "")&lt;&gt;"", "✓", "✗"), "✗")
)</f>
        <v/>
      </c>
      <c r="S63">
        <f t="array" ref="S63">IF(
    ISNUMBER(VALUE(LEFT($A63, 1))),
    "",
    IFERROR(IF(_xlfn.XLOOKUP($A63, INDIRECT("'" &amp; S$2 &amp; "'!$A:$A"), INDIRECT("'" &amp; S$2 &amp; "'!$B:$B"), "")&lt;&gt;"", "✓", "✗"), "✗")
)</f>
        <v/>
      </c>
      <c r="T63">
        <f t="array" ref="T63">IF(
    ISNUMBER(VALUE(LEFT($A63, 1))),
    "",
    IFERROR(IF(_xlfn.XLOOKUP($A63, INDIRECT("'" &amp; T$2 &amp; "'!$A:$A"), INDIRECT("'" &amp; T$2 &amp; "'!$B:$B"), "")&lt;&gt;"", "✓", "✗"), "✗")
)</f>
        <v/>
      </c>
      <c r="U63">
        <f t="array" ref="U63">IF(
    ISNUMBER(VALUE(LEFT($A63, 1))),
    "",
    IFERROR(IF(_xlfn.XLOOKUP($A63, INDIRECT("'" &amp; U$2 &amp; "'!$A:$A"), INDIRECT("'" &amp; U$2 &amp; "'!$B:$B"), "")&lt;&gt;"", "✓", "✗"), "✗")
)</f>
        <v/>
      </c>
      <c r="V63">
        <f t="array" ref="V63">IF(
    ISNUMBER(VALUE(LEFT($A63, 1))),
    "",
    IFERROR(IF(_xlfn.XLOOKUP($A63, INDIRECT("'" &amp; V$2 &amp; "'!$A:$A"), INDIRECT("'" &amp; V$2 &amp; "'!$B:$B"), "")&lt;&gt;"", "✓", "✗"), "✗")
)</f>
        <v/>
      </c>
      <c r="W63">
        <f t="array" ref="W63">IF(
    ISNUMBER(VALUE(LEFT($A63, 1))),
    "",
    IFERROR(IF(_xlfn.XLOOKUP($A63, INDIRECT("'" &amp; W$2 &amp; "'!$A:$A"), INDIRECT("'" &amp; W$2 &amp; "'!$B:$B"), "")&lt;&gt;"", "✓", "✗"), "✗")
)</f>
        <v/>
      </c>
      <c r="X63">
        <f t="array" ref="X63">IF(
    ISNUMBER(VALUE(LEFT($A63, 1))),
    "",
    IFERROR(IF(_xlfn.XLOOKUP($A63, INDIRECT("'" &amp; X$2 &amp; "'!$A:$A"), INDIRECT("'" &amp; X$2 &amp; "'!$B:$B"), "")&lt;&gt;"", "✓", "✗"), "✗")
)</f>
        <v/>
      </c>
      <c r="Y63">
        <f t="array" ref="Y63">IF(
    ISNUMBER(VALUE(LEFT($A63, 1))),
    "",
    IFERROR(IF(_xlfn.XLOOKUP($A63, INDIRECT("'" &amp; Y$2 &amp; "'!$A:$A"), INDIRECT("'" &amp; Y$2 &amp; "'!$B:$B"), "")&lt;&gt;"", "✓", "✗"), "✗")
)</f>
        <v/>
      </c>
      <c r="Z63">
        <f t="array" ref="Z63">IF(
    ISNUMBER(VALUE(LEFT($A63, 1))),
    "",
    IFERROR(IF(_xlfn.XLOOKUP($A63, INDIRECT("'" &amp; Z$2 &amp; "'!$A:$A"), INDIRECT("'" &amp; Z$2 &amp; "'!$B:$B"), "")&lt;&gt;"", "✓", "✗"), "✗")
)</f>
        <v/>
      </c>
      <c r="AA63">
        <f t="array" ref="AA63">IF(
    ISNUMBER(VALUE(LEFT($A63, 1))),
    "",
    IFERROR(IF(_xlfn.XLOOKUP($A63, INDIRECT("'" &amp; AA$2 &amp; "'!$A:$A"), INDIRECT("'" &amp; AA$2 &amp; "'!$B:$B"), "")&lt;&gt;"", "✓", "✗"), "✗")
)</f>
        <v/>
      </c>
      <c r="AB63">
        <f t="array" ref="AB63">IF(
    ISNUMBER(VALUE(LEFT($A63, 1))),
    "",
    IFERROR(IF(_xlfn.XLOOKUP($A63, INDIRECT("'" &amp; AB$2 &amp; "'!$A:$A"), INDIRECT("'" &amp; AB$2 &amp; "'!$B:$B"), "")&lt;&gt;"", "✓", "✗"), "✗")
)</f>
        <v/>
      </c>
      <c r="AC63">
        <f t="array" ref="AC63">IF(
    ISNUMBER(VALUE(LEFT($A63, 1))),
    "",
    IFERROR(IF(_xlfn.XLOOKUP($A63, INDIRECT("'" &amp; AC$2 &amp; "'!$A:$A"), INDIRECT("'" &amp; AC$2 &amp; "'!$B:$B"), "")&lt;&gt;"", "✓", "✗"), "✗")
)</f>
        <v/>
      </c>
      <c r="AD63">
        <f t="array" ref="AD63">IF(
    ISNUMBER(VALUE(LEFT($A63, 1))),
    "",
    IFERROR(IF(_xlfn.XLOOKUP($A63, INDIRECT("'" &amp; AD$2 &amp; "'!$A:$A"), INDIRECT("'" &amp; AD$2 &amp; "'!$B:$B"), "")&lt;&gt;"", "✓", "✗"), "✗")
)</f>
        <v/>
      </c>
      <c r="AE63">
        <f t="array" ref="AE63">IF(
    ISNUMBER(VALUE(LEFT($A63, 1))),
    "",
    IFERROR(IF(_xlfn.XLOOKUP($A63, INDIRECT("'" &amp; AE$2 &amp; "'!$A:$A"), INDIRECT("'" &amp; AE$2 &amp; "'!$B:$B"), "")&lt;&gt;"", "✓", "✗"), "✗")
)</f>
        <v/>
      </c>
      <c r="AF63">
        <f t="array" ref="AF63">IF(
    ISNUMBER(VALUE(LEFT($A63, 1))),
    "",
    IFERROR(IF(_xlfn.XLOOKUP($A63, INDIRECT("'" &amp; AF$2 &amp; "'!$A:$A"), INDIRECT("'" &amp; AF$2 &amp; "'!$B:$B"), "")&lt;&gt;"", "✓", "✗"), "✗")
)</f>
        <v/>
      </c>
      <c r="AG63">
        <f t="array" ref="AG63">IF(
    ISNUMBER(VALUE(LEFT($A63, 1))),
    "",
    IFERROR(IF(_xlfn.XLOOKUP($A63, INDIRECT("'" &amp; AG$2 &amp; "'!$A:$A"), INDIRECT("'" &amp; AG$2 &amp; "'!$B:$B"), "")&lt;&gt;"", "✓", "✗"), "✗")
)</f>
        <v/>
      </c>
    </row>
    <row r="64">
      <c r="A64" t="inlineStr">
        <is>
          <t>Offer Name</t>
        </is>
      </c>
      <c r="B64">
        <f t="array" ref="B64">IF(
    ISNUMBER(VALUE(LEFT($A64, 1))),
    "",
    IFERROR(IF(_xlfn.XLOOKUP($A64, INDIRECT("'" &amp; B$2 &amp; "'!$A:$A"), INDIRECT("'" &amp; B$2 &amp; "'!$B:$B"), "")&lt;&gt;"", "✓", "✗"), "✗")
)</f>
        <v/>
      </c>
      <c r="C64">
        <f t="array" ref="C64">IF(
    ISNUMBER(VALUE(LEFT($A64, 1))),
    "",
    IFERROR(IF(_xlfn.XLOOKUP($A64, INDIRECT("'" &amp; C$2 &amp; "'!$A:$A"), INDIRECT("'" &amp; C$2 &amp; "'!$B:$B"), "")&lt;&gt;"", "✓", "✗"), "✗")
)</f>
        <v/>
      </c>
      <c r="D64">
        <f t="array" ref="D64">IF(
    ISNUMBER(VALUE(LEFT($A64, 1))),
    "",
    IFERROR(IF(_xlfn.XLOOKUP($A64, INDIRECT("'" &amp; D$2 &amp; "'!$A:$A"), INDIRECT("'" &amp; D$2 &amp; "'!$B:$B"), "")&lt;&gt;"", "✓", "✗"), "✗")
)</f>
        <v/>
      </c>
      <c r="E64">
        <f t="array" ref="E64">IF(
    ISNUMBER(VALUE(LEFT($A64, 1))),
    "",
    IFERROR(IF(_xlfn.XLOOKUP($A64, INDIRECT("'" &amp; E$2 &amp; "'!$A:$A"), INDIRECT("'" &amp; E$2 &amp; "'!$B:$B"), "")&lt;&gt;"", "✓", "✗"), "✗")
)</f>
        <v/>
      </c>
      <c r="F64">
        <f t="array" ref="F64">IF(
    ISNUMBER(VALUE(LEFT($A64, 1))),
    "",
    IFERROR(IF(_xlfn.XLOOKUP($A64, INDIRECT("'" &amp; F$2 &amp; "'!$A:$A"), INDIRECT("'" &amp; F$2 &amp; "'!$B:$B"), "")&lt;&gt;"", "✓", "✗"), "✗")
)</f>
        <v/>
      </c>
      <c r="G64">
        <f t="array" ref="G64">IF(
    ISNUMBER(VALUE(LEFT($A64, 1))),
    "",
    IFERROR(IF(_xlfn.XLOOKUP($A64, INDIRECT("'" &amp; G$2 &amp; "'!$A:$A"), INDIRECT("'" &amp; G$2 &amp; "'!$B:$B"), "")&lt;&gt;"", "✓", "✗"), "✗")
)</f>
        <v/>
      </c>
      <c r="H64">
        <f t="array" ref="H64">IF(
    ISNUMBER(VALUE(LEFT($A64, 1))),
    "",
    IFERROR(IF(_xlfn.XLOOKUP($A64, INDIRECT("'" &amp; H$2 &amp; "'!$A:$A"), INDIRECT("'" &amp; H$2 &amp; "'!$B:$B"), "")&lt;&gt;"", "✓", "✗"), "✗")
)</f>
        <v/>
      </c>
      <c r="I64">
        <f t="array" ref="I64">IF(
    ISNUMBER(VALUE(LEFT($A64, 1))),
    "",
    IFERROR(IF(_xlfn.XLOOKUP($A64, INDIRECT("'" &amp; I$2 &amp; "'!$A:$A"), INDIRECT("'" &amp; I$2 &amp; "'!$B:$B"), "")&lt;&gt;"", "✓", "✗"), "✗")
)</f>
        <v/>
      </c>
      <c r="J64">
        <f t="array" ref="J64">IF(
    ISNUMBER(VALUE(LEFT($A64, 1))),
    "",
    IFERROR(IF(_xlfn.XLOOKUP($A64, INDIRECT("'" &amp; J$2 &amp; "'!$A:$A"), INDIRECT("'" &amp; J$2 &amp; "'!$B:$B"), "")&lt;&gt;"", "✓", "✗"), "✗")
)</f>
        <v/>
      </c>
      <c r="K64">
        <f t="array" ref="K64">IF(
    ISNUMBER(VALUE(LEFT($A64, 1))),
    "",
    IFERROR(IF(_xlfn.XLOOKUP($A64, INDIRECT("'" &amp; K$2 &amp; "'!$A:$A"), INDIRECT("'" &amp; K$2 &amp; "'!$B:$B"), "")&lt;&gt;"", "✓", "✗"), "✗")
)</f>
        <v/>
      </c>
      <c r="L64">
        <f t="array" ref="L64">IF(
    ISNUMBER(VALUE(LEFT($A64, 1))),
    "",
    IFERROR(IF(_xlfn.XLOOKUP($A64, INDIRECT("'" &amp; L$2 &amp; "'!$A:$A"), INDIRECT("'" &amp; L$2 &amp; "'!$B:$B"), "")&lt;&gt;"", "✓", "✗"), "✗")
)</f>
        <v/>
      </c>
      <c r="M64">
        <f t="array" ref="M64">IF(
    ISNUMBER(VALUE(LEFT($A64, 1))),
    "",
    IFERROR(IF(_xlfn.XLOOKUP($A64, INDIRECT("'" &amp; M$2 &amp; "'!$A:$A"), INDIRECT("'" &amp; M$2 &amp; "'!$B:$B"), "")&lt;&gt;"", "✓", "✗"), "✗")
)</f>
        <v/>
      </c>
      <c r="N64">
        <f t="array" ref="N64">IF(
    ISNUMBER(VALUE(LEFT($A64, 1))),
    "",
    IFERROR(IF(_xlfn.XLOOKUP($A64, INDIRECT("'" &amp; N$2 &amp; "'!$A:$A"), INDIRECT("'" &amp; N$2 &amp; "'!$B:$B"), "")&lt;&gt;"", "✓", "✗"), "✗")
)</f>
        <v/>
      </c>
      <c r="O64">
        <f t="array" ref="O64">IF(
    ISNUMBER(VALUE(LEFT($A64, 1))),
    "",
    IFERROR(IF(_xlfn.XLOOKUP($A64, INDIRECT("'" &amp; O$2 &amp; "'!$A:$A"), INDIRECT("'" &amp; O$2 &amp; "'!$B:$B"), "")&lt;&gt;"", "✓", "✗"), "✗")
)</f>
        <v/>
      </c>
      <c r="P64">
        <f t="array" ref="P64">IF(
    ISNUMBER(VALUE(LEFT($A64, 1))),
    "",
    IFERROR(IF(_xlfn.XLOOKUP($A64, INDIRECT("'" &amp; P$2 &amp; "'!$A:$A"), INDIRECT("'" &amp; P$2 &amp; "'!$B:$B"), "")&lt;&gt;"", "✓", "✗"), "✗")
)</f>
        <v/>
      </c>
      <c r="Q64">
        <f t="array" ref="Q64">IF(
    ISNUMBER(VALUE(LEFT($A64, 1))),
    "",
    IFERROR(IF(_xlfn.XLOOKUP($A64, INDIRECT("'" &amp; Q$2 &amp; "'!$A:$A"), INDIRECT("'" &amp; Q$2 &amp; "'!$B:$B"), "")&lt;&gt;"", "✓", "✗"), "✗")
)</f>
        <v/>
      </c>
      <c r="R64">
        <f t="array" ref="R64">IF(
    ISNUMBER(VALUE(LEFT($A64, 1))),
    "",
    IFERROR(IF(_xlfn.XLOOKUP($A64, INDIRECT("'" &amp; R$2 &amp; "'!$A:$A"), INDIRECT("'" &amp; R$2 &amp; "'!$B:$B"), "")&lt;&gt;"", "✓", "✗"), "✗")
)</f>
        <v/>
      </c>
      <c r="S64">
        <f t="array" ref="S64">IF(
    ISNUMBER(VALUE(LEFT($A64, 1))),
    "",
    IFERROR(IF(_xlfn.XLOOKUP($A64, INDIRECT("'" &amp; S$2 &amp; "'!$A:$A"), INDIRECT("'" &amp; S$2 &amp; "'!$B:$B"), "")&lt;&gt;"", "✓", "✗"), "✗")
)</f>
        <v/>
      </c>
      <c r="T64">
        <f t="array" ref="T64">IF(
    ISNUMBER(VALUE(LEFT($A64, 1))),
    "",
    IFERROR(IF(_xlfn.XLOOKUP($A64, INDIRECT("'" &amp; T$2 &amp; "'!$A:$A"), INDIRECT("'" &amp; T$2 &amp; "'!$B:$B"), "")&lt;&gt;"", "✓", "✗"), "✗")
)</f>
        <v/>
      </c>
      <c r="U64">
        <f t="array" ref="U64">IF(
    ISNUMBER(VALUE(LEFT($A64, 1))),
    "",
    IFERROR(IF(_xlfn.XLOOKUP($A64, INDIRECT("'" &amp; U$2 &amp; "'!$A:$A"), INDIRECT("'" &amp; U$2 &amp; "'!$B:$B"), "")&lt;&gt;"", "✓", "✗"), "✗")
)</f>
        <v/>
      </c>
      <c r="V64">
        <f t="array" ref="V64">IF(
    ISNUMBER(VALUE(LEFT($A64, 1))),
    "",
    IFERROR(IF(_xlfn.XLOOKUP($A64, INDIRECT("'" &amp; V$2 &amp; "'!$A:$A"), INDIRECT("'" &amp; V$2 &amp; "'!$B:$B"), "")&lt;&gt;"", "✓", "✗"), "✗")
)</f>
        <v/>
      </c>
      <c r="W64">
        <f t="array" ref="W64">IF(
    ISNUMBER(VALUE(LEFT($A64, 1))),
    "",
    IFERROR(IF(_xlfn.XLOOKUP($A64, INDIRECT("'" &amp; W$2 &amp; "'!$A:$A"), INDIRECT("'" &amp; W$2 &amp; "'!$B:$B"), "")&lt;&gt;"", "✓", "✗"), "✗")
)</f>
        <v/>
      </c>
      <c r="X64">
        <f t="array" ref="X64">IF(
    ISNUMBER(VALUE(LEFT($A64, 1))),
    "",
    IFERROR(IF(_xlfn.XLOOKUP($A64, INDIRECT("'" &amp; X$2 &amp; "'!$A:$A"), INDIRECT("'" &amp; X$2 &amp; "'!$B:$B"), "")&lt;&gt;"", "✓", "✗"), "✗")
)</f>
        <v/>
      </c>
      <c r="Y64">
        <f t="array" ref="Y64">IF(
    ISNUMBER(VALUE(LEFT($A64, 1))),
    "",
    IFERROR(IF(_xlfn.XLOOKUP($A64, INDIRECT("'" &amp; Y$2 &amp; "'!$A:$A"), INDIRECT("'" &amp; Y$2 &amp; "'!$B:$B"), "")&lt;&gt;"", "✓", "✗"), "✗")
)</f>
        <v/>
      </c>
      <c r="Z64">
        <f t="array" ref="Z64">IF(
    ISNUMBER(VALUE(LEFT($A64, 1))),
    "",
    IFERROR(IF(_xlfn.XLOOKUP($A64, INDIRECT("'" &amp; Z$2 &amp; "'!$A:$A"), INDIRECT("'" &amp; Z$2 &amp; "'!$B:$B"), "")&lt;&gt;"", "✓", "✗"), "✗")
)</f>
        <v/>
      </c>
      <c r="AA64">
        <f t="array" ref="AA64">IF(
    ISNUMBER(VALUE(LEFT($A64, 1))),
    "",
    IFERROR(IF(_xlfn.XLOOKUP($A64, INDIRECT("'" &amp; AA$2 &amp; "'!$A:$A"), INDIRECT("'" &amp; AA$2 &amp; "'!$B:$B"), "")&lt;&gt;"", "✓", "✗"), "✗")
)</f>
        <v/>
      </c>
      <c r="AB64">
        <f t="array" ref="AB64">IF(
    ISNUMBER(VALUE(LEFT($A64, 1))),
    "",
    IFERROR(IF(_xlfn.XLOOKUP($A64, INDIRECT("'" &amp; AB$2 &amp; "'!$A:$A"), INDIRECT("'" &amp; AB$2 &amp; "'!$B:$B"), "")&lt;&gt;"", "✓", "✗"), "✗")
)</f>
        <v/>
      </c>
      <c r="AC64">
        <f t="array" ref="AC64">IF(
    ISNUMBER(VALUE(LEFT($A64, 1))),
    "",
    IFERROR(IF(_xlfn.XLOOKUP($A64, INDIRECT("'" &amp; AC$2 &amp; "'!$A:$A"), INDIRECT("'" &amp; AC$2 &amp; "'!$B:$B"), "")&lt;&gt;"", "✓", "✗"), "✗")
)</f>
        <v/>
      </c>
      <c r="AD64">
        <f t="array" ref="AD64">IF(
    ISNUMBER(VALUE(LEFT($A64, 1))),
    "",
    IFERROR(IF(_xlfn.XLOOKUP($A64, INDIRECT("'" &amp; AD$2 &amp; "'!$A:$A"), INDIRECT("'" &amp; AD$2 &amp; "'!$B:$B"), "")&lt;&gt;"", "✓", "✗"), "✗")
)</f>
        <v/>
      </c>
      <c r="AE64">
        <f t="array" ref="AE64">IF(
    ISNUMBER(VALUE(LEFT($A64, 1))),
    "",
    IFERROR(IF(_xlfn.XLOOKUP($A64, INDIRECT("'" &amp; AE$2 &amp; "'!$A:$A"), INDIRECT("'" &amp; AE$2 &amp; "'!$B:$B"), "")&lt;&gt;"", "✓", "✗"), "✗")
)</f>
        <v/>
      </c>
      <c r="AF64">
        <f t="array" ref="AF64">IF(
    ISNUMBER(VALUE(LEFT($A64, 1))),
    "",
    IFERROR(IF(_xlfn.XLOOKUP($A64, INDIRECT("'" &amp; AF$2 &amp; "'!$A:$A"), INDIRECT("'" &amp; AF$2 &amp; "'!$B:$B"), "")&lt;&gt;"", "✓", "✗"), "✗")
)</f>
        <v/>
      </c>
      <c r="AG64">
        <f t="array" ref="AG64">IF(
    ISNUMBER(VALUE(LEFT($A64, 1))),
    "",
    IFERROR(IF(_xlfn.XLOOKUP($A64, INDIRECT("'" &amp; AG$2 &amp; "'!$A:$A"), INDIRECT("'" &amp; AG$2 &amp; "'!$B:$B"), "")&lt;&gt;"", "✓", "✗"), "✗")
)</f>
        <v/>
      </c>
    </row>
    <row r="65">
      <c r="A65" t="inlineStr">
        <is>
          <t>Offer Description</t>
        </is>
      </c>
      <c r="B65">
        <f t="array" ref="B65">IF(
    ISNUMBER(VALUE(LEFT($A65, 1))),
    "",
    IFERROR(IF(_xlfn.XLOOKUP($A65, INDIRECT("'" &amp; B$2 &amp; "'!$A:$A"), INDIRECT("'" &amp; B$2 &amp; "'!$B:$B"), "")&lt;&gt;"", "✓", "✗"), "✗")
)</f>
        <v/>
      </c>
      <c r="C65">
        <f t="array" ref="C65">IF(
    ISNUMBER(VALUE(LEFT($A65, 1))),
    "",
    IFERROR(IF(_xlfn.XLOOKUP($A65, INDIRECT("'" &amp; C$2 &amp; "'!$A:$A"), INDIRECT("'" &amp; C$2 &amp; "'!$B:$B"), "")&lt;&gt;"", "✓", "✗"), "✗")
)</f>
        <v/>
      </c>
      <c r="D65">
        <f t="array" ref="D65">IF(
    ISNUMBER(VALUE(LEFT($A65, 1))),
    "",
    IFERROR(IF(_xlfn.XLOOKUP($A65, INDIRECT("'" &amp; D$2 &amp; "'!$A:$A"), INDIRECT("'" &amp; D$2 &amp; "'!$B:$B"), "")&lt;&gt;"", "✓", "✗"), "✗")
)</f>
        <v/>
      </c>
      <c r="E65">
        <f t="array" ref="E65">IF(
    ISNUMBER(VALUE(LEFT($A65, 1))),
    "",
    IFERROR(IF(_xlfn.XLOOKUP($A65, INDIRECT("'" &amp; E$2 &amp; "'!$A:$A"), INDIRECT("'" &amp; E$2 &amp; "'!$B:$B"), "")&lt;&gt;"", "✓", "✗"), "✗")
)</f>
        <v/>
      </c>
      <c r="F65">
        <f t="array" ref="F65">IF(
    ISNUMBER(VALUE(LEFT($A65, 1))),
    "",
    IFERROR(IF(_xlfn.XLOOKUP($A65, INDIRECT("'" &amp; F$2 &amp; "'!$A:$A"), INDIRECT("'" &amp; F$2 &amp; "'!$B:$B"), "")&lt;&gt;"", "✓", "✗"), "✗")
)</f>
        <v/>
      </c>
      <c r="G65">
        <f t="array" ref="G65">IF(
    ISNUMBER(VALUE(LEFT($A65, 1))),
    "",
    IFERROR(IF(_xlfn.XLOOKUP($A65, INDIRECT("'" &amp; G$2 &amp; "'!$A:$A"), INDIRECT("'" &amp; G$2 &amp; "'!$B:$B"), "")&lt;&gt;"", "✓", "✗"), "✗")
)</f>
        <v/>
      </c>
      <c r="H65">
        <f t="array" ref="H65">IF(
    ISNUMBER(VALUE(LEFT($A65, 1))),
    "",
    IFERROR(IF(_xlfn.XLOOKUP($A65, INDIRECT("'" &amp; H$2 &amp; "'!$A:$A"), INDIRECT("'" &amp; H$2 &amp; "'!$B:$B"), "")&lt;&gt;"", "✓", "✗"), "✗")
)</f>
        <v/>
      </c>
      <c r="I65">
        <f t="array" ref="I65">IF(
    ISNUMBER(VALUE(LEFT($A65, 1))),
    "",
    IFERROR(IF(_xlfn.XLOOKUP($A65, INDIRECT("'" &amp; I$2 &amp; "'!$A:$A"), INDIRECT("'" &amp; I$2 &amp; "'!$B:$B"), "")&lt;&gt;"", "✓", "✗"), "✗")
)</f>
        <v/>
      </c>
      <c r="J65">
        <f t="array" ref="J65">IF(
    ISNUMBER(VALUE(LEFT($A65, 1))),
    "",
    IFERROR(IF(_xlfn.XLOOKUP($A65, INDIRECT("'" &amp; J$2 &amp; "'!$A:$A"), INDIRECT("'" &amp; J$2 &amp; "'!$B:$B"), "")&lt;&gt;"", "✓", "✗"), "✗")
)</f>
        <v/>
      </c>
      <c r="K65">
        <f t="array" ref="K65">IF(
    ISNUMBER(VALUE(LEFT($A65, 1))),
    "",
    IFERROR(IF(_xlfn.XLOOKUP($A65, INDIRECT("'" &amp; K$2 &amp; "'!$A:$A"), INDIRECT("'" &amp; K$2 &amp; "'!$B:$B"), "")&lt;&gt;"", "✓", "✗"), "✗")
)</f>
        <v/>
      </c>
      <c r="L65">
        <f t="array" ref="L65">IF(
    ISNUMBER(VALUE(LEFT($A65, 1))),
    "",
    IFERROR(IF(_xlfn.XLOOKUP($A65, INDIRECT("'" &amp; L$2 &amp; "'!$A:$A"), INDIRECT("'" &amp; L$2 &amp; "'!$B:$B"), "")&lt;&gt;"", "✓", "✗"), "✗")
)</f>
        <v/>
      </c>
      <c r="M65">
        <f t="array" ref="M65">IF(
    ISNUMBER(VALUE(LEFT($A65, 1))),
    "",
    IFERROR(IF(_xlfn.XLOOKUP($A65, INDIRECT("'" &amp; M$2 &amp; "'!$A:$A"), INDIRECT("'" &amp; M$2 &amp; "'!$B:$B"), "")&lt;&gt;"", "✓", "✗"), "✗")
)</f>
        <v/>
      </c>
      <c r="N65">
        <f t="array" ref="N65">IF(
    ISNUMBER(VALUE(LEFT($A65, 1))),
    "",
    IFERROR(IF(_xlfn.XLOOKUP($A65, INDIRECT("'" &amp; N$2 &amp; "'!$A:$A"), INDIRECT("'" &amp; N$2 &amp; "'!$B:$B"), "")&lt;&gt;"", "✓", "✗"), "✗")
)</f>
        <v/>
      </c>
      <c r="O65">
        <f t="array" ref="O65">IF(
    ISNUMBER(VALUE(LEFT($A65, 1))),
    "",
    IFERROR(IF(_xlfn.XLOOKUP($A65, INDIRECT("'" &amp; O$2 &amp; "'!$A:$A"), INDIRECT("'" &amp; O$2 &amp; "'!$B:$B"), "")&lt;&gt;"", "✓", "✗"), "✗")
)</f>
        <v/>
      </c>
      <c r="P65">
        <f t="array" ref="P65">IF(
    ISNUMBER(VALUE(LEFT($A65, 1))),
    "",
    IFERROR(IF(_xlfn.XLOOKUP($A65, INDIRECT("'" &amp; P$2 &amp; "'!$A:$A"), INDIRECT("'" &amp; P$2 &amp; "'!$B:$B"), "")&lt;&gt;"", "✓", "✗"), "✗")
)</f>
        <v/>
      </c>
      <c r="Q65">
        <f t="array" ref="Q65">IF(
    ISNUMBER(VALUE(LEFT($A65, 1))),
    "",
    IFERROR(IF(_xlfn.XLOOKUP($A65, INDIRECT("'" &amp; Q$2 &amp; "'!$A:$A"), INDIRECT("'" &amp; Q$2 &amp; "'!$B:$B"), "")&lt;&gt;"", "✓", "✗"), "✗")
)</f>
        <v/>
      </c>
      <c r="R65">
        <f t="array" ref="R65">IF(
    ISNUMBER(VALUE(LEFT($A65, 1))),
    "",
    IFERROR(IF(_xlfn.XLOOKUP($A65, INDIRECT("'" &amp; R$2 &amp; "'!$A:$A"), INDIRECT("'" &amp; R$2 &amp; "'!$B:$B"), "")&lt;&gt;"", "✓", "✗"), "✗")
)</f>
        <v/>
      </c>
      <c r="S65">
        <f t="array" ref="S65">IF(
    ISNUMBER(VALUE(LEFT($A65, 1))),
    "",
    IFERROR(IF(_xlfn.XLOOKUP($A65, INDIRECT("'" &amp; S$2 &amp; "'!$A:$A"), INDIRECT("'" &amp; S$2 &amp; "'!$B:$B"), "")&lt;&gt;"", "✓", "✗"), "✗")
)</f>
        <v/>
      </c>
      <c r="T65">
        <f t="array" ref="T65">IF(
    ISNUMBER(VALUE(LEFT($A65, 1))),
    "",
    IFERROR(IF(_xlfn.XLOOKUP($A65, INDIRECT("'" &amp; T$2 &amp; "'!$A:$A"), INDIRECT("'" &amp; T$2 &amp; "'!$B:$B"), "")&lt;&gt;"", "✓", "✗"), "✗")
)</f>
        <v/>
      </c>
      <c r="U65">
        <f t="array" ref="U65">IF(
    ISNUMBER(VALUE(LEFT($A65, 1))),
    "",
    IFERROR(IF(_xlfn.XLOOKUP($A65, INDIRECT("'" &amp; U$2 &amp; "'!$A:$A"), INDIRECT("'" &amp; U$2 &amp; "'!$B:$B"), "")&lt;&gt;"", "✓", "✗"), "✗")
)</f>
        <v/>
      </c>
      <c r="V65">
        <f t="array" ref="V65">IF(
    ISNUMBER(VALUE(LEFT($A65, 1))),
    "",
    IFERROR(IF(_xlfn.XLOOKUP($A65, INDIRECT("'" &amp; V$2 &amp; "'!$A:$A"), INDIRECT("'" &amp; V$2 &amp; "'!$B:$B"), "")&lt;&gt;"", "✓", "✗"), "✗")
)</f>
        <v/>
      </c>
      <c r="W65">
        <f t="array" ref="W65">IF(
    ISNUMBER(VALUE(LEFT($A65, 1))),
    "",
    IFERROR(IF(_xlfn.XLOOKUP($A65, INDIRECT("'" &amp; W$2 &amp; "'!$A:$A"), INDIRECT("'" &amp; W$2 &amp; "'!$B:$B"), "")&lt;&gt;"", "✓", "✗"), "✗")
)</f>
        <v/>
      </c>
      <c r="X65">
        <f t="array" ref="X65">IF(
    ISNUMBER(VALUE(LEFT($A65, 1))),
    "",
    IFERROR(IF(_xlfn.XLOOKUP($A65, INDIRECT("'" &amp; X$2 &amp; "'!$A:$A"), INDIRECT("'" &amp; X$2 &amp; "'!$B:$B"), "")&lt;&gt;"", "✓", "✗"), "✗")
)</f>
        <v/>
      </c>
      <c r="Y65">
        <f t="array" ref="Y65">IF(
    ISNUMBER(VALUE(LEFT($A65, 1))),
    "",
    IFERROR(IF(_xlfn.XLOOKUP($A65, INDIRECT("'" &amp; Y$2 &amp; "'!$A:$A"), INDIRECT("'" &amp; Y$2 &amp; "'!$B:$B"), "")&lt;&gt;"", "✓", "✗"), "✗")
)</f>
        <v/>
      </c>
      <c r="Z65">
        <f t="array" ref="Z65">IF(
    ISNUMBER(VALUE(LEFT($A65, 1))),
    "",
    IFERROR(IF(_xlfn.XLOOKUP($A65, INDIRECT("'" &amp; Z$2 &amp; "'!$A:$A"), INDIRECT("'" &amp; Z$2 &amp; "'!$B:$B"), "")&lt;&gt;"", "✓", "✗"), "✗")
)</f>
        <v/>
      </c>
      <c r="AA65">
        <f t="array" ref="AA65">IF(
    ISNUMBER(VALUE(LEFT($A65, 1))),
    "",
    IFERROR(IF(_xlfn.XLOOKUP($A65, INDIRECT("'" &amp; AA$2 &amp; "'!$A:$A"), INDIRECT("'" &amp; AA$2 &amp; "'!$B:$B"), "")&lt;&gt;"", "✓", "✗"), "✗")
)</f>
        <v/>
      </c>
      <c r="AB65">
        <f t="array" ref="AB65">IF(
    ISNUMBER(VALUE(LEFT($A65, 1))),
    "",
    IFERROR(IF(_xlfn.XLOOKUP($A65, INDIRECT("'" &amp; AB$2 &amp; "'!$A:$A"), INDIRECT("'" &amp; AB$2 &amp; "'!$B:$B"), "")&lt;&gt;"", "✓", "✗"), "✗")
)</f>
        <v/>
      </c>
      <c r="AC65">
        <f t="array" ref="AC65">IF(
    ISNUMBER(VALUE(LEFT($A65, 1))),
    "",
    IFERROR(IF(_xlfn.XLOOKUP($A65, INDIRECT("'" &amp; AC$2 &amp; "'!$A:$A"), INDIRECT("'" &amp; AC$2 &amp; "'!$B:$B"), "")&lt;&gt;"", "✓", "✗"), "✗")
)</f>
        <v/>
      </c>
      <c r="AD65">
        <f t="array" ref="AD65">IF(
    ISNUMBER(VALUE(LEFT($A65, 1))),
    "",
    IFERROR(IF(_xlfn.XLOOKUP($A65, INDIRECT("'" &amp; AD$2 &amp; "'!$A:$A"), INDIRECT("'" &amp; AD$2 &amp; "'!$B:$B"), "")&lt;&gt;"", "✓", "✗"), "✗")
)</f>
        <v/>
      </c>
      <c r="AE65">
        <f t="array" ref="AE65">IF(
    ISNUMBER(VALUE(LEFT($A65, 1))),
    "",
    IFERROR(IF(_xlfn.XLOOKUP($A65, INDIRECT("'" &amp; AE$2 &amp; "'!$A:$A"), INDIRECT("'" &amp; AE$2 &amp; "'!$B:$B"), "")&lt;&gt;"", "✓", "✗"), "✗")
)</f>
        <v/>
      </c>
      <c r="AF65">
        <f t="array" ref="AF65">IF(
    ISNUMBER(VALUE(LEFT($A65, 1))),
    "",
    IFERROR(IF(_xlfn.XLOOKUP($A65, INDIRECT("'" &amp; AF$2 &amp; "'!$A:$A"), INDIRECT("'" &amp; AF$2 &amp; "'!$B:$B"), "")&lt;&gt;"", "✓", "✗"), "✗")
)</f>
        <v/>
      </c>
      <c r="AG65">
        <f t="array" ref="AG65">IF(
    ISNUMBER(VALUE(LEFT($A65, 1))),
    "",
    IFERROR(IF(_xlfn.XLOOKUP($A65, INDIRECT("'" &amp; AG$2 &amp; "'!$A:$A"), INDIRECT("'" &amp; AG$2 &amp; "'!$B:$B"), "")&lt;&gt;"", "✓", "✗"), "✗")
)</f>
        <v/>
      </c>
    </row>
    <row r="66">
      <c r="A66" t="inlineStr">
        <is>
          <t>Offer Type</t>
        </is>
      </c>
      <c r="B66">
        <f t="array" ref="B66">IF(
    ISNUMBER(VALUE(LEFT($A66, 1))),
    "",
    IFERROR(IF(_xlfn.XLOOKUP($A66, INDIRECT("'" &amp; B$2 &amp; "'!$A:$A"), INDIRECT("'" &amp; B$2 &amp; "'!$B:$B"), "")&lt;&gt;"", "✓", "✗"), "✗")
)</f>
        <v/>
      </c>
      <c r="C66">
        <f t="array" ref="C66">IF(
    ISNUMBER(VALUE(LEFT($A66, 1))),
    "",
    IFERROR(IF(_xlfn.XLOOKUP($A66, INDIRECT("'" &amp; C$2 &amp; "'!$A:$A"), INDIRECT("'" &amp; C$2 &amp; "'!$B:$B"), "")&lt;&gt;"", "✓", "✗"), "✗")
)</f>
        <v/>
      </c>
      <c r="D66">
        <f t="array" ref="D66">IF(
    ISNUMBER(VALUE(LEFT($A66, 1))),
    "",
    IFERROR(IF(_xlfn.XLOOKUP($A66, INDIRECT("'" &amp; D$2 &amp; "'!$A:$A"), INDIRECT("'" &amp; D$2 &amp; "'!$B:$B"), "")&lt;&gt;"", "✓", "✗"), "✗")
)</f>
        <v/>
      </c>
      <c r="E66">
        <f t="array" ref="E66">IF(
    ISNUMBER(VALUE(LEFT($A66, 1))),
    "",
    IFERROR(IF(_xlfn.XLOOKUP($A66, INDIRECT("'" &amp; E$2 &amp; "'!$A:$A"), INDIRECT("'" &amp; E$2 &amp; "'!$B:$B"), "")&lt;&gt;"", "✓", "✗"), "✗")
)</f>
        <v/>
      </c>
      <c r="F66">
        <f t="array" ref="F66">IF(
    ISNUMBER(VALUE(LEFT($A66, 1))),
    "",
    IFERROR(IF(_xlfn.XLOOKUP($A66, INDIRECT("'" &amp; F$2 &amp; "'!$A:$A"), INDIRECT("'" &amp; F$2 &amp; "'!$B:$B"), "")&lt;&gt;"", "✓", "✗"), "✗")
)</f>
        <v/>
      </c>
      <c r="G66">
        <f t="array" ref="G66">IF(
    ISNUMBER(VALUE(LEFT($A66, 1))),
    "",
    IFERROR(IF(_xlfn.XLOOKUP($A66, INDIRECT("'" &amp; G$2 &amp; "'!$A:$A"), INDIRECT("'" &amp; G$2 &amp; "'!$B:$B"), "")&lt;&gt;"", "✓", "✗"), "✗")
)</f>
        <v/>
      </c>
      <c r="H66">
        <f t="array" ref="H66">IF(
    ISNUMBER(VALUE(LEFT($A66, 1))),
    "",
    IFERROR(IF(_xlfn.XLOOKUP($A66, INDIRECT("'" &amp; H$2 &amp; "'!$A:$A"), INDIRECT("'" &amp; H$2 &amp; "'!$B:$B"), "")&lt;&gt;"", "✓", "✗"), "✗")
)</f>
        <v/>
      </c>
      <c r="I66">
        <f t="array" ref="I66">IF(
    ISNUMBER(VALUE(LEFT($A66, 1))),
    "",
    IFERROR(IF(_xlfn.XLOOKUP($A66, INDIRECT("'" &amp; I$2 &amp; "'!$A:$A"), INDIRECT("'" &amp; I$2 &amp; "'!$B:$B"), "")&lt;&gt;"", "✓", "✗"), "✗")
)</f>
        <v/>
      </c>
      <c r="J66">
        <f t="array" ref="J66">IF(
    ISNUMBER(VALUE(LEFT($A66, 1))),
    "",
    IFERROR(IF(_xlfn.XLOOKUP($A66, INDIRECT("'" &amp; J$2 &amp; "'!$A:$A"), INDIRECT("'" &amp; J$2 &amp; "'!$B:$B"), "")&lt;&gt;"", "✓", "✗"), "✗")
)</f>
        <v/>
      </c>
      <c r="K66">
        <f t="array" ref="K66">IF(
    ISNUMBER(VALUE(LEFT($A66, 1))),
    "",
    IFERROR(IF(_xlfn.XLOOKUP($A66, INDIRECT("'" &amp; K$2 &amp; "'!$A:$A"), INDIRECT("'" &amp; K$2 &amp; "'!$B:$B"), "")&lt;&gt;"", "✓", "✗"), "✗")
)</f>
        <v/>
      </c>
      <c r="L66">
        <f t="array" ref="L66">IF(
    ISNUMBER(VALUE(LEFT($A66, 1))),
    "",
    IFERROR(IF(_xlfn.XLOOKUP($A66, INDIRECT("'" &amp; L$2 &amp; "'!$A:$A"), INDIRECT("'" &amp; L$2 &amp; "'!$B:$B"), "")&lt;&gt;"", "✓", "✗"), "✗")
)</f>
        <v/>
      </c>
      <c r="M66">
        <f t="array" ref="M66">IF(
    ISNUMBER(VALUE(LEFT($A66, 1))),
    "",
    IFERROR(IF(_xlfn.XLOOKUP($A66, INDIRECT("'" &amp; M$2 &amp; "'!$A:$A"), INDIRECT("'" &amp; M$2 &amp; "'!$B:$B"), "")&lt;&gt;"", "✓", "✗"), "✗")
)</f>
        <v/>
      </c>
      <c r="N66">
        <f t="array" ref="N66">IF(
    ISNUMBER(VALUE(LEFT($A66, 1))),
    "",
    IFERROR(IF(_xlfn.XLOOKUP($A66, INDIRECT("'" &amp; N$2 &amp; "'!$A:$A"), INDIRECT("'" &amp; N$2 &amp; "'!$B:$B"), "")&lt;&gt;"", "✓", "✗"), "✗")
)</f>
        <v/>
      </c>
      <c r="O66">
        <f t="array" ref="O66">IF(
    ISNUMBER(VALUE(LEFT($A66, 1))),
    "",
    IFERROR(IF(_xlfn.XLOOKUP($A66, INDIRECT("'" &amp; O$2 &amp; "'!$A:$A"), INDIRECT("'" &amp; O$2 &amp; "'!$B:$B"), "")&lt;&gt;"", "✓", "✗"), "✗")
)</f>
        <v/>
      </c>
      <c r="P66">
        <f t="array" ref="P66">IF(
    ISNUMBER(VALUE(LEFT($A66, 1))),
    "",
    IFERROR(IF(_xlfn.XLOOKUP($A66, INDIRECT("'" &amp; P$2 &amp; "'!$A:$A"), INDIRECT("'" &amp; P$2 &amp; "'!$B:$B"), "")&lt;&gt;"", "✓", "✗"), "✗")
)</f>
        <v/>
      </c>
      <c r="Q66">
        <f t="array" ref="Q66">IF(
    ISNUMBER(VALUE(LEFT($A66, 1))),
    "",
    IFERROR(IF(_xlfn.XLOOKUP($A66, INDIRECT("'" &amp; Q$2 &amp; "'!$A:$A"), INDIRECT("'" &amp; Q$2 &amp; "'!$B:$B"), "")&lt;&gt;"", "✓", "✗"), "✗")
)</f>
        <v/>
      </c>
      <c r="R66">
        <f t="array" ref="R66">IF(
    ISNUMBER(VALUE(LEFT($A66, 1))),
    "",
    IFERROR(IF(_xlfn.XLOOKUP($A66, INDIRECT("'" &amp; R$2 &amp; "'!$A:$A"), INDIRECT("'" &amp; R$2 &amp; "'!$B:$B"), "")&lt;&gt;"", "✓", "✗"), "✗")
)</f>
        <v/>
      </c>
      <c r="S66">
        <f t="array" ref="S66">IF(
    ISNUMBER(VALUE(LEFT($A66, 1))),
    "",
    IFERROR(IF(_xlfn.XLOOKUP($A66, INDIRECT("'" &amp; S$2 &amp; "'!$A:$A"), INDIRECT("'" &amp; S$2 &amp; "'!$B:$B"), "")&lt;&gt;"", "✓", "✗"), "✗")
)</f>
        <v/>
      </c>
      <c r="T66">
        <f t="array" ref="T66">IF(
    ISNUMBER(VALUE(LEFT($A66, 1))),
    "",
    IFERROR(IF(_xlfn.XLOOKUP($A66, INDIRECT("'" &amp; T$2 &amp; "'!$A:$A"), INDIRECT("'" &amp; T$2 &amp; "'!$B:$B"), "")&lt;&gt;"", "✓", "✗"), "✗")
)</f>
        <v/>
      </c>
      <c r="U66">
        <f t="array" ref="U66">IF(
    ISNUMBER(VALUE(LEFT($A66, 1))),
    "",
    IFERROR(IF(_xlfn.XLOOKUP($A66, INDIRECT("'" &amp; U$2 &amp; "'!$A:$A"), INDIRECT("'" &amp; U$2 &amp; "'!$B:$B"), "")&lt;&gt;"", "✓", "✗"), "✗")
)</f>
        <v/>
      </c>
      <c r="V66">
        <f t="array" ref="V66">IF(
    ISNUMBER(VALUE(LEFT($A66, 1))),
    "",
    IFERROR(IF(_xlfn.XLOOKUP($A66, INDIRECT("'" &amp; V$2 &amp; "'!$A:$A"), INDIRECT("'" &amp; V$2 &amp; "'!$B:$B"), "")&lt;&gt;"", "✓", "✗"), "✗")
)</f>
        <v/>
      </c>
      <c r="W66">
        <f t="array" ref="W66">IF(
    ISNUMBER(VALUE(LEFT($A66, 1))),
    "",
    IFERROR(IF(_xlfn.XLOOKUP($A66, INDIRECT("'" &amp; W$2 &amp; "'!$A:$A"), INDIRECT("'" &amp; W$2 &amp; "'!$B:$B"), "")&lt;&gt;"", "✓", "✗"), "✗")
)</f>
        <v/>
      </c>
      <c r="X66">
        <f t="array" ref="X66">IF(
    ISNUMBER(VALUE(LEFT($A66, 1))),
    "",
    IFERROR(IF(_xlfn.XLOOKUP($A66, INDIRECT("'" &amp; X$2 &amp; "'!$A:$A"), INDIRECT("'" &amp; X$2 &amp; "'!$B:$B"), "")&lt;&gt;"", "✓", "✗"), "✗")
)</f>
        <v/>
      </c>
      <c r="Y66">
        <f t="array" ref="Y66">IF(
    ISNUMBER(VALUE(LEFT($A66, 1))),
    "",
    IFERROR(IF(_xlfn.XLOOKUP($A66, INDIRECT("'" &amp; Y$2 &amp; "'!$A:$A"), INDIRECT("'" &amp; Y$2 &amp; "'!$B:$B"), "")&lt;&gt;"", "✓", "✗"), "✗")
)</f>
        <v/>
      </c>
      <c r="Z66">
        <f t="array" ref="Z66">IF(
    ISNUMBER(VALUE(LEFT($A66, 1))),
    "",
    IFERROR(IF(_xlfn.XLOOKUP($A66, INDIRECT("'" &amp; Z$2 &amp; "'!$A:$A"), INDIRECT("'" &amp; Z$2 &amp; "'!$B:$B"), "")&lt;&gt;"", "✓", "✗"), "✗")
)</f>
        <v/>
      </c>
      <c r="AA66">
        <f t="array" ref="AA66">IF(
    ISNUMBER(VALUE(LEFT($A66, 1))),
    "",
    IFERROR(IF(_xlfn.XLOOKUP($A66, INDIRECT("'" &amp; AA$2 &amp; "'!$A:$A"), INDIRECT("'" &amp; AA$2 &amp; "'!$B:$B"), "")&lt;&gt;"", "✓", "✗"), "✗")
)</f>
        <v/>
      </c>
      <c r="AB66">
        <f t="array" ref="AB66">IF(
    ISNUMBER(VALUE(LEFT($A66, 1))),
    "",
    IFERROR(IF(_xlfn.XLOOKUP($A66, INDIRECT("'" &amp; AB$2 &amp; "'!$A:$A"), INDIRECT("'" &amp; AB$2 &amp; "'!$B:$B"), "")&lt;&gt;"", "✓", "✗"), "✗")
)</f>
        <v/>
      </c>
      <c r="AC66">
        <f t="array" ref="AC66">IF(
    ISNUMBER(VALUE(LEFT($A66, 1))),
    "",
    IFERROR(IF(_xlfn.XLOOKUP($A66, INDIRECT("'" &amp; AC$2 &amp; "'!$A:$A"), INDIRECT("'" &amp; AC$2 &amp; "'!$B:$B"), "")&lt;&gt;"", "✓", "✗"), "✗")
)</f>
        <v/>
      </c>
      <c r="AD66">
        <f t="array" ref="AD66">IF(
    ISNUMBER(VALUE(LEFT($A66, 1))),
    "",
    IFERROR(IF(_xlfn.XLOOKUP($A66, INDIRECT("'" &amp; AD$2 &amp; "'!$A:$A"), INDIRECT("'" &amp; AD$2 &amp; "'!$B:$B"), "")&lt;&gt;"", "✓", "✗"), "✗")
)</f>
        <v/>
      </c>
      <c r="AE66">
        <f t="array" ref="AE66">IF(
    ISNUMBER(VALUE(LEFT($A66, 1))),
    "",
    IFERROR(IF(_xlfn.XLOOKUP($A66, INDIRECT("'" &amp; AE$2 &amp; "'!$A:$A"), INDIRECT("'" &amp; AE$2 &amp; "'!$B:$B"), "")&lt;&gt;"", "✓", "✗"), "✗")
)</f>
        <v/>
      </c>
      <c r="AF66">
        <f t="array" ref="AF66">IF(
    ISNUMBER(VALUE(LEFT($A66, 1))),
    "",
    IFERROR(IF(_xlfn.XLOOKUP($A66, INDIRECT("'" &amp; AF$2 &amp; "'!$A:$A"), INDIRECT("'" &amp; AF$2 &amp; "'!$B:$B"), "")&lt;&gt;"", "✓", "✗"), "✗")
)</f>
        <v/>
      </c>
      <c r="AG66">
        <f t="array" ref="AG66">IF(
    ISNUMBER(VALUE(LEFT($A66, 1))),
    "",
    IFERROR(IF(_xlfn.XLOOKUP($A66, INDIRECT("'" &amp; AG$2 &amp; "'!$A:$A"), INDIRECT("'" &amp; AG$2 &amp; "'!$B:$B"), "")&lt;&gt;"", "✓", "✗"), "✗")
)</f>
        <v/>
      </c>
    </row>
    <row r="67">
      <c r="A67" t="inlineStr">
        <is>
          <t>6 - Future Tracking Parameters</t>
        </is>
      </c>
      <c r="B67">
        <f t="array" ref="B67">IF(
    ISNUMBER(VALUE(LEFT($A67, 1))),
    "",
    IFERROR(IF(_xlfn.XLOOKUP($A67, INDIRECT("'" &amp; B$2 &amp; "'!$A:$A"), INDIRECT("'" &amp; B$2 &amp; "'!$B:$B"), "")&lt;&gt;"", "✓", "✗"), "✗")
)</f>
        <v/>
      </c>
      <c r="C67">
        <f t="array" ref="C67">IF(
    ISNUMBER(VALUE(LEFT($A67, 1))),
    "",
    IFERROR(IF(_xlfn.XLOOKUP($A67, INDIRECT("'" &amp; C$2 &amp; "'!$A:$A"), INDIRECT("'" &amp; C$2 &amp; "'!$B:$B"), "")&lt;&gt;"", "✓", "✗"), "✗")
)</f>
        <v/>
      </c>
      <c r="D67">
        <f t="array" ref="D67">IF(
    ISNUMBER(VALUE(LEFT($A67, 1))),
    "",
    IFERROR(IF(_xlfn.XLOOKUP($A67, INDIRECT("'" &amp; D$2 &amp; "'!$A:$A"), INDIRECT("'" &amp; D$2 &amp; "'!$B:$B"), "")&lt;&gt;"", "✓", "✗"), "✗")
)</f>
        <v/>
      </c>
      <c r="E67">
        <f t="array" ref="E67">IF(
    ISNUMBER(VALUE(LEFT($A67, 1))),
    "",
    IFERROR(IF(_xlfn.XLOOKUP($A67, INDIRECT("'" &amp; E$2 &amp; "'!$A:$A"), INDIRECT("'" &amp; E$2 &amp; "'!$B:$B"), "")&lt;&gt;"", "✓", "✗"), "✗")
)</f>
        <v/>
      </c>
      <c r="F67">
        <f t="array" ref="F67">IF(
    ISNUMBER(VALUE(LEFT($A67, 1))),
    "",
    IFERROR(IF(_xlfn.XLOOKUP($A67, INDIRECT("'" &amp; F$2 &amp; "'!$A:$A"), INDIRECT("'" &amp; F$2 &amp; "'!$B:$B"), "")&lt;&gt;"", "✓", "✗"), "✗")
)</f>
        <v/>
      </c>
      <c r="G67">
        <f t="array" ref="G67">IF(
    ISNUMBER(VALUE(LEFT($A67, 1))),
    "",
    IFERROR(IF(_xlfn.XLOOKUP($A67, INDIRECT("'" &amp; G$2 &amp; "'!$A:$A"), INDIRECT("'" &amp; G$2 &amp; "'!$B:$B"), "")&lt;&gt;"", "✓", "✗"), "✗")
)</f>
        <v/>
      </c>
      <c r="H67">
        <f t="array" ref="H67">IF(
    ISNUMBER(VALUE(LEFT($A67, 1))),
    "",
    IFERROR(IF(_xlfn.XLOOKUP($A67, INDIRECT("'" &amp; H$2 &amp; "'!$A:$A"), INDIRECT("'" &amp; H$2 &amp; "'!$B:$B"), "")&lt;&gt;"", "✓", "✗"), "✗")
)</f>
        <v/>
      </c>
      <c r="I67">
        <f t="array" ref="I67">IF(
    ISNUMBER(VALUE(LEFT($A67, 1))),
    "",
    IFERROR(IF(_xlfn.XLOOKUP($A67, INDIRECT("'" &amp; I$2 &amp; "'!$A:$A"), INDIRECT("'" &amp; I$2 &amp; "'!$B:$B"), "")&lt;&gt;"", "✓", "✗"), "✗")
)</f>
        <v/>
      </c>
      <c r="J67">
        <f t="array" ref="J67">IF(
    ISNUMBER(VALUE(LEFT($A67, 1))),
    "",
    IFERROR(IF(_xlfn.XLOOKUP($A67, INDIRECT("'" &amp; J$2 &amp; "'!$A:$A"), INDIRECT("'" &amp; J$2 &amp; "'!$B:$B"), "")&lt;&gt;"", "✓", "✗"), "✗")
)</f>
        <v/>
      </c>
      <c r="K67">
        <f t="array" ref="K67">IF(
    ISNUMBER(VALUE(LEFT($A67, 1))),
    "",
    IFERROR(IF(_xlfn.XLOOKUP($A67, INDIRECT("'" &amp; K$2 &amp; "'!$A:$A"), INDIRECT("'" &amp; K$2 &amp; "'!$B:$B"), "")&lt;&gt;"", "✓", "✗"), "✗")
)</f>
        <v/>
      </c>
      <c r="L67">
        <f t="array" ref="L67">IF(
    ISNUMBER(VALUE(LEFT($A67, 1))),
    "",
    IFERROR(IF(_xlfn.XLOOKUP($A67, INDIRECT("'" &amp; L$2 &amp; "'!$A:$A"), INDIRECT("'" &amp; L$2 &amp; "'!$B:$B"), "")&lt;&gt;"", "✓", "✗"), "✗")
)</f>
        <v/>
      </c>
      <c r="M67">
        <f t="array" ref="M67">IF(
    ISNUMBER(VALUE(LEFT($A67, 1))),
    "",
    IFERROR(IF(_xlfn.XLOOKUP($A67, INDIRECT("'" &amp; M$2 &amp; "'!$A:$A"), INDIRECT("'" &amp; M$2 &amp; "'!$B:$B"), "")&lt;&gt;"", "✓", "✗"), "✗")
)</f>
        <v/>
      </c>
      <c r="N67">
        <f t="array" ref="N67">IF(
    ISNUMBER(VALUE(LEFT($A67, 1))),
    "",
    IFERROR(IF(_xlfn.XLOOKUP($A67, INDIRECT("'" &amp; N$2 &amp; "'!$A:$A"), INDIRECT("'" &amp; N$2 &amp; "'!$B:$B"), "")&lt;&gt;"", "✓", "✗"), "✗")
)</f>
        <v/>
      </c>
      <c r="O67">
        <f t="array" ref="O67">IF(
    ISNUMBER(VALUE(LEFT($A67, 1))),
    "",
    IFERROR(IF(_xlfn.XLOOKUP($A67, INDIRECT("'" &amp; O$2 &amp; "'!$A:$A"), INDIRECT("'" &amp; O$2 &amp; "'!$B:$B"), "")&lt;&gt;"", "✓", "✗"), "✗")
)</f>
        <v/>
      </c>
      <c r="P67">
        <f t="array" ref="P67">IF(
    ISNUMBER(VALUE(LEFT($A67, 1))),
    "",
    IFERROR(IF(_xlfn.XLOOKUP($A67, INDIRECT("'" &amp; P$2 &amp; "'!$A:$A"), INDIRECT("'" &amp; P$2 &amp; "'!$B:$B"), "")&lt;&gt;"", "✓", "✗"), "✗")
)</f>
        <v/>
      </c>
      <c r="Q67">
        <f t="array" ref="Q67">IF(
    ISNUMBER(VALUE(LEFT($A67, 1))),
    "",
    IFERROR(IF(_xlfn.XLOOKUP($A67, INDIRECT("'" &amp; Q$2 &amp; "'!$A:$A"), INDIRECT("'" &amp; Q$2 &amp; "'!$B:$B"), "")&lt;&gt;"", "✓", "✗"), "✗")
)</f>
        <v/>
      </c>
      <c r="R67">
        <f t="array" ref="R67">IF(
    ISNUMBER(VALUE(LEFT($A67, 1))),
    "",
    IFERROR(IF(_xlfn.XLOOKUP($A67, INDIRECT("'" &amp; R$2 &amp; "'!$A:$A"), INDIRECT("'" &amp; R$2 &amp; "'!$B:$B"), "")&lt;&gt;"", "✓", "✗"), "✗")
)</f>
        <v/>
      </c>
      <c r="S67">
        <f t="array" ref="S67">IF(
    ISNUMBER(VALUE(LEFT($A67, 1))),
    "",
    IFERROR(IF(_xlfn.XLOOKUP($A67, INDIRECT("'" &amp; S$2 &amp; "'!$A:$A"), INDIRECT("'" &amp; S$2 &amp; "'!$B:$B"), "")&lt;&gt;"", "✓", "✗"), "✗")
)</f>
        <v/>
      </c>
      <c r="T67">
        <f t="array" ref="T67">IF(
    ISNUMBER(VALUE(LEFT($A67, 1))),
    "",
    IFERROR(IF(_xlfn.XLOOKUP($A67, INDIRECT("'" &amp; T$2 &amp; "'!$A:$A"), INDIRECT("'" &amp; T$2 &amp; "'!$B:$B"), "")&lt;&gt;"", "✓", "✗"), "✗")
)</f>
        <v/>
      </c>
      <c r="U67">
        <f t="array" ref="U67">IF(
    ISNUMBER(VALUE(LEFT($A67, 1))),
    "",
    IFERROR(IF(_xlfn.XLOOKUP($A67, INDIRECT("'" &amp; U$2 &amp; "'!$A:$A"), INDIRECT("'" &amp; U$2 &amp; "'!$B:$B"), "")&lt;&gt;"", "✓", "✗"), "✗")
)</f>
        <v/>
      </c>
      <c r="V67">
        <f t="array" ref="V67">IF(
    ISNUMBER(VALUE(LEFT($A67, 1))),
    "",
    IFERROR(IF(_xlfn.XLOOKUP($A67, INDIRECT("'" &amp; V$2 &amp; "'!$A:$A"), INDIRECT("'" &amp; V$2 &amp; "'!$B:$B"), "")&lt;&gt;"", "✓", "✗"), "✗")
)</f>
        <v/>
      </c>
      <c r="W67">
        <f t="array" ref="W67">IF(
    ISNUMBER(VALUE(LEFT($A67, 1))),
    "",
    IFERROR(IF(_xlfn.XLOOKUP($A67, INDIRECT("'" &amp; W$2 &amp; "'!$A:$A"), INDIRECT("'" &amp; W$2 &amp; "'!$B:$B"), "")&lt;&gt;"", "✓", "✗"), "✗")
)</f>
        <v/>
      </c>
      <c r="X67">
        <f t="array" ref="X67">IF(
    ISNUMBER(VALUE(LEFT($A67, 1))),
    "",
    IFERROR(IF(_xlfn.XLOOKUP($A67, INDIRECT("'" &amp; X$2 &amp; "'!$A:$A"), INDIRECT("'" &amp; X$2 &amp; "'!$B:$B"), "")&lt;&gt;"", "✓", "✗"), "✗")
)</f>
        <v/>
      </c>
      <c r="Y67">
        <f t="array" ref="Y67">IF(
    ISNUMBER(VALUE(LEFT($A67, 1))),
    "",
    IFERROR(IF(_xlfn.XLOOKUP($A67, INDIRECT("'" &amp; Y$2 &amp; "'!$A:$A"), INDIRECT("'" &amp; Y$2 &amp; "'!$B:$B"), "")&lt;&gt;"", "✓", "✗"), "✗")
)</f>
        <v/>
      </c>
      <c r="Z67">
        <f t="array" ref="Z67">IF(
    ISNUMBER(VALUE(LEFT($A67, 1))),
    "",
    IFERROR(IF(_xlfn.XLOOKUP($A67, INDIRECT("'" &amp; Z$2 &amp; "'!$A:$A"), INDIRECT("'" &amp; Z$2 &amp; "'!$B:$B"), "")&lt;&gt;"", "✓", "✗"), "✗")
)</f>
        <v/>
      </c>
      <c r="AA67">
        <f t="array" ref="AA67">IF(
    ISNUMBER(VALUE(LEFT($A67, 1))),
    "",
    IFERROR(IF(_xlfn.XLOOKUP($A67, INDIRECT("'" &amp; AA$2 &amp; "'!$A:$A"), INDIRECT("'" &amp; AA$2 &amp; "'!$B:$B"), "")&lt;&gt;"", "✓", "✗"), "✗")
)</f>
        <v/>
      </c>
      <c r="AB67">
        <f t="array" ref="AB67">IF(
    ISNUMBER(VALUE(LEFT($A67, 1))),
    "",
    IFERROR(IF(_xlfn.XLOOKUP($A67, INDIRECT("'" &amp; AB$2 &amp; "'!$A:$A"), INDIRECT("'" &amp; AB$2 &amp; "'!$B:$B"), "")&lt;&gt;"", "✓", "✗"), "✗")
)</f>
        <v/>
      </c>
      <c r="AC67">
        <f t="array" ref="AC67">IF(
    ISNUMBER(VALUE(LEFT($A67, 1))),
    "",
    IFERROR(IF(_xlfn.XLOOKUP($A67, INDIRECT("'" &amp; AC$2 &amp; "'!$A:$A"), INDIRECT("'" &amp; AC$2 &amp; "'!$B:$B"), "")&lt;&gt;"", "✓", "✗"), "✗")
)</f>
        <v/>
      </c>
      <c r="AD67">
        <f t="array" ref="AD67">IF(
    ISNUMBER(VALUE(LEFT($A67, 1))),
    "",
    IFERROR(IF(_xlfn.XLOOKUP($A67, INDIRECT("'" &amp; AD$2 &amp; "'!$A:$A"), INDIRECT("'" &amp; AD$2 &amp; "'!$B:$B"), "")&lt;&gt;"", "✓", "✗"), "✗")
)</f>
        <v/>
      </c>
      <c r="AE67">
        <f t="array" ref="AE67">IF(
    ISNUMBER(VALUE(LEFT($A67, 1))),
    "",
    IFERROR(IF(_xlfn.XLOOKUP($A67, INDIRECT("'" &amp; AE$2 &amp; "'!$A:$A"), INDIRECT("'" &amp; AE$2 &amp; "'!$B:$B"), "")&lt;&gt;"", "✓", "✗"), "✗")
)</f>
        <v/>
      </c>
      <c r="AF67">
        <f t="array" ref="AF67">IF(
    ISNUMBER(VALUE(LEFT($A67, 1))),
    "",
    IFERROR(IF(_xlfn.XLOOKUP($A67, INDIRECT("'" &amp; AF$2 &amp; "'!$A:$A"), INDIRECT("'" &amp; AF$2 &amp; "'!$B:$B"), "")&lt;&gt;"", "✓", "✗"), "✗")
)</f>
        <v/>
      </c>
      <c r="AG67">
        <f t="array" ref="AG67">IF(
    ISNUMBER(VALUE(LEFT($A67, 1))),
    "",
    IFERROR(IF(_xlfn.XLOOKUP($A67, INDIRECT("'" &amp; AG$2 &amp; "'!$A:$A"), INDIRECT("'" &amp; AG$2 &amp; "'!$B:$B"), "")&lt;&gt;"", "✓", "✗"), "✗")
)</f>
        <v/>
      </c>
    </row>
    <row r="68">
      <c r="A68" t="inlineStr">
        <is>
          <t>Workfront Channel ID</t>
        </is>
      </c>
      <c r="B68">
        <f t="array" ref="B68">IF(
    ISNUMBER(VALUE(LEFT($A68, 1))),
    "",
    IFERROR(IF(_xlfn.XLOOKUP($A68, INDIRECT("'" &amp; B$2 &amp; "'!$A:$A"), INDIRECT("'" &amp; B$2 &amp; "'!$B:$B"), "")&lt;&gt;"", "✓", "✗"), "✗")
)</f>
        <v/>
      </c>
      <c r="C68">
        <f t="array" ref="C68">IF(
    ISNUMBER(VALUE(LEFT($A68, 1))),
    "",
    IFERROR(IF(_xlfn.XLOOKUP($A68, INDIRECT("'" &amp; C$2 &amp; "'!$A:$A"), INDIRECT("'" &amp; C$2 &amp; "'!$B:$B"), "")&lt;&gt;"", "✓", "✗"), "✗")
)</f>
        <v/>
      </c>
      <c r="D68">
        <f t="array" ref="D68">IF(
    ISNUMBER(VALUE(LEFT($A68, 1))),
    "",
    IFERROR(IF(_xlfn.XLOOKUP($A68, INDIRECT("'" &amp; D$2 &amp; "'!$A:$A"), INDIRECT("'" &amp; D$2 &amp; "'!$B:$B"), "")&lt;&gt;"", "✓", "✗"), "✗")
)</f>
        <v/>
      </c>
      <c r="E68">
        <f t="array" ref="E68">IF(
    ISNUMBER(VALUE(LEFT($A68, 1))),
    "",
    IFERROR(IF(_xlfn.XLOOKUP($A68, INDIRECT("'" &amp; E$2 &amp; "'!$A:$A"), INDIRECT("'" &amp; E$2 &amp; "'!$B:$B"), "")&lt;&gt;"", "✓", "✗"), "✗")
)</f>
        <v/>
      </c>
      <c r="F68">
        <f t="array" ref="F68">IF(
    ISNUMBER(VALUE(LEFT($A68, 1))),
    "",
    IFERROR(IF(_xlfn.XLOOKUP($A68, INDIRECT("'" &amp; F$2 &amp; "'!$A:$A"), INDIRECT("'" &amp; F$2 &amp; "'!$B:$B"), "")&lt;&gt;"", "✓", "✗"), "✗")
)</f>
        <v/>
      </c>
      <c r="G68">
        <f t="array" ref="G68">IF(
    ISNUMBER(VALUE(LEFT($A68, 1))),
    "",
    IFERROR(IF(_xlfn.XLOOKUP($A68, INDIRECT("'" &amp; G$2 &amp; "'!$A:$A"), INDIRECT("'" &amp; G$2 &amp; "'!$B:$B"), "")&lt;&gt;"", "✓", "✗"), "✗")
)</f>
        <v/>
      </c>
      <c r="H68">
        <f t="array" ref="H68">IF(
    ISNUMBER(VALUE(LEFT($A68, 1))),
    "",
    IFERROR(IF(_xlfn.XLOOKUP($A68, INDIRECT("'" &amp; H$2 &amp; "'!$A:$A"), INDIRECT("'" &amp; H$2 &amp; "'!$B:$B"), "")&lt;&gt;"", "✓", "✗"), "✗")
)</f>
        <v/>
      </c>
      <c r="I68">
        <f t="array" ref="I68">IF(
    ISNUMBER(VALUE(LEFT($A68, 1))),
    "",
    IFERROR(IF(_xlfn.XLOOKUP($A68, INDIRECT("'" &amp; I$2 &amp; "'!$A:$A"), INDIRECT("'" &amp; I$2 &amp; "'!$B:$B"), "")&lt;&gt;"", "✓", "✗"), "✗")
)</f>
        <v/>
      </c>
      <c r="J68">
        <f t="array" ref="J68">IF(
    ISNUMBER(VALUE(LEFT($A68, 1))),
    "",
    IFERROR(IF(_xlfn.XLOOKUP($A68, INDIRECT("'" &amp; J$2 &amp; "'!$A:$A"), INDIRECT("'" &amp; J$2 &amp; "'!$B:$B"), "")&lt;&gt;"", "✓", "✗"), "✗")
)</f>
        <v/>
      </c>
      <c r="K68">
        <f t="array" ref="K68">IF(
    ISNUMBER(VALUE(LEFT($A68, 1))),
    "",
    IFERROR(IF(_xlfn.XLOOKUP($A68, INDIRECT("'" &amp; K$2 &amp; "'!$A:$A"), INDIRECT("'" &amp; K$2 &amp; "'!$B:$B"), "")&lt;&gt;"", "✓", "✗"), "✗")
)</f>
        <v/>
      </c>
      <c r="L68">
        <f t="array" ref="L68">IF(
    ISNUMBER(VALUE(LEFT($A68, 1))),
    "",
    IFERROR(IF(_xlfn.XLOOKUP($A68, INDIRECT("'" &amp; L$2 &amp; "'!$A:$A"), INDIRECT("'" &amp; L$2 &amp; "'!$B:$B"), "")&lt;&gt;"", "✓", "✗"), "✗")
)</f>
        <v/>
      </c>
      <c r="M68">
        <f t="array" ref="M68">IF(
    ISNUMBER(VALUE(LEFT($A68, 1))),
    "",
    IFERROR(IF(_xlfn.XLOOKUP($A68, INDIRECT("'" &amp; M$2 &amp; "'!$A:$A"), INDIRECT("'" &amp; M$2 &amp; "'!$B:$B"), "")&lt;&gt;"", "✓", "✗"), "✗")
)</f>
        <v/>
      </c>
      <c r="N68">
        <f t="array" ref="N68">IF(
    ISNUMBER(VALUE(LEFT($A68, 1))),
    "",
    IFERROR(IF(_xlfn.XLOOKUP($A68, INDIRECT("'" &amp; N$2 &amp; "'!$A:$A"), INDIRECT("'" &amp; N$2 &amp; "'!$B:$B"), "")&lt;&gt;"", "✓", "✗"), "✗")
)</f>
        <v/>
      </c>
      <c r="O68">
        <f t="array" ref="O68">IF(
    ISNUMBER(VALUE(LEFT($A68, 1))),
    "",
    IFERROR(IF(_xlfn.XLOOKUP($A68, INDIRECT("'" &amp; O$2 &amp; "'!$A:$A"), INDIRECT("'" &amp; O$2 &amp; "'!$B:$B"), "")&lt;&gt;"", "✓", "✗"), "✗")
)</f>
        <v/>
      </c>
      <c r="P68">
        <f t="array" ref="P68">IF(
    ISNUMBER(VALUE(LEFT($A68, 1))),
    "",
    IFERROR(IF(_xlfn.XLOOKUP($A68, INDIRECT("'" &amp; P$2 &amp; "'!$A:$A"), INDIRECT("'" &amp; P$2 &amp; "'!$B:$B"), "")&lt;&gt;"", "✓", "✗"), "✗")
)</f>
        <v/>
      </c>
      <c r="Q68">
        <f t="array" ref="Q68">IF(
    ISNUMBER(VALUE(LEFT($A68, 1))),
    "",
    IFERROR(IF(_xlfn.XLOOKUP($A68, INDIRECT("'" &amp; Q$2 &amp; "'!$A:$A"), INDIRECT("'" &amp; Q$2 &amp; "'!$B:$B"), "")&lt;&gt;"", "✓", "✗"), "✗")
)</f>
        <v/>
      </c>
      <c r="R68">
        <f t="array" ref="R68">IF(
    ISNUMBER(VALUE(LEFT($A68, 1))),
    "",
    IFERROR(IF(_xlfn.XLOOKUP($A68, INDIRECT("'" &amp; R$2 &amp; "'!$A:$A"), INDIRECT("'" &amp; R$2 &amp; "'!$B:$B"), "")&lt;&gt;"", "✓", "✗"), "✗")
)</f>
        <v/>
      </c>
      <c r="S68">
        <f t="array" ref="S68">IF(
    ISNUMBER(VALUE(LEFT($A68, 1))),
    "",
    IFERROR(IF(_xlfn.XLOOKUP($A68, INDIRECT("'" &amp; S$2 &amp; "'!$A:$A"), INDIRECT("'" &amp; S$2 &amp; "'!$B:$B"), "")&lt;&gt;"", "✓", "✗"), "✗")
)</f>
        <v/>
      </c>
      <c r="T68">
        <f t="array" ref="T68">IF(
    ISNUMBER(VALUE(LEFT($A68, 1))),
    "",
    IFERROR(IF(_xlfn.XLOOKUP($A68, INDIRECT("'" &amp; T$2 &amp; "'!$A:$A"), INDIRECT("'" &amp; T$2 &amp; "'!$B:$B"), "")&lt;&gt;"", "✓", "✗"), "✗")
)</f>
        <v/>
      </c>
      <c r="U68">
        <f t="array" ref="U68">IF(
    ISNUMBER(VALUE(LEFT($A68, 1))),
    "",
    IFERROR(IF(_xlfn.XLOOKUP($A68, INDIRECT("'" &amp; U$2 &amp; "'!$A:$A"), INDIRECT("'" &amp; U$2 &amp; "'!$B:$B"), "")&lt;&gt;"", "✓", "✗"), "✗")
)</f>
        <v/>
      </c>
      <c r="V68">
        <f t="array" ref="V68">IF(
    ISNUMBER(VALUE(LEFT($A68, 1))),
    "",
    IFERROR(IF(_xlfn.XLOOKUP($A68, INDIRECT("'" &amp; V$2 &amp; "'!$A:$A"), INDIRECT("'" &amp; V$2 &amp; "'!$B:$B"), "")&lt;&gt;"", "✓", "✗"), "✗")
)</f>
        <v/>
      </c>
      <c r="W68">
        <f t="array" ref="W68">IF(
    ISNUMBER(VALUE(LEFT($A68, 1))),
    "",
    IFERROR(IF(_xlfn.XLOOKUP($A68, INDIRECT("'" &amp; W$2 &amp; "'!$A:$A"), INDIRECT("'" &amp; W$2 &amp; "'!$B:$B"), "")&lt;&gt;"", "✓", "✗"), "✗")
)</f>
        <v/>
      </c>
      <c r="X68">
        <f t="array" ref="X68">IF(
    ISNUMBER(VALUE(LEFT($A68, 1))),
    "",
    IFERROR(IF(_xlfn.XLOOKUP($A68, INDIRECT("'" &amp; X$2 &amp; "'!$A:$A"), INDIRECT("'" &amp; X$2 &amp; "'!$B:$B"), "")&lt;&gt;"", "✓", "✗"), "✗")
)</f>
        <v/>
      </c>
      <c r="Y68">
        <f t="array" ref="Y68">IF(
    ISNUMBER(VALUE(LEFT($A68, 1))),
    "",
    IFERROR(IF(_xlfn.XLOOKUP($A68, INDIRECT("'" &amp; Y$2 &amp; "'!$A:$A"), INDIRECT("'" &amp; Y$2 &amp; "'!$B:$B"), "")&lt;&gt;"", "✓", "✗"), "✗")
)</f>
        <v/>
      </c>
      <c r="Z68">
        <f t="array" ref="Z68">IF(
    ISNUMBER(VALUE(LEFT($A68, 1))),
    "",
    IFERROR(IF(_xlfn.XLOOKUP($A68, INDIRECT("'" &amp; Z$2 &amp; "'!$A:$A"), INDIRECT("'" &amp; Z$2 &amp; "'!$B:$B"), "")&lt;&gt;"", "✓", "✗"), "✗")
)</f>
        <v/>
      </c>
      <c r="AA68">
        <f t="array" ref="AA68">IF(
    ISNUMBER(VALUE(LEFT($A68, 1))),
    "",
    IFERROR(IF(_xlfn.XLOOKUP($A68, INDIRECT("'" &amp; AA$2 &amp; "'!$A:$A"), INDIRECT("'" &amp; AA$2 &amp; "'!$B:$B"), "")&lt;&gt;"", "✓", "✗"), "✗")
)</f>
        <v/>
      </c>
      <c r="AB68">
        <f t="array" ref="AB68">IF(
    ISNUMBER(VALUE(LEFT($A68, 1))),
    "",
    IFERROR(IF(_xlfn.XLOOKUP($A68, INDIRECT("'" &amp; AB$2 &amp; "'!$A:$A"), INDIRECT("'" &amp; AB$2 &amp; "'!$B:$B"), "")&lt;&gt;"", "✓", "✗"), "✗")
)</f>
        <v/>
      </c>
      <c r="AC68">
        <f t="array" ref="AC68">IF(
    ISNUMBER(VALUE(LEFT($A68, 1))),
    "",
    IFERROR(IF(_xlfn.XLOOKUP($A68, INDIRECT("'" &amp; AC$2 &amp; "'!$A:$A"), INDIRECT("'" &amp; AC$2 &amp; "'!$B:$B"), "")&lt;&gt;"", "✓", "✗"), "✗")
)</f>
        <v/>
      </c>
      <c r="AD68">
        <f t="array" ref="AD68">IF(
    ISNUMBER(VALUE(LEFT($A68, 1))),
    "",
    IFERROR(IF(_xlfn.XLOOKUP($A68, INDIRECT("'" &amp; AD$2 &amp; "'!$A:$A"), INDIRECT("'" &amp; AD$2 &amp; "'!$B:$B"), "")&lt;&gt;"", "✓", "✗"), "✗")
)</f>
        <v/>
      </c>
      <c r="AE68">
        <f t="array" ref="AE68">IF(
    ISNUMBER(VALUE(LEFT($A68, 1))),
    "",
    IFERROR(IF(_xlfn.XLOOKUP($A68, INDIRECT("'" &amp; AE$2 &amp; "'!$A:$A"), INDIRECT("'" &amp; AE$2 &amp; "'!$B:$B"), "")&lt;&gt;"", "✓", "✗"), "✗")
)</f>
        <v/>
      </c>
      <c r="AF68">
        <f t="array" ref="AF68">IF(
    ISNUMBER(VALUE(LEFT($A68, 1))),
    "",
    IFERROR(IF(_xlfn.XLOOKUP($A68, INDIRECT("'" &amp; AF$2 &amp; "'!$A:$A"), INDIRECT("'" &amp; AF$2 &amp; "'!$B:$B"), "")&lt;&gt;"", "✓", "✗"), "✗")
)</f>
        <v/>
      </c>
      <c r="AG68">
        <f t="array" ref="AG68">IF(
    ISNUMBER(VALUE(LEFT($A68, 1))),
    "",
    IFERROR(IF(_xlfn.XLOOKUP($A68, INDIRECT("'" &amp; AG$2 &amp; "'!$A:$A"), INDIRECT("'" &amp; AG$2 &amp; "'!$B:$B"), "")&lt;&gt;"", "✓", "✗"), "✗")
)</f>
        <v/>
      </c>
    </row>
    <row r="69">
      <c r="A69" t="inlineStr">
        <is>
          <t>Primary Technology</t>
        </is>
      </c>
      <c r="B69">
        <f t="array" ref="B69">IF(
    ISNUMBER(VALUE(LEFT($A69, 1))),
    "",
    IFERROR(IF(_xlfn.XLOOKUP($A69, INDIRECT("'" &amp; B$2 &amp; "'!$A:$A"), INDIRECT("'" &amp; B$2 &amp; "'!$B:$B"), "")&lt;&gt;"", "✓", "✗"), "✗")
)</f>
        <v/>
      </c>
      <c r="C69">
        <f t="array" ref="C69">IF(
    ISNUMBER(VALUE(LEFT($A69, 1))),
    "",
    IFERROR(IF(_xlfn.XLOOKUP($A69, INDIRECT("'" &amp; C$2 &amp; "'!$A:$A"), INDIRECT("'" &amp; C$2 &amp; "'!$B:$B"), "")&lt;&gt;"", "✓", "✗"), "✗")
)</f>
        <v/>
      </c>
      <c r="D69">
        <f t="array" ref="D69">IF(
    ISNUMBER(VALUE(LEFT($A69, 1))),
    "",
    IFERROR(IF(_xlfn.XLOOKUP($A69, INDIRECT("'" &amp; D$2 &amp; "'!$A:$A"), INDIRECT("'" &amp; D$2 &amp; "'!$B:$B"), "")&lt;&gt;"", "✓", "✗"), "✗")
)</f>
        <v/>
      </c>
      <c r="E69">
        <f t="array" ref="E69">IF(
    ISNUMBER(VALUE(LEFT($A69, 1))),
    "",
    IFERROR(IF(_xlfn.XLOOKUP($A69, INDIRECT("'" &amp; E$2 &amp; "'!$A:$A"), INDIRECT("'" &amp; E$2 &amp; "'!$B:$B"), "")&lt;&gt;"", "✓", "✗"), "✗")
)</f>
        <v/>
      </c>
      <c r="F69">
        <f t="array" ref="F69">IF(
    ISNUMBER(VALUE(LEFT($A69, 1))),
    "",
    IFERROR(IF(_xlfn.XLOOKUP($A69, INDIRECT("'" &amp; F$2 &amp; "'!$A:$A"), INDIRECT("'" &amp; F$2 &amp; "'!$B:$B"), "")&lt;&gt;"", "✓", "✗"), "✗")
)</f>
        <v/>
      </c>
      <c r="G69">
        <f t="array" ref="G69">IF(
    ISNUMBER(VALUE(LEFT($A69, 1))),
    "",
    IFERROR(IF(_xlfn.XLOOKUP($A69, INDIRECT("'" &amp; G$2 &amp; "'!$A:$A"), INDIRECT("'" &amp; G$2 &amp; "'!$B:$B"), "")&lt;&gt;"", "✓", "✗"), "✗")
)</f>
        <v/>
      </c>
      <c r="H69">
        <f t="array" ref="H69">IF(
    ISNUMBER(VALUE(LEFT($A69, 1))),
    "",
    IFERROR(IF(_xlfn.XLOOKUP($A69, INDIRECT("'" &amp; H$2 &amp; "'!$A:$A"), INDIRECT("'" &amp; H$2 &amp; "'!$B:$B"), "")&lt;&gt;"", "✓", "✗"), "✗")
)</f>
        <v/>
      </c>
      <c r="I69">
        <f t="array" ref="I69">IF(
    ISNUMBER(VALUE(LEFT($A69, 1))),
    "",
    IFERROR(IF(_xlfn.XLOOKUP($A69, INDIRECT("'" &amp; I$2 &amp; "'!$A:$A"), INDIRECT("'" &amp; I$2 &amp; "'!$B:$B"), "")&lt;&gt;"", "✓", "✗"), "✗")
)</f>
        <v/>
      </c>
      <c r="J69">
        <f t="array" ref="J69">IF(
    ISNUMBER(VALUE(LEFT($A69, 1))),
    "",
    IFERROR(IF(_xlfn.XLOOKUP($A69, INDIRECT("'" &amp; J$2 &amp; "'!$A:$A"), INDIRECT("'" &amp; J$2 &amp; "'!$B:$B"), "")&lt;&gt;"", "✓", "✗"), "✗")
)</f>
        <v/>
      </c>
      <c r="K69">
        <f t="array" ref="K69">IF(
    ISNUMBER(VALUE(LEFT($A69, 1))),
    "",
    IFERROR(IF(_xlfn.XLOOKUP($A69, INDIRECT("'" &amp; K$2 &amp; "'!$A:$A"), INDIRECT("'" &amp; K$2 &amp; "'!$B:$B"), "")&lt;&gt;"", "✓", "✗"), "✗")
)</f>
        <v/>
      </c>
      <c r="L69">
        <f t="array" ref="L69">IF(
    ISNUMBER(VALUE(LEFT($A69, 1))),
    "",
    IFERROR(IF(_xlfn.XLOOKUP($A69, INDIRECT("'" &amp; L$2 &amp; "'!$A:$A"), INDIRECT("'" &amp; L$2 &amp; "'!$B:$B"), "")&lt;&gt;"", "✓", "✗"), "✗")
)</f>
        <v/>
      </c>
      <c r="M69">
        <f t="array" ref="M69">IF(
    ISNUMBER(VALUE(LEFT($A69, 1))),
    "",
    IFERROR(IF(_xlfn.XLOOKUP($A69, INDIRECT("'" &amp; M$2 &amp; "'!$A:$A"), INDIRECT("'" &amp; M$2 &amp; "'!$B:$B"), "")&lt;&gt;"", "✓", "✗"), "✗")
)</f>
        <v/>
      </c>
      <c r="N69">
        <f t="array" ref="N69">IF(
    ISNUMBER(VALUE(LEFT($A69, 1))),
    "",
    IFERROR(IF(_xlfn.XLOOKUP($A69, INDIRECT("'" &amp; N$2 &amp; "'!$A:$A"), INDIRECT("'" &amp; N$2 &amp; "'!$B:$B"), "")&lt;&gt;"", "✓", "✗"), "✗")
)</f>
        <v/>
      </c>
      <c r="O69">
        <f t="array" ref="O69">IF(
    ISNUMBER(VALUE(LEFT($A69, 1))),
    "",
    IFERROR(IF(_xlfn.XLOOKUP($A69, INDIRECT("'" &amp; O$2 &amp; "'!$A:$A"), INDIRECT("'" &amp; O$2 &amp; "'!$B:$B"), "")&lt;&gt;"", "✓", "✗"), "✗")
)</f>
        <v/>
      </c>
      <c r="P69">
        <f t="array" ref="P69">IF(
    ISNUMBER(VALUE(LEFT($A69, 1))),
    "",
    IFERROR(IF(_xlfn.XLOOKUP($A69, INDIRECT("'" &amp; P$2 &amp; "'!$A:$A"), INDIRECT("'" &amp; P$2 &amp; "'!$B:$B"), "")&lt;&gt;"", "✓", "✗"), "✗")
)</f>
        <v/>
      </c>
      <c r="Q69">
        <f t="array" ref="Q69">IF(
    ISNUMBER(VALUE(LEFT($A69, 1))),
    "",
    IFERROR(IF(_xlfn.XLOOKUP($A69, INDIRECT("'" &amp; Q$2 &amp; "'!$A:$A"), INDIRECT("'" &amp; Q$2 &amp; "'!$B:$B"), "")&lt;&gt;"", "✓", "✗"), "✗")
)</f>
        <v/>
      </c>
      <c r="R69">
        <f t="array" ref="R69">IF(
    ISNUMBER(VALUE(LEFT($A69, 1))),
    "",
    IFERROR(IF(_xlfn.XLOOKUP($A69, INDIRECT("'" &amp; R$2 &amp; "'!$A:$A"), INDIRECT("'" &amp; R$2 &amp; "'!$B:$B"), "")&lt;&gt;"", "✓", "✗"), "✗")
)</f>
        <v/>
      </c>
      <c r="S69">
        <f t="array" ref="S69">IF(
    ISNUMBER(VALUE(LEFT($A69, 1))),
    "",
    IFERROR(IF(_xlfn.XLOOKUP($A69, INDIRECT("'" &amp; S$2 &amp; "'!$A:$A"), INDIRECT("'" &amp; S$2 &amp; "'!$B:$B"), "")&lt;&gt;"", "✓", "✗"), "✗")
)</f>
        <v/>
      </c>
      <c r="T69">
        <f t="array" ref="T69">IF(
    ISNUMBER(VALUE(LEFT($A69, 1))),
    "",
    IFERROR(IF(_xlfn.XLOOKUP($A69, INDIRECT("'" &amp; T$2 &amp; "'!$A:$A"), INDIRECT("'" &amp; T$2 &amp; "'!$B:$B"), "")&lt;&gt;"", "✓", "✗"), "✗")
)</f>
        <v/>
      </c>
      <c r="U69">
        <f t="array" ref="U69">IF(
    ISNUMBER(VALUE(LEFT($A69, 1))),
    "",
    IFERROR(IF(_xlfn.XLOOKUP($A69, INDIRECT("'" &amp; U$2 &amp; "'!$A:$A"), INDIRECT("'" &amp; U$2 &amp; "'!$B:$B"), "")&lt;&gt;"", "✓", "✗"), "✗")
)</f>
        <v/>
      </c>
      <c r="V69">
        <f t="array" ref="V69">IF(
    ISNUMBER(VALUE(LEFT($A69, 1))),
    "",
    IFERROR(IF(_xlfn.XLOOKUP($A69, INDIRECT("'" &amp; V$2 &amp; "'!$A:$A"), INDIRECT("'" &amp; V$2 &amp; "'!$B:$B"), "")&lt;&gt;"", "✓", "✗"), "✗")
)</f>
        <v/>
      </c>
      <c r="W69">
        <f t="array" ref="W69">IF(
    ISNUMBER(VALUE(LEFT($A69, 1))),
    "",
    IFERROR(IF(_xlfn.XLOOKUP($A69, INDIRECT("'" &amp; W$2 &amp; "'!$A:$A"), INDIRECT("'" &amp; W$2 &amp; "'!$B:$B"), "")&lt;&gt;"", "✓", "✗"), "✗")
)</f>
        <v/>
      </c>
      <c r="X69">
        <f t="array" ref="X69">IF(
    ISNUMBER(VALUE(LEFT($A69, 1))),
    "",
    IFERROR(IF(_xlfn.XLOOKUP($A69, INDIRECT("'" &amp; X$2 &amp; "'!$A:$A"), INDIRECT("'" &amp; X$2 &amp; "'!$B:$B"), "")&lt;&gt;"", "✓", "✗"), "✗")
)</f>
        <v/>
      </c>
      <c r="Y69">
        <f t="array" ref="Y69">IF(
    ISNUMBER(VALUE(LEFT($A69, 1))),
    "",
    IFERROR(IF(_xlfn.XLOOKUP($A69, INDIRECT("'" &amp; Y$2 &amp; "'!$A:$A"), INDIRECT("'" &amp; Y$2 &amp; "'!$B:$B"), "")&lt;&gt;"", "✓", "✗"), "✗")
)</f>
        <v/>
      </c>
      <c r="Z69">
        <f t="array" ref="Z69">IF(
    ISNUMBER(VALUE(LEFT($A69, 1))),
    "",
    IFERROR(IF(_xlfn.XLOOKUP($A69, INDIRECT("'" &amp; Z$2 &amp; "'!$A:$A"), INDIRECT("'" &amp; Z$2 &amp; "'!$B:$B"), "")&lt;&gt;"", "✓", "✗"), "✗")
)</f>
        <v/>
      </c>
      <c r="AA69">
        <f t="array" ref="AA69">IF(
    ISNUMBER(VALUE(LEFT($A69, 1))),
    "",
    IFERROR(IF(_xlfn.XLOOKUP($A69, INDIRECT("'" &amp; AA$2 &amp; "'!$A:$A"), INDIRECT("'" &amp; AA$2 &amp; "'!$B:$B"), "")&lt;&gt;"", "✓", "✗"), "✗")
)</f>
        <v/>
      </c>
      <c r="AB69">
        <f t="array" ref="AB69">IF(
    ISNUMBER(VALUE(LEFT($A69, 1))),
    "",
    IFERROR(IF(_xlfn.XLOOKUP($A69, INDIRECT("'" &amp; AB$2 &amp; "'!$A:$A"), INDIRECT("'" &amp; AB$2 &amp; "'!$B:$B"), "")&lt;&gt;"", "✓", "✗"), "✗")
)</f>
        <v/>
      </c>
      <c r="AC69">
        <f t="array" ref="AC69">IF(
    ISNUMBER(VALUE(LEFT($A69, 1))),
    "",
    IFERROR(IF(_xlfn.XLOOKUP($A69, INDIRECT("'" &amp; AC$2 &amp; "'!$A:$A"), INDIRECT("'" &amp; AC$2 &amp; "'!$B:$B"), "")&lt;&gt;"", "✓", "✗"), "✗")
)</f>
        <v/>
      </c>
      <c r="AD69">
        <f t="array" ref="AD69">IF(
    ISNUMBER(VALUE(LEFT($A69, 1))),
    "",
    IFERROR(IF(_xlfn.XLOOKUP($A69, INDIRECT("'" &amp; AD$2 &amp; "'!$A:$A"), INDIRECT("'" &amp; AD$2 &amp; "'!$B:$B"), "")&lt;&gt;"", "✓", "✗"), "✗")
)</f>
        <v/>
      </c>
      <c r="AE69">
        <f t="array" ref="AE69">IF(
    ISNUMBER(VALUE(LEFT($A69, 1))),
    "",
    IFERROR(IF(_xlfn.XLOOKUP($A69, INDIRECT("'" &amp; AE$2 &amp; "'!$A:$A"), INDIRECT("'" &amp; AE$2 &amp; "'!$B:$B"), "")&lt;&gt;"", "✓", "✗"), "✗")
)</f>
        <v/>
      </c>
      <c r="AF69">
        <f t="array" ref="AF69">IF(
    ISNUMBER(VALUE(LEFT($A69, 1))),
    "",
    IFERROR(IF(_xlfn.XLOOKUP($A69, INDIRECT("'" &amp; AF$2 &amp; "'!$A:$A"), INDIRECT("'" &amp; AF$2 &amp; "'!$B:$B"), "")&lt;&gt;"", "✓", "✗"), "✗")
)</f>
        <v/>
      </c>
      <c r="AG69">
        <f t="array" ref="AG69">IF(
    ISNUMBER(VALUE(LEFT($A69, 1))),
    "",
    IFERROR(IF(_xlfn.XLOOKUP($A69, INDIRECT("'" &amp; AG$2 &amp; "'!$A:$A"), INDIRECT("'" &amp; AG$2 &amp; "'!$B:$B"), "")&lt;&gt;"", "✓", "✗"), "✗")
)</f>
        <v/>
      </c>
    </row>
    <row r="70">
      <c r="A70" t="inlineStr">
        <is>
          <t>Campaign</t>
        </is>
      </c>
      <c r="B70">
        <f t="array" ref="B70">IF(
    ISNUMBER(VALUE(LEFT($A70, 1))),
    "",
    IFERROR(IF(_xlfn.XLOOKUP($A70, INDIRECT("'" &amp; B$2 &amp; "'!$A:$A"), INDIRECT("'" &amp; B$2 &amp; "'!$B:$B"), "")&lt;&gt;"", "✓", "✗"), "✗")
)</f>
        <v/>
      </c>
      <c r="C70">
        <f t="array" ref="C70">IF(
    ISNUMBER(VALUE(LEFT($A70, 1))),
    "",
    IFERROR(IF(_xlfn.XLOOKUP($A70, INDIRECT("'" &amp; C$2 &amp; "'!$A:$A"), INDIRECT("'" &amp; C$2 &amp; "'!$B:$B"), "")&lt;&gt;"", "✓", "✗"), "✗")
)</f>
        <v/>
      </c>
      <c r="D70">
        <f t="array" ref="D70">IF(
    ISNUMBER(VALUE(LEFT($A70, 1))),
    "",
    IFERROR(IF(_xlfn.XLOOKUP($A70, INDIRECT("'" &amp; D$2 &amp; "'!$A:$A"), INDIRECT("'" &amp; D$2 &amp; "'!$B:$B"), "")&lt;&gt;"", "✓", "✗"), "✗")
)</f>
        <v/>
      </c>
      <c r="E70">
        <f t="array" ref="E70">IF(
    ISNUMBER(VALUE(LEFT($A70, 1))),
    "",
    IFERROR(IF(_xlfn.XLOOKUP($A70, INDIRECT("'" &amp; E$2 &amp; "'!$A:$A"), INDIRECT("'" &amp; E$2 &amp; "'!$B:$B"), "")&lt;&gt;"", "✓", "✗"), "✗")
)</f>
        <v/>
      </c>
      <c r="F70">
        <f t="array" ref="F70">IF(
    ISNUMBER(VALUE(LEFT($A70, 1))),
    "",
    IFERROR(IF(_xlfn.XLOOKUP($A70, INDIRECT("'" &amp; F$2 &amp; "'!$A:$A"), INDIRECT("'" &amp; F$2 &amp; "'!$B:$B"), "")&lt;&gt;"", "✓", "✗"), "✗")
)</f>
        <v/>
      </c>
      <c r="G70">
        <f t="array" ref="G70">IF(
    ISNUMBER(VALUE(LEFT($A70, 1))),
    "",
    IFERROR(IF(_xlfn.XLOOKUP($A70, INDIRECT("'" &amp; G$2 &amp; "'!$A:$A"), INDIRECT("'" &amp; G$2 &amp; "'!$B:$B"), "")&lt;&gt;"", "✓", "✗"), "✗")
)</f>
        <v/>
      </c>
      <c r="H70">
        <f t="array" ref="H70">IF(
    ISNUMBER(VALUE(LEFT($A70, 1))),
    "",
    IFERROR(IF(_xlfn.XLOOKUP($A70, INDIRECT("'" &amp; H$2 &amp; "'!$A:$A"), INDIRECT("'" &amp; H$2 &amp; "'!$B:$B"), "")&lt;&gt;"", "✓", "✗"), "✗")
)</f>
        <v/>
      </c>
      <c r="I70">
        <f t="array" ref="I70">IF(
    ISNUMBER(VALUE(LEFT($A70, 1))),
    "",
    IFERROR(IF(_xlfn.XLOOKUP($A70, INDIRECT("'" &amp; I$2 &amp; "'!$A:$A"), INDIRECT("'" &amp; I$2 &amp; "'!$B:$B"), "")&lt;&gt;"", "✓", "✗"), "✗")
)</f>
        <v/>
      </c>
      <c r="J70">
        <f t="array" ref="J70">IF(
    ISNUMBER(VALUE(LEFT($A70, 1))),
    "",
    IFERROR(IF(_xlfn.XLOOKUP($A70, INDIRECT("'" &amp; J$2 &amp; "'!$A:$A"), INDIRECT("'" &amp; J$2 &amp; "'!$B:$B"), "")&lt;&gt;"", "✓", "✗"), "✗")
)</f>
        <v/>
      </c>
      <c r="K70">
        <f t="array" ref="K70">IF(
    ISNUMBER(VALUE(LEFT($A70, 1))),
    "",
    IFERROR(IF(_xlfn.XLOOKUP($A70, INDIRECT("'" &amp; K$2 &amp; "'!$A:$A"), INDIRECT("'" &amp; K$2 &amp; "'!$B:$B"), "")&lt;&gt;"", "✓", "✗"), "✗")
)</f>
        <v/>
      </c>
      <c r="L70">
        <f t="array" ref="L70">IF(
    ISNUMBER(VALUE(LEFT($A70, 1))),
    "",
    IFERROR(IF(_xlfn.XLOOKUP($A70, INDIRECT("'" &amp; L$2 &amp; "'!$A:$A"), INDIRECT("'" &amp; L$2 &amp; "'!$B:$B"), "")&lt;&gt;"", "✓", "✗"), "✗")
)</f>
        <v/>
      </c>
      <c r="M70">
        <f t="array" ref="M70">IF(
    ISNUMBER(VALUE(LEFT($A70, 1))),
    "",
    IFERROR(IF(_xlfn.XLOOKUP($A70, INDIRECT("'" &amp; M$2 &amp; "'!$A:$A"), INDIRECT("'" &amp; M$2 &amp; "'!$B:$B"), "")&lt;&gt;"", "✓", "✗"), "✗")
)</f>
        <v/>
      </c>
      <c r="N70">
        <f t="array" ref="N70">IF(
    ISNUMBER(VALUE(LEFT($A70, 1))),
    "",
    IFERROR(IF(_xlfn.XLOOKUP($A70, INDIRECT("'" &amp; N$2 &amp; "'!$A:$A"), INDIRECT("'" &amp; N$2 &amp; "'!$B:$B"), "")&lt;&gt;"", "✓", "✗"), "✗")
)</f>
        <v/>
      </c>
      <c r="O70">
        <f t="array" ref="O70">IF(
    ISNUMBER(VALUE(LEFT($A70, 1))),
    "",
    IFERROR(IF(_xlfn.XLOOKUP($A70, INDIRECT("'" &amp; O$2 &amp; "'!$A:$A"), INDIRECT("'" &amp; O$2 &amp; "'!$B:$B"), "")&lt;&gt;"", "✓", "✗"), "✗")
)</f>
        <v/>
      </c>
      <c r="P70">
        <f t="array" ref="P70">IF(
    ISNUMBER(VALUE(LEFT($A70, 1))),
    "",
    IFERROR(IF(_xlfn.XLOOKUP($A70, INDIRECT("'" &amp; P$2 &amp; "'!$A:$A"), INDIRECT("'" &amp; P$2 &amp; "'!$B:$B"), "")&lt;&gt;"", "✓", "✗"), "✗")
)</f>
        <v/>
      </c>
      <c r="Q70">
        <f t="array" ref="Q70">IF(
    ISNUMBER(VALUE(LEFT($A70, 1))),
    "",
    IFERROR(IF(_xlfn.XLOOKUP($A70, INDIRECT("'" &amp; Q$2 &amp; "'!$A:$A"), INDIRECT("'" &amp; Q$2 &amp; "'!$B:$B"), "")&lt;&gt;"", "✓", "✗"), "✗")
)</f>
        <v/>
      </c>
      <c r="R70">
        <f t="array" ref="R70">IF(
    ISNUMBER(VALUE(LEFT($A70, 1))),
    "",
    IFERROR(IF(_xlfn.XLOOKUP($A70, INDIRECT("'" &amp; R$2 &amp; "'!$A:$A"), INDIRECT("'" &amp; R$2 &amp; "'!$B:$B"), "")&lt;&gt;"", "✓", "✗"), "✗")
)</f>
        <v/>
      </c>
      <c r="S70">
        <f t="array" ref="S70">IF(
    ISNUMBER(VALUE(LEFT($A70, 1))),
    "",
    IFERROR(IF(_xlfn.XLOOKUP($A70, INDIRECT("'" &amp; S$2 &amp; "'!$A:$A"), INDIRECT("'" &amp; S$2 &amp; "'!$B:$B"), "")&lt;&gt;"", "✓", "✗"), "✗")
)</f>
        <v/>
      </c>
      <c r="T70">
        <f t="array" ref="T70">IF(
    ISNUMBER(VALUE(LEFT($A70, 1))),
    "",
    IFERROR(IF(_xlfn.XLOOKUP($A70, INDIRECT("'" &amp; T$2 &amp; "'!$A:$A"), INDIRECT("'" &amp; T$2 &amp; "'!$B:$B"), "")&lt;&gt;"", "✓", "✗"), "✗")
)</f>
        <v/>
      </c>
      <c r="U70">
        <f t="array" ref="U70">IF(
    ISNUMBER(VALUE(LEFT($A70, 1))),
    "",
    IFERROR(IF(_xlfn.XLOOKUP($A70, INDIRECT("'" &amp; U$2 &amp; "'!$A:$A"), INDIRECT("'" &amp; U$2 &amp; "'!$B:$B"), "")&lt;&gt;"", "✓", "✗"), "✗")
)</f>
        <v/>
      </c>
      <c r="V70">
        <f t="array" ref="V70">IF(
    ISNUMBER(VALUE(LEFT($A70, 1))),
    "",
    IFERROR(IF(_xlfn.XLOOKUP($A70, INDIRECT("'" &amp; V$2 &amp; "'!$A:$A"), INDIRECT("'" &amp; V$2 &amp; "'!$B:$B"), "")&lt;&gt;"", "✓", "✗"), "✗")
)</f>
        <v/>
      </c>
      <c r="W70">
        <f t="array" ref="W70">IF(
    ISNUMBER(VALUE(LEFT($A70, 1))),
    "",
    IFERROR(IF(_xlfn.XLOOKUP($A70, INDIRECT("'" &amp; W$2 &amp; "'!$A:$A"), INDIRECT("'" &amp; W$2 &amp; "'!$B:$B"), "")&lt;&gt;"", "✓", "✗"), "✗")
)</f>
        <v/>
      </c>
      <c r="X70">
        <f t="array" ref="X70">IF(
    ISNUMBER(VALUE(LEFT($A70, 1))),
    "",
    IFERROR(IF(_xlfn.XLOOKUP($A70, INDIRECT("'" &amp; X$2 &amp; "'!$A:$A"), INDIRECT("'" &amp; X$2 &amp; "'!$B:$B"), "")&lt;&gt;"", "✓", "✗"), "✗")
)</f>
        <v/>
      </c>
      <c r="Y70">
        <f t="array" ref="Y70">IF(
    ISNUMBER(VALUE(LEFT($A70, 1))),
    "",
    IFERROR(IF(_xlfn.XLOOKUP($A70, INDIRECT("'" &amp; Y$2 &amp; "'!$A:$A"), INDIRECT("'" &amp; Y$2 &amp; "'!$B:$B"), "")&lt;&gt;"", "✓", "✗"), "✗")
)</f>
        <v/>
      </c>
      <c r="Z70">
        <f t="array" ref="Z70">IF(
    ISNUMBER(VALUE(LEFT($A70, 1))),
    "",
    IFERROR(IF(_xlfn.XLOOKUP($A70, INDIRECT("'" &amp; Z$2 &amp; "'!$A:$A"), INDIRECT("'" &amp; Z$2 &amp; "'!$B:$B"), "")&lt;&gt;"", "✓", "✗"), "✗")
)</f>
        <v/>
      </c>
      <c r="AA70">
        <f t="array" ref="AA70">IF(
    ISNUMBER(VALUE(LEFT($A70, 1))),
    "",
    IFERROR(IF(_xlfn.XLOOKUP($A70, INDIRECT("'" &amp; AA$2 &amp; "'!$A:$A"), INDIRECT("'" &amp; AA$2 &amp; "'!$B:$B"), "")&lt;&gt;"", "✓", "✗"), "✗")
)</f>
        <v/>
      </c>
      <c r="AB70">
        <f t="array" ref="AB70">IF(
    ISNUMBER(VALUE(LEFT($A70, 1))),
    "",
    IFERROR(IF(_xlfn.XLOOKUP($A70, INDIRECT("'" &amp; AB$2 &amp; "'!$A:$A"), INDIRECT("'" &amp; AB$2 &amp; "'!$B:$B"), "")&lt;&gt;"", "✓", "✗"), "✗")
)</f>
        <v/>
      </c>
      <c r="AC70">
        <f t="array" ref="AC70">IF(
    ISNUMBER(VALUE(LEFT($A70, 1))),
    "",
    IFERROR(IF(_xlfn.XLOOKUP($A70, INDIRECT("'" &amp; AC$2 &amp; "'!$A:$A"), INDIRECT("'" &amp; AC$2 &amp; "'!$B:$B"), "")&lt;&gt;"", "✓", "✗"), "✗")
)</f>
        <v/>
      </c>
      <c r="AD70">
        <f t="array" ref="AD70">IF(
    ISNUMBER(VALUE(LEFT($A70, 1))),
    "",
    IFERROR(IF(_xlfn.XLOOKUP($A70, INDIRECT("'" &amp; AD$2 &amp; "'!$A:$A"), INDIRECT("'" &amp; AD$2 &amp; "'!$B:$B"), "")&lt;&gt;"", "✓", "✗"), "✗")
)</f>
        <v/>
      </c>
      <c r="AE70">
        <f t="array" ref="AE70">IF(
    ISNUMBER(VALUE(LEFT($A70, 1))),
    "",
    IFERROR(IF(_xlfn.XLOOKUP($A70, INDIRECT("'" &amp; AE$2 &amp; "'!$A:$A"), INDIRECT("'" &amp; AE$2 &amp; "'!$B:$B"), "")&lt;&gt;"", "✓", "✗"), "✗")
)</f>
        <v/>
      </c>
      <c r="AF70">
        <f t="array" ref="AF70">IF(
    ISNUMBER(VALUE(LEFT($A70, 1))),
    "",
    IFERROR(IF(_xlfn.XLOOKUP($A70, INDIRECT("'" &amp; AF$2 &amp; "'!$A:$A"), INDIRECT("'" &amp; AF$2 &amp; "'!$B:$B"), "")&lt;&gt;"", "✓", "✗"), "✗")
)</f>
        <v/>
      </c>
      <c r="AG70">
        <f t="array" ref="AG70">IF(
    ISNUMBER(VALUE(LEFT($A70, 1))),
    "",
    IFERROR(IF(_xlfn.XLOOKUP($A70, INDIRECT("'" &amp; AG$2 &amp; "'!$A:$A"), INDIRECT("'" &amp; AG$2 &amp; "'!$B:$B"), "")&lt;&gt;"", "✓", "✗"), "✗")
)</f>
        <v/>
      </c>
    </row>
    <row r="71">
      <c r="A71" t="inlineStr">
        <is>
          <t>Program</t>
        </is>
      </c>
      <c r="B71">
        <f t="array" ref="B71">IF(
    ISNUMBER(VALUE(LEFT($A71, 1))),
    "",
    IFERROR(IF(_xlfn.XLOOKUP($A71, INDIRECT("'" &amp; B$2 &amp; "'!$A:$A"), INDIRECT("'" &amp; B$2 &amp; "'!$B:$B"), "")&lt;&gt;"", "✓", "✗"), "✗")
)</f>
        <v/>
      </c>
      <c r="C71">
        <f t="array" ref="C71">IF(
    ISNUMBER(VALUE(LEFT($A71, 1))),
    "",
    IFERROR(IF(_xlfn.XLOOKUP($A71, INDIRECT("'" &amp; C$2 &amp; "'!$A:$A"), INDIRECT("'" &amp; C$2 &amp; "'!$B:$B"), "")&lt;&gt;"", "✓", "✗"), "✗")
)</f>
        <v/>
      </c>
      <c r="D71">
        <f t="array" ref="D71">IF(
    ISNUMBER(VALUE(LEFT($A71, 1))),
    "",
    IFERROR(IF(_xlfn.XLOOKUP($A71, INDIRECT("'" &amp; D$2 &amp; "'!$A:$A"), INDIRECT("'" &amp; D$2 &amp; "'!$B:$B"), "")&lt;&gt;"", "✓", "✗"), "✗")
)</f>
        <v/>
      </c>
      <c r="E71">
        <f t="array" ref="E71">IF(
    ISNUMBER(VALUE(LEFT($A71, 1))),
    "",
    IFERROR(IF(_xlfn.XLOOKUP($A71, INDIRECT("'" &amp; E$2 &amp; "'!$A:$A"), INDIRECT("'" &amp; E$2 &amp; "'!$B:$B"), "")&lt;&gt;"", "✓", "✗"), "✗")
)</f>
        <v/>
      </c>
      <c r="F71">
        <f t="array" ref="F71">IF(
    ISNUMBER(VALUE(LEFT($A71, 1))),
    "",
    IFERROR(IF(_xlfn.XLOOKUP($A71, INDIRECT("'" &amp; F$2 &amp; "'!$A:$A"), INDIRECT("'" &amp; F$2 &amp; "'!$B:$B"), "")&lt;&gt;"", "✓", "✗"), "✗")
)</f>
        <v/>
      </c>
      <c r="G71">
        <f t="array" ref="G71">IF(
    ISNUMBER(VALUE(LEFT($A71, 1))),
    "",
    IFERROR(IF(_xlfn.XLOOKUP($A71, INDIRECT("'" &amp; G$2 &amp; "'!$A:$A"), INDIRECT("'" &amp; G$2 &amp; "'!$B:$B"), "")&lt;&gt;"", "✓", "✗"), "✗")
)</f>
        <v/>
      </c>
      <c r="H71">
        <f t="array" ref="H71">IF(
    ISNUMBER(VALUE(LEFT($A71, 1))),
    "",
    IFERROR(IF(_xlfn.XLOOKUP($A71, INDIRECT("'" &amp; H$2 &amp; "'!$A:$A"), INDIRECT("'" &amp; H$2 &amp; "'!$B:$B"), "")&lt;&gt;"", "✓", "✗"), "✗")
)</f>
        <v/>
      </c>
      <c r="I71">
        <f t="array" ref="I71">IF(
    ISNUMBER(VALUE(LEFT($A71, 1))),
    "",
    IFERROR(IF(_xlfn.XLOOKUP($A71, INDIRECT("'" &amp; I$2 &amp; "'!$A:$A"), INDIRECT("'" &amp; I$2 &amp; "'!$B:$B"), "")&lt;&gt;"", "✓", "✗"), "✗")
)</f>
        <v/>
      </c>
      <c r="J71">
        <f t="array" ref="J71">IF(
    ISNUMBER(VALUE(LEFT($A71, 1))),
    "",
    IFERROR(IF(_xlfn.XLOOKUP($A71, INDIRECT("'" &amp; J$2 &amp; "'!$A:$A"), INDIRECT("'" &amp; J$2 &amp; "'!$B:$B"), "")&lt;&gt;"", "✓", "✗"), "✗")
)</f>
        <v/>
      </c>
      <c r="K71">
        <f t="array" ref="K71">IF(
    ISNUMBER(VALUE(LEFT($A71, 1))),
    "",
    IFERROR(IF(_xlfn.XLOOKUP($A71, INDIRECT("'" &amp; K$2 &amp; "'!$A:$A"), INDIRECT("'" &amp; K$2 &amp; "'!$B:$B"), "")&lt;&gt;"", "✓", "✗"), "✗")
)</f>
        <v/>
      </c>
      <c r="L71">
        <f t="array" ref="L71">IF(
    ISNUMBER(VALUE(LEFT($A71, 1))),
    "",
    IFERROR(IF(_xlfn.XLOOKUP($A71, INDIRECT("'" &amp; L$2 &amp; "'!$A:$A"), INDIRECT("'" &amp; L$2 &amp; "'!$B:$B"), "")&lt;&gt;"", "✓", "✗"), "✗")
)</f>
        <v/>
      </c>
      <c r="M71">
        <f t="array" ref="M71">IF(
    ISNUMBER(VALUE(LEFT($A71, 1))),
    "",
    IFERROR(IF(_xlfn.XLOOKUP($A71, INDIRECT("'" &amp; M$2 &amp; "'!$A:$A"), INDIRECT("'" &amp; M$2 &amp; "'!$B:$B"), "")&lt;&gt;"", "✓", "✗"), "✗")
)</f>
        <v/>
      </c>
      <c r="N71">
        <f t="array" ref="N71">IF(
    ISNUMBER(VALUE(LEFT($A71, 1))),
    "",
    IFERROR(IF(_xlfn.XLOOKUP($A71, INDIRECT("'" &amp; N$2 &amp; "'!$A:$A"), INDIRECT("'" &amp; N$2 &amp; "'!$B:$B"), "")&lt;&gt;"", "✓", "✗"), "✗")
)</f>
        <v/>
      </c>
      <c r="O71">
        <f t="array" ref="O71">IF(
    ISNUMBER(VALUE(LEFT($A71, 1))),
    "",
    IFERROR(IF(_xlfn.XLOOKUP($A71, INDIRECT("'" &amp; O$2 &amp; "'!$A:$A"), INDIRECT("'" &amp; O$2 &amp; "'!$B:$B"), "")&lt;&gt;"", "✓", "✗"), "✗")
)</f>
        <v/>
      </c>
      <c r="P71">
        <f t="array" ref="P71">IF(
    ISNUMBER(VALUE(LEFT($A71, 1))),
    "",
    IFERROR(IF(_xlfn.XLOOKUP($A71, INDIRECT("'" &amp; P$2 &amp; "'!$A:$A"), INDIRECT("'" &amp; P$2 &amp; "'!$B:$B"), "")&lt;&gt;"", "✓", "✗"), "✗")
)</f>
        <v/>
      </c>
      <c r="Q71">
        <f t="array" ref="Q71">IF(
    ISNUMBER(VALUE(LEFT($A71, 1))),
    "",
    IFERROR(IF(_xlfn.XLOOKUP($A71, INDIRECT("'" &amp; Q$2 &amp; "'!$A:$A"), INDIRECT("'" &amp; Q$2 &amp; "'!$B:$B"), "")&lt;&gt;"", "✓", "✗"), "✗")
)</f>
        <v/>
      </c>
      <c r="R71">
        <f t="array" ref="R71">IF(
    ISNUMBER(VALUE(LEFT($A71, 1))),
    "",
    IFERROR(IF(_xlfn.XLOOKUP($A71, INDIRECT("'" &amp; R$2 &amp; "'!$A:$A"), INDIRECT("'" &amp; R$2 &amp; "'!$B:$B"), "")&lt;&gt;"", "✓", "✗"), "✗")
)</f>
        <v/>
      </c>
      <c r="S71">
        <f t="array" ref="S71">IF(
    ISNUMBER(VALUE(LEFT($A71, 1))),
    "",
    IFERROR(IF(_xlfn.XLOOKUP($A71, INDIRECT("'" &amp; S$2 &amp; "'!$A:$A"), INDIRECT("'" &amp; S$2 &amp; "'!$B:$B"), "")&lt;&gt;"", "✓", "✗"), "✗")
)</f>
        <v/>
      </c>
      <c r="T71">
        <f t="array" ref="T71">IF(
    ISNUMBER(VALUE(LEFT($A71, 1))),
    "",
    IFERROR(IF(_xlfn.XLOOKUP($A71, INDIRECT("'" &amp; T$2 &amp; "'!$A:$A"), INDIRECT("'" &amp; T$2 &amp; "'!$B:$B"), "")&lt;&gt;"", "✓", "✗"), "✗")
)</f>
        <v/>
      </c>
      <c r="U71">
        <f t="array" ref="U71">IF(
    ISNUMBER(VALUE(LEFT($A71, 1))),
    "",
    IFERROR(IF(_xlfn.XLOOKUP($A71, INDIRECT("'" &amp; U$2 &amp; "'!$A:$A"), INDIRECT("'" &amp; U$2 &amp; "'!$B:$B"), "")&lt;&gt;"", "✓", "✗"), "✗")
)</f>
        <v/>
      </c>
      <c r="V71">
        <f t="array" ref="V71">IF(
    ISNUMBER(VALUE(LEFT($A71, 1))),
    "",
    IFERROR(IF(_xlfn.XLOOKUP($A71, INDIRECT("'" &amp; V$2 &amp; "'!$A:$A"), INDIRECT("'" &amp; V$2 &amp; "'!$B:$B"), "")&lt;&gt;"", "✓", "✗"), "✗")
)</f>
        <v/>
      </c>
      <c r="W71">
        <f t="array" ref="W71">IF(
    ISNUMBER(VALUE(LEFT($A71, 1))),
    "",
    IFERROR(IF(_xlfn.XLOOKUP($A71, INDIRECT("'" &amp; W$2 &amp; "'!$A:$A"), INDIRECT("'" &amp; W$2 &amp; "'!$B:$B"), "")&lt;&gt;"", "✓", "✗"), "✗")
)</f>
        <v/>
      </c>
      <c r="X71">
        <f t="array" ref="X71">IF(
    ISNUMBER(VALUE(LEFT($A71, 1))),
    "",
    IFERROR(IF(_xlfn.XLOOKUP($A71, INDIRECT("'" &amp; X$2 &amp; "'!$A:$A"), INDIRECT("'" &amp; X$2 &amp; "'!$B:$B"), "")&lt;&gt;"", "✓", "✗"), "✗")
)</f>
        <v/>
      </c>
      <c r="Y71">
        <f t="array" ref="Y71">IF(
    ISNUMBER(VALUE(LEFT($A71, 1))),
    "",
    IFERROR(IF(_xlfn.XLOOKUP($A71, INDIRECT("'" &amp; Y$2 &amp; "'!$A:$A"), INDIRECT("'" &amp; Y$2 &amp; "'!$B:$B"), "")&lt;&gt;"", "✓", "✗"), "✗")
)</f>
        <v/>
      </c>
      <c r="Z71">
        <f t="array" ref="Z71">IF(
    ISNUMBER(VALUE(LEFT($A71, 1))),
    "",
    IFERROR(IF(_xlfn.XLOOKUP($A71, INDIRECT("'" &amp; Z$2 &amp; "'!$A:$A"), INDIRECT("'" &amp; Z$2 &amp; "'!$B:$B"), "")&lt;&gt;"", "✓", "✗"), "✗")
)</f>
        <v/>
      </c>
      <c r="AA71">
        <f t="array" ref="AA71">IF(
    ISNUMBER(VALUE(LEFT($A71, 1))),
    "",
    IFERROR(IF(_xlfn.XLOOKUP($A71, INDIRECT("'" &amp; AA$2 &amp; "'!$A:$A"), INDIRECT("'" &amp; AA$2 &amp; "'!$B:$B"), "")&lt;&gt;"", "✓", "✗"), "✗")
)</f>
        <v/>
      </c>
      <c r="AB71">
        <f t="array" ref="AB71">IF(
    ISNUMBER(VALUE(LEFT($A71, 1))),
    "",
    IFERROR(IF(_xlfn.XLOOKUP($A71, INDIRECT("'" &amp; AB$2 &amp; "'!$A:$A"), INDIRECT("'" &amp; AB$2 &amp; "'!$B:$B"), "")&lt;&gt;"", "✓", "✗"), "✗")
)</f>
        <v/>
      </c>
      <c r="AC71">
        <f t="array" ref="AC71">IF(
    ISNUMBER(VALUE(LEFT($A71, 1))),
    "",
    IFERROR(IF(_xlfn.XLOOKUP($A71, INDIRECT("'" &amp; AC$2 &amp; "'!$A:$A"), INDIRECT("'" &amp; AC$2 &amp; "'!$B:$B"), "")&lt;&gt;"", "✓", "✗"), "✗")
)</f>
        <v/>
      </c>
      <c r="AD71">
        <f t="array" ref="AD71">IF(
    ISNUMBER(VALUE(LEFT($A71, 1))),
    "",
    IFERROR(IF(_xlfn.XLOOKUP($A71, INDIRECT("'" &amp; AD$2 &amp; "'!$A:$A"), INDIRECT("'" &amp; AD$2 &amp; "'!$B:$B"), "")&lt;&gt;"", "✓", "✗"), "✗")
)</f>
        <v/>
      </c>
      <c r="AE71">
        <f t="array" ref="AE71">IF(
    ISNUMBER(VALUE(LEFT($A71, 1))),
    "",
    IFERROR(IF(_xlfn.XLOOKUP($A71, INDIRECT("'" &amp; AE$2 &amp; "'!$A:$A"), INDIRECT("'" &amp; AE$2 &amp; "'!$B:$B"), "")&lt;&gt;"", "✓", "✗"), "✗")
)</f>
        <v/>
      </c>
      <c r="AF71">
        <f t="array" ref="AF71">IF(
    ISNUMBER(VALUE(LEFT($A71, 1))),
    "",
    IFERROR(IF(_xlfn.XLOOKUP($A71, INDIRECT("'" &amp; AF$2 &amp; "'!$A:$A"), INDIRECT("'" &amp; AF$2 &amp; "'!$B:$B"), "")&lt;&gt;"", "✓", "✗"), "✗")
)</f>
        <v/>
      </c>
      <c r="AG71">
        <f t="array" ref="AG71">IF(
    ISNUMBER(VALUE(LEFT($A71, 1))),
    "",
    IFERROR(IF(_xlfn.XLOOKUP($A71, INDIRECT("'" &amp; AG$2 &amp; "'!$A:$A"), INDIRECT("'" &amp; AG$2 &amp; "'!$B:$B"), "")&lt;&gt;"", "✓", "✗"), "✗")
)</f>
        <v/>
      </c>
    </row>
    <row r="72">
      <c r="A72" t="inlineStr">
        <is>
          <t>Channel Type</t>
        </is>
      </c>
      <c r="B72">
        <f t="array" ref="B72">IF(
    ISNUMBER(VALUE(LEFT($A72, 1))),
    "",
    IFERROR(IF(_xlfn.XLOOKUP($A72, INDIRECT("'" &amp; B$2 &amp; "'!$A:$A"), INDIRECT("'" &amp; B$2 &amp; "'!$B:$B"), "")&lt;&gt;"", "✓", "✗"), "✗")
)</f>
        <v/>
      </c>
      <c r="C72">
        <f t="array" ref="C72">IF(
    ISNUMBER(VALUE(LEFT($A72, 1))),
    "",
    IFERROR(IF(_xlfn.XLOOKUP($A72, INDIRECT("'" &amp; C$2 &amp; "'!$A:$A"), INDIRECT("'" &amp; C$2 &amp; "'!$B:$B"), "")&lt;&gt;"", "✓", "✗"), "✗")
)</f>
        <v/>
      </c>
      <c r="D72">
        <f t="array" ref="D72">IF(
    ISNUMBER(VALUE(LEFT($A72, 1))),
    "",
    IFERROR(IF(_xlfn.XLOOKUP($A72, INDIRECT("'" &amp; D$2 &amp; "'!$A:$A"), INDIRECT("'" &amp; D$2 &amp; "'!$B:$B"), "")&lt;&gt;"", "✓", "✗"), "✗")
)</f>
        <v/>
      </c>
      <c r="E72">
        <f t="array" ref="E72">IF(
    ISNUMBER(VALUE(LEFT($A72, 1))),
    "",
    IFERROR(IF(_xlfn.XLOOKUP($A72, INDIRECT("'" &amp; E$2 &amp; "'!$A:$A"), INDIRECT("'" &amp; E$2 &amp; "'!$B:$B"), "")&lt;&gt;"", "✓", "✗"), "✗")
)</f>
        <v/>
      </c>
      <c r="F72">
        <f t="array" ref="F72">IF(
    ISNUMBER(VALUE(LEFT($A72, 1))),
    "",
    IFERROR(IF(_xlfn.XLOOKUP($A72, INDIRECT("'" &amp; F$2 &amp; "'!$A:$A"), INDIRECT("'" &amp; F$2 &amp; "'!$B:$B"), "")&lt;&gt;"", "✓", "✗"), "✗")
)</f>
        <v/>
      </c>
      <c r="G72">
        <f t="array" ref="G72">IF(
    ISNUMBER(VALUE(LEFT($A72, 1))),
    "",
    IFERROR(IF(_xlfn.XLOOKUP($A72, INDIRECT("'" &amp; G$2 &amp; "'!$A:$A"), INDIRECT("'" &amp; G$2 &amp; "'!$B:$B"), "")&lt;&gt;"", "✓", "✗"), "✗")
)</f>
        <v/>
      </c>
      <c r="H72">
        <f t="array" ref="H72">IF(
    ISNUMBER(VALUE(LEFT($A72, 1))),
    "",
    IFERROR(IF(_xlfn.XLOOKUP($A72, INDIRECT("'" &amp; H$2 &amp; "'!$A:$A"), INDIRECT("'" &amp; H$2 &amp; "'!$B:$B"), "")&lt;&gt;"", "✓", "✗"), "✗")
)</f>
        <v/>
      </c>
      <c r="I72">
        <f t="array" ref="I72">IF(
    ISNUMBER(VALUE(LEFT($A72, 1))),
    "",
    IFERROR(IF(_xlfn.XLOOKUP($A72, INDIRECT("'" &amp; I$2 &amp; "'!$A:$A"), INDIRECT("'" &amp; I$2 &amp; "'!$B:$B"), "")&lt;&gt;"", "✓", "✗"), "✗")
)</f>
        <v/>
      </c>
      <c r="J72">
        <f t="array" ref="J72">IF(
    ISNUMBER(VALUE(LEFT($A72, 1))),
    "",
    IFERROR(IF(_xlfn.XLOOKUP($A72, INDIRECT("'" &amp; J$2 &amp; "'!$A:$A"), INDIRECT("'" &amp; J$2 &amp; "'!$B:$B"), "")&lt;&gt;"", "✓", "✗"), "✗")
)</f>
        <v/>
      </c>
      <c r="K72">
        <f t="array" ref="K72">IF(
    ISNUMBER(VALUE(LEFT($A72, 1))),
    "",
    IFERROR(IF(_xlfn.XLOOKUP($A72, INDIRECT("'" &amp; K$2 &amp; "'!$A:$A"), INDIRECT("'" &amp; K$2 &amp; "'!$B:$B"), "")&lt;&gt;"", "✓", "✗"), "✗")
)</f>
        <v/>
      </c>
      <c r="L72">
        <f t="array" ref="L72">IF(
    ISNUMBER(VALUE(LEFT($A72, 1))),
    "",
    IFERROR(IF(_xlfn.XLOOKUP($A72, INDIRECT("'" &amp; L$2 &amp; "'!$A:$A"), INDIRECT("'" &amp; L$2 &amp; "'!$B:$B"), "")&lt;&gt;"", "✓", "✗"), "✗")
)</f>
        <v/>
      </c>
      <c r="M72">
        <f t="array" ref="M72">IF(
    ISNUMBER(VALUE(LEFT($A72, 1))),
    "",
    IFERROR(IF(_xlfn.XLOOKUP($A72, INDIRECT("'" &amp; M$2 &amp; "'!$A:$A"), INDIRECT("'" &amp; M$2 &amp; "'!$B:$B"), "")&lt;&gt;"", "✓", "✗"), "✗")
)</f>
        <v/>
      </c>
      <c r="N72">
        <f t="array" ref="N72">IF(
    ISNUMBER(VALUE(LEFT($A72, 1))),
    "",
    IFERROR(IF(_xlfn.XLOOKUP($A72, INDIRECT("'" &amp; N$2 &amp; "'!$A:$A"), INDIRECT("'" &amp; N$2 &amp; "'!$B:$B"), "")&lt;&gt;"", "✓", "✗"), "✗")
)</f>
        <v/>
      </c>
      <c r="O72">
        <f t="array" ref="O72">IF(
    ISNUMBER(VALUE(LEFT($A72, 1))),
    "",
    IFERROR(IF(_xlfn.XLOOKUP($A72, INDIRECT("'" &amp; O$2 &amp; "'!$A:$A"), INDIRECT("'" &amp; O$2 &amp; "'!$B:$B"), "")&lt;&gt;"", "✓", "✗"), "✗")
)</f>
        <v/>
      </c>
      <c r="P72">
        <f t="array" ref="P72">IF(
    ISNUMBER(VALUE(LEFT($A72, 1))),
    "",
    IFERROR(IF(_xlfn.XLOOKUP($A72, INDIRECT("'" &amp; P$2 &amp; "'!$A:$A"), INDIRECT("'" &amp; P$2 &amp; "'!$B:$B"), "")&lt;&gt;"", "✓", "✗"), "✗")
)</f>
        <v/>
      </c>
      <c r="Q72">
        <f t="array" ref="Q72">IF(
    ISNUMBER(VALUE(LEFT($A72, 1))),
    "",
    IFERROR(IF(_xlfn.XLOOKUP($A72, INDIRECT("'" &amp; Q$2 &amp; "'!$A:$A"), INDIRECT("'" &amp; Q$2 &amp; "'!$B:$B"), "")&lt;&gt;"", "✓", "✗"), "✗")
)</f>
        <v/>
      </c>
      <c r="R72">
        <f t="array" ref="R72">IF(
    ISNUMBER(VALUE(LEFT($A72, 1))),
    "",
    IFERROR(IF(_xlfn.XLOOKUP($A72, INDIRECT("'" &amp; R$2 &amp; "'!$A:$A"), INDIRECT("'" &amp; R$2 &amp; "'!$B:$B"), "")&lt;&gt;"", "✓", "✗"), "✗")
)</f>
        <v/>
      </c>
      <c r="S72">
        <f t="array" ref="S72">IF(
    ISNUMBER(VALUE(LEFT($A72, 1))),
    "",
    IFERROR(IF(_xlfn.XLOOKUP($A72, INDIRECT("'" &amp; S$2 &amp; "'!$A:$A"), INDIRECT("'" &amp; S$2 &amp; "'!$B:$B"), "")&lt;&gt;"", "✓", "✗"), "✗")
)</f>
        <v/>
      </c>
      <c r="T72">
        <f t="array" ref="T72">IF(
    ISNUMBER(VALUE(LEFT($A72, 1))),
    "",
    IFERROR(IF(_xlfn.XLOOKUP($A72, INDIRECT("'" &amp; T$2 &amp; "'!$A:$A"), INDIRECT("'" &amp; T$2 &amp; "'!$B:$B"), "")&lt;&gt;"", "✓", "✗"), "✗")
)</f>
        <v/>
      </c>
      <c r="U72">
        <f t="array" ref="U72">IF(
    ISNUMBER(VALUE(LEFT($A72, 1))),
    "",
    IFERROR(IF(_xlfn.XLOOKUP($A72, INDIRECT("'" &amp; U$2 &amp; "'!$A:$A"), INDIRECT("'" &amp; U$2 &amp; "'!$B:$B"), "")&lt;&gt;"", "✓", "✗"), "✗")
)</f>
        <v/>
      </c>
      <c r="V72">
        <f t="array" ref="V72">IF(
    ISNUMBER(VALUE(LEFT($A72, 1))),
    "",
    IFERROR(IF(_xlfn.XLOOKUP($A72, INDIRECT("'" &amp; V$2 &amp; "'!$A:$A"), INDIRECT("'" &amp; V$2 &amp; "'!$B:$B"), "")&lt;&gt;"", "✓", "✗"), "✗")
)</f>
        <v/>
      </c>
      <c r="W72">
        <f t="array" ref="W72">IF(
    ISNUMBER(VALUE(LEFT($A72, 1))),
    "",
    IFERROR(IF(_xlfn.XLOOKUP($A72, INDIRECT("'" &amp; W$2 &amp; "'!$A:$A"), INDIRECT("'" &amp; W$2 &amp; "'!$B:$B"), "")&lt;&gt;"", "✓", "✗"), "✗")
)</f>
        <v/>
      </c>
      <c r="X72">
        <f t="array" ref="X72">IF(
    ISNUMBER(VALUE(LEFT($A72, 1))),
    "",
    IFERROR(IF(_xlfn.XLOOKUP($A72, INDIRECT("'" &amp; X$2 &amp; "'!$A:$A"), INDIRECT("'" &amp; X$2 &amp; "'!$B:$B"), "")&lt;&gt;"", "✓", "✗"), "✗")
)</f>
        <v/>
      </c>
      <c r="Y72">
        <f t="array" ref="Y72">IF(
    ISNUMBER(VALUE(LEFT($A72, 1))),
    "",
    IFERROR(IF(_xlfn.XLOOKUP($A72, INDIRECT("'" &amp; Y$2 &amp; "'!$A:$A"), INDIRECT("'" &amp; Y$2 &amp; "'!$B:$B"), "")&lt;&gt;"", "✓", "✗"), "✗")
)</f>
        <v/>
      </c>
      <c r="Z72">
        <f t="array" ref="Z72">IF(
    ISNUMBER(VALUE(LEFT($A72, 1))),
    "",
    IFERROR(IF(_xlfn.XLOOKUP($A72, INDIRECT("'" &amp; Z$2 &amp; "'!$A:$A"), INDIRECT("'" &amp; Z$2 &amp; "'!$B:$B"), "")&lt;&gt;"", "✓", "✗"), "✗")
)</f>
        <v/>
      </c>
      <c r="AA72">
        <f t="array" ref="AA72">IF(
    ISNUMBER(VALUE(LEFT($A72, 1))),
    "",
    IFERROR(IF(_xlfn.XLOOKUP($A72, INDIRECT("'" &amp; AA$2 &amp; "'!$A:$A"), INDIRECT("'" &amp; AA$2 &amp; "'!$B:$B"), "")&lt;&gt;"", "✓", "✗"), "✗")
)</f>
        <v/>
      </c>
      <c r="AB72">
        <f t="array" ref="AB72">IF(
    ISNUMBER(VALUE(LEFT($A72, 1))),
    "",
    IFERROR(IF(_xlfn.XLOOKUP($A72, INDIRECT("'" &amp; AB$2 &amp; "'!$A:$A"), INDIRECT("'" &amp; AB$2 &amp; "'!$B:$B"), "")&lt;&gt;"", "✓", "✗"), "✗")
)</f>
        <v/>
      </c>
      <c r="AC72">
        <f t="array" ref="AC72">IF(
    ISNUMBER(VALUE(LEFT($A72, 1))),
    "",
    IFERROR(IF(_xlfn.XLOOKUP($A72, INDIRECT("'" &amp; AC$2 &amp; "'!$A:$A"), INDIRECT("'" &amp; AC$2 &amp; "'!$B:$B"), "")&lt;&gt;"", "✓", "✗"), "✗")
)</f>
        <v/>
      </c>
      <c r="AD72">
        <f t="array" ref="AD72">IF(
    ISNUMBER(VALUE(LEFT($A72, 1))),
    "",
    IFERROR(IF(_xlfn.XLOOKUP($A72, INDIRECT("'" &amp; AD$2 &amp; "'!$A:$A"), INDIRECT("'" &amp; AD$2 &amp; "'!$B:$B"), "")&lt;&gt;"", "✓", "✗"), "✗")
)</f>
        <v/>
      </c>
      <c r="AE72">
        <f t="array" ref="AE72">IF(
    ISNUMBER(VALUE(LEFT($A72, 1))),
    "",
    IFERROR(IF(_xlfn.XLOOKUP($A72, INDIRECT("'" &amp; AE$2 &amp; "'!$A:$A"), INDIRECT("'" &amp; AE$2 &amp; "'!$B:$B"), "")&lt;&gt;"", "✓", "✗"), "✗")
)</f>
        <v/>
      </c>
      <c r="AF72">
        <f t="array" ref="AF72">IF(
    ISNUMBER(VALUE(LEFT($A72, 1))),
    "",
    IFERROR(IF(_xlfn.XLOOKUP($A72, INDIRECT("'" &amp; AF$2 &amp; "'!$A:$A"), INDIRECT("'" &amp; AF$2 &amp; "'!$B:$B"), "")&lt;&gt;"", "✓", "✗"), "✗")
)</f>
        <v/>
      </c>
      <c r="AG72">
        <f t="array" ref="AG72">IF(
    ISNUMBER(VALUE(LEFT($A72, 1))),
    "",
    IFERROR(IF(_xlfn.XLOOKUP($A72, INDIRECT("'" &amp; AG$2 &amp; "'!$A:$A"), INDIRECT("'" &amp; AG$2 &amp; "'!$B:$B"), "")&lt;&gt;"", "✓", "✗"), "✗")
)</f>
        <v/>
      </c>
    </row>
    <row r="73">
      <c r="A73" t="inlineStr">
        <is>
          <t>Channel Source</t>
        </is>
      </c>
      <c r="B73">
        <f t="array" ref="B73">IF(
    ISNUMBER(VALUE(LEFT($A73, 1))),
    "",
    IFERROR(IF(_xlfn.XLOOKUP($A73, INDIRECT("'" &amp; B$2 &amp; "'!$A:$A"), INDIRECT("'" &amp; B$2 &amp; "'!$B:$B"), "")&lt;&gt;"", "✓", "✗"), "✗")
)</f>
        <v/>
      </c>
      <c r="C73">
        <f t="array" ref="C73">IF(
    ISNUMBER(VALUE(LEFT($A73, 1))),
    "",
    IFERROR(IF(_xlfn.XLOOKUP($A73, INDIRECT("'" &amp; C$2 &amp; "'!$A:$A"), INDIRECT("'" &amp; C$2 &amp; "'!$B:$B"), "")&lt;&gt;"", "✓", "✗"), "✗")
)</f>
        <v/>
      </c>
      <c r="D73">
        <f t="array" ref="D73">IF(
    ISNUMBER(VALUE(LEFT($A73, 1))),
    "",
    IFERROR(IF(_xlfn.XLOOKUP($A73, INDIRECT("'" &amp; D$2 &amp; "'!$A:$A"), INDIRECT("'" &amp; D$2 &amp; "'!$B:$B"), "")&lt;&gt;"", "✓", "✗"), "✗")
)</f>
        <v/>
      </c>
      <c r="E73">
        <f t="array" ref="E73">IF(
    ISNUMBER(VALUE(LEFT($A73, 1))),
    "",
    IFERROR(IF(_xlfn.XLOOKUP($A73, INDIRECT("'" &amp; E$2 &amp; "'!$A:$A"), INDIRECT("'" &amp; E$2 &amp; "'!$B:$B"), "")&lt;&gt;"", "✓", "✗"), "✗")
)</f>
        <v/>
      </c>
      <c r="F73">
        <f t="array" ref="F73">IF(
    ISNUMBER(VALUE(LEFT($A73, 1))),
    "",
    IFERROR(IF(_xlfn.XLOOKUP($A73, INDIRECT("'" &amp; F$2 &amp; "'!$A:$A"), INDIRECT("'" &amp; F$2 &amp; "'!$B:$B"), "")&lt;&gt;"", "✓", "✗"), "✗")
)</f>
        <v/>
      </c>
      <c r="G73">
        <f t="array" ref="G73">IF(
    ISNUMBER(VALUE(LEFT($A73, 1))),
    "",
    IFERROR(IF(_xlfn.XLOOKUP($A73, INDIRECT("'" &amp; G$2 &amp; "'!$A:$A"), INDIRECT("'" &amp; G$2 &amp; "'!$B:$B"), "")&lt;&gt;"", "✓", "✗"), "✗")
)</f>
        <v/>
      </c>
      <c r="H73">
        <f t="array" ref="H73">IF(
    ISNUMBER(VALUE(LEFT($A73, 1))),
    "",
    IFERROR(IF(_xlfn.XLOOKUP($A73, INDIRECT("'" &amp; H$2 &amp; "'!$A:$A"), INDIRECT("'" &amp; H$2 &amp; "'!$B:$B"), "")&lt;&gt;"", "✓", "✗"), "✗")
)</f>
        <v/>
      </c>
      <c r="I73">
        <f t="array" ref="I73">IF(
    ISNUMBER(VALUE(LEFT($A73, 1))),
    "",
    IFERROR(IF(_xlfn.XLOOKUP($A73, INDIRECT("'" &amp; I$2 &amp; "'!$A:$A"), INDIRECT("'" &amp; I$2 &amp; "'!$B:$B"), "")&lt;&gt;"", "✓", "✗"), "✗")
)</f>
        <v/>
      </c>
      <c r="J73">
        <f t="array" ref="J73">IF(
    ISNUMBER(VALUE(LEFT($A73, 1))),
    "",
    IFERROR(IF(_xlfn.XLOOKUP($A73, INDIRECT("'" &amp; J$2 &amp; "'!$A:$A"), INDIRECT("'" &amp; J$2 &amp; "'!$B:$B"), "")&lt;&gt;"", "✓", "✗"), "✗")
)</f>
        <v/>
      </c>
      <c r="K73">
        <f t="array" ref="K73">IF(
    ISNUMBER(VALUE(LEFT($A73, 1))),
    "",
    IFERROR(IF(_xlfn.XLOOKUP($A73, INDIRECT("'" &amp; K$2 &amp; "'!$A:$A"), INDIRECT("'" &amp; K$2 &amp; "'!$B:$B"), "")&lt;&gt;"", "✓", "✗"), "✗")
)</f>
        <v/>
      </c>
      <c r="L73">
        <f t="array" ref="L73">IF(
    ISNUMBER(VALUE(LEFT($A73, 1))),
    "",
    IFERROR(IF(_xlfn.XLOOKUP($A73, INDIRECT("'" &amp; L$2 &amp; "'!$A:$A"), INDIRECT("'" &amp; L$2 &amp; "'!$B:$B"), "")&lt;&gt;"", "✓", "✗"), "✗")
)</f>
        <v/>
      </c>
      <c r="M73">
        <f t="array" ref="M73">IF(
    ISNUMBER(VALUE(LEFT($A73, 1))),
    "",
    IFERROR(IF(_xlfn.XLOOKUP($A73, INDIRECT("'" &amp; M$2 &amp; "'!$A:$A"), INDIRECT("'" &amp; M$2 &amp; "'!$B:$B"), "")&lt;&gt;"", "✓", "✗"), "✗")
)</f>
        <v/>
      </c>
      <c r="N73">
        <f t="array" ref="N73">IF(
    ISNUMBER(VALUE(LEFT($A73, 1))),
    "",
    IFERROR(IF(_xlfn.XLOOKUP($A73, INDIRECT("'" &amp; N$2 &amp; "'!$A:$A"), INDIRECT("'" &amp; N$2 &amp; "'!$B:$B"), "")&lt;&gt;"", "✓", "✗"), "✗")
)</f>
        <v/>
      </c>
      <c r="O73">
        <f t="array" ref="O73">IF(
    ISNUMBER(VALUE(LEFT($A73, 1))),
    "",
    IFERROR(IF(_xlfn.XLOOKUP($A73, INDIRECT("'" &amp; O$2 &amp; "'!$A:$A"), INDIRECT("'" &amp; O$2 &amp; "'!$B:$B"), "")&lt;&gt;"", "✓", "✗"), "✗")
)</f>
        <v/>
      </c>
      <c r="P73">
        <f t="array" ref="P73">IF(
    ISNUMBER(VALUE(LEFT($A73, 1))),
    "",
    IFERROR(IF(_xlfn.XLOOKUP($A73, INDIRECT("'" &amp; P$2 &amp; "'!$A:$A"), INDIRECT("'" &amp; P$2 &amp; "'!$B:$B"), "")&lt;&gt;"", "✓", "✗"), "✗")
)</f>
        <v/>
      </c>
      <c r="Q73">
        <f t="array" ref="Q73">IF(
    ISNUMBER(VALUE(LEFT($A73, 1))),
    "",
    IFERROR(IF(_xlfn.XLOOKUP($A73, INDIRECT("'" &amp; Q$2 &amp; "'!$A:$A"), INDIRECT("'" &amp; Q$2 &amp; "'!$B:$B"), "")&lt;&gt;"", "✓", "✗"), "✗")
)</f>
        <v/>
      </c>
      <c r="R73">
        <f t="array" ref="R73">IF(
    ISNUMBER(VALUE(LEFT($A73, 1))),
    "",
    IFERROR(IF(_xlfn.XLOOKUP($A73, INDIRECT("'" &amp; R$2 &amp; "'!$A:$A"), INDIRECT("'" &amp; R$2 &amp; "'!$B:$B"), "")&lt;&gt;"", "✓", "✗"), "✗")
)</f>
        <v/>
      </c>
      <c r="S73">
        <f t="array" ref="S73">IF(
    ISNUMBER(VALUE(LEFT($A73, 1))),
    "",
    IFERROR(IF(_xlfn.XLOOKUP($A73, INDIRECT("'" &amp; S$2 &amp; "'!$A:$A"), INDIRECT("'" &amp; S$2 &amp; "'!$B:$B"), "")&lt;&gt;"", "✓", "✗"), "✗")
)</f>
        <v/>
      </c>
      <c r="T73">
        <f t="array" ref="T73">IF(
    ISNUMBER(VALUE(LEFT($A73, 1))),
    "",
    IFERROR(IF(_xlfn.XLOOKUP($A73, INDIRECT("'" &amp; T$2 &amp; "'!$A:$A"), INDIRECT("'" &amp; T$2 &amp; "'!$B:$B"), "")&lt;&gt;"", "✓", "✗"), "✗")
)</f>
        <v/>
      </c>
      <c r="U73">
        <f t="array" ref="U73">IF(
    ISNUMBER(VALUE(LEFT($A73, 1))),
    "",
    IFERROR(IF(_xlfn.XLOOKUP($A73, INDIRECT("'" &amp; U$2 &amp; "'!$A:$A"), INDIRECT("'" &amp; U$2 &amp; "'!$B:$B"), "")&lt;&gt;"", "✓", "✗"), "✗")
)</f>
        <v/>
      </c>
      <c r="V73">
        <f t="array" ref="V73">IF(
    ISNUMBER(VALUE(LEFT($A73, 1))),
    "",
    IFERROR(IF(_xlfn.XLOOKUP($A73, INDIRECT("'" &amp; V$2 &amp; "'!$A:$A"), INDIRECT("'" &amp; V$2 &amp; "'!$B:$B"), "")&lt;&gt;"", "✓", "✗"), "✗")
)</f>
        <v/>
      </c>
      <c r="W73">
        <f t="array" ref="W73">IF(
    ISNUMBER(VALUE(LEFT($A73, 1))),
    "",
    IFERROR(IF(_xlfn.XLOOKUP($A73, INDIRECT("'" &amp; W$2 &amp; "'!$A:$A"), INDIRECT("'" &amp; W$2 &amp; "'!$B:$B"), "")&lt;&gt;"", "✓", "✗"), "✗")
)</f>
        <v/>
      </c>
      <c r="X73">
        <f t="array" ref="X73">IF(
    ISNUMBER(VALUE(LEFT($A73, 1))),
    "",
    IFERROR(IF(_xlfn.XLOOKUP($A73, INDIRECT("'" &amp; X$2 &amp; "'!$A:$A"), INDIRECT("'" &amp; X$2 &amp; "'!$B:$B"), "")&lt;&gt;"", "✓", "✗"), "✗")
)</f>
        <v/>
      </c>
      <c r="Y73">
        <f t="array" ref="Y73">IF(
    ISNUMBER(VALUE(LEFT($A73, 1))),
    "",
    IFERROR(IF(_xlfn.XLOOKUP($A73, INDIRECT("'" &amp; Y$2 &amp; "'!$A:$A"), INDIRECT("'" &amp; Y$2 &amp; "'!$B:$B"), "")&lt;&gt;"", "✓", "✗"), "✗")
)</f>
        <v/>
      </c>
      <c r="Z73">
        <f t="array" ref="Z73">IF(
    ISNUMBER(VALUE(LEFT($A73, 1))),
    "",
    IFERROR(IF(_xlfn.XLOOKUP($A73, INDIRECT("'" &amp; Z$2 &amp; "'!$A:$A"), INDIRECT("'" &amp; Z$2 &amp; "'!$B:$B"), "")&lt;&gt;"", "✓", "✗"), "✗")
)</f>
        <v/>
      </c>
      <c r="AA73">
        <f t="array" ref="AA73">IF(
    ISNUMBER(VALUE(LEFT($A73, 1))),
    "",
    IFERROR(IF(_xlfn.XLOOKUP($A73, INDIRECT("'" &amp; AA$2 &amp; "'!$A:$A"), INDIRECT("'" &amp; AA$2 &amp; "'!$B:$B"), "")&lt;&gt;"", "✓", "✗"), "✗")
)</f>
        <v/>
      </c>
      <c r="AB73">
        <f t="array" ref="AB73">IF(
    ISNUMBER(VALUE(LEFT($A73, 1))),
    "",
    IFERROR(IF(_xlfn.XLOOKUP($A73, INDIRECT("'" &amp; AB$2 &amp; "'!$A:$A"), INDIRECT("'" &amp; AB$2 &amp; "'!$B:$B"), "")&lt;&gt;"", "✓", "✗"), "✗")
)</f>
        <v/>
      </c>
      <c r="AC73">
        <f t="array" ref="AC73">IF(
    ISNUMBER(VALUE(LEFT($A73, 1))),
    "",
    IFERROR(IF(_xlfn.XLOOKUP($A73, INDIRECT("'" &amp; AC$2 &amp; "'!$A:$A"), INDIRECT("'" &amp; AC$2 &amp; "'!$B:$B"), "")&lt;&gt;"", "✓", "✗"), "✗")
)</f>
        <v/>
      </c>
      <c r="AD73">
        <f t="array" ref="AD73">IF(
    ISNUMBER(VALUE(LEFT($A73, 1))),
    "",
    IFERROR(IF(_xlfn.XLOOKUP($A73, INDIRECT("'" &amp; AD$2 &amp; "'!$A:$A"), INDIRECT("'" &amp; AD$2 &amp; "'!$B:$B"), "")&lt;&gt;"", "✓", "✗"), "✗")
)</f>
        <v/>
      </c>
      <c r="AE73">
        <f t="array" ref="AE73">IF(
    ISNUMBER(VALUE(LEFT($A73, 1))),
    "",
    IFERROR(IF(_xlfn.XLOOKUP($A73, INDIRECT("'" &amp; AE$2 &amp; "'!$A:$A"), INDIRECT("'" &amp; AE$2 &amp; "'!$B:$B"), "")&lt;&gt;"", "✓", "✗"), "✗")
)</f>
        <v/>
      </c>
      <c r="AF73">
        <f t="array" ref="AF73">IF(
    ISNUMBER(VALUE(LEFT($A73, 1))),
    "",
    IFERROR(IF(_xlfn.XLOOKUP($A73, INDIRECT("'" &amp; AF$2 &amp; "'!$A:$A"), INDIRECT("'" &amp; AF$2 &amp; "'!$B:$B"), "")&lt;&gt;"", "✓", "✗"), "✗")
)</f>
        <v/>
      </c>
      <c r="AG73">
        <f t="array" ref="AG73">IF(
    ISNUMBER(VALUE(LEFT($A73, 1))),
    "",
    IFERROR(IF(_xlfn.XLOOKUP($A73, INDIRECT("'" &amp; AG$2 &amp; "'!$A:$A"), INDIRECT("'" &amp; AG$2 &amp; "'!$B:$B"), "")&lt;&gt;"", "✓", "✗"), "✗")
)</f>
        <v/>
      </c>
    </row>
    <row r="74">
      <c r="A74" t="inlineStr">
        <is>
          <t>Funnel Stage</t>
        </is>
      </c>
      <c r="B74">
        <f t="array" ref="B74">IF(
    ISNUMBER(VALUE(LEFT($A74, 1))),
    "",
    IFERROR(IF(_xlfn.XLOOKUP($A74, INDIRECT("'" &amp; B$2 &amp; "'!$A:$A"), INDIRECT("'" &amp; B$2 &amp; "'!$B:$B"), "")&lt;&gt;"", "✓", "✗"), "✗")
)</f>
        <v/>
      </c>
      <c r="C74">
        <f t="array" ref="C74">IF(
    ISNUMBER(VALUE(LEFT($A74, 1))),
    "",
    IFERROR(IF(_xlfn.XLOOKUP($A74, INDIRECT("'" &amp; C$2 &amp; "'!$A:$A"), INDIRECT("'" &amp; C$2 &amp; "'!$B:$B"), "")&lt;&gt;"", "✓", "✗"), "✗")
)</f>
        <v/>
      </c>
      <c r="D74">
        <f t="array" ref="D74">IF(
    ISNUMBER(VALUE(LEFT($A74, 1))),
    "",
    IFERROR(IF(_xlfn.XLOOKUP($A74, INDIRECT("'" &amp; D$2 &amp; "'!$A:$A"), INDIRECT("'" &amp; D$2 &amp; "'!$B:$B"), "")&lt;&gt;"", "✓", "✗"), "✗")
)</f>
        <v/>
      </c>
      <c r="E74">
        <f t="array" ref="E74">IF(
    ISNUMBER(VALUE(LEFT($A74, 1))),
    "",
    IFERROR(IF(_xlfn.XLOOKUP($A74, INDIRECT("'" &amp; E$2 &amp; "'!$A:$A"), INDIRECT("'" &amp; E$2 &amp; "'!$B:$B"), "")&lt;&gt;"", "✓", "✗"), "✗")
)</f>
        <v/>
      </c>
      <c r="F74">
        <f t="array" ref="F74">IF(
    ISNUMBER(VALUE(LEFT($A74, 1))),
    "",
    IFERROR(IF(_xlfn.XLOOKUP($A74, INDIRECT("'" &amp; F$2 &amp; "'!$A:$A"), INDIRECT("'" &amp; F$2 &amp; "'!$B:$B"), "")&lt;&gt;"", "✓", "✗"), "✗")
)</f>
        <v/>
      </c>
      <c r="G74">
        <f t="array" ref="G74">IF(
    ISNUMBER(VALUE(LEFT($A74, 1))),
    "",
    IFERROR(IF(_xlfn.XLOOKUP($A74, INDIRECT("'" &amp; G$2 &amp; "'!$A:$A"), INDIRECT("'" &amp; G$2 &amp; "'!$B:$B"), "")&lt;&gt;"", "✓", "✗"), "✗")
)</f>
        <v/>
      </c>
      <c r="H74">
        <f t="array" ref="H74">IF(
    ISNUMBER(VALUE(LEFT($A74, 1))),
    "",
    IFERROR(IF(_xlfn.XLOOKUP($A74, INDIRECT("'" &amp; H$2 &amp; "'!$A:$A"), INDIRECT("'" &amp; H$2 &amp; "'!$B:$B"), "")&lt;&gt;"", "✓", "✗"), "✗")
)</f>
        <v/>
      </c>
      <c r="I74">
        <f t="array" ref="I74">IF(
    ISNUMBER(VALUE(LEFT($A74, 1))),
    "",
    IFERROR(IF(_xlfn.XLOOKUP($A74, INDIRECT("'" &amp; I$2 &amp; "'!$A:$A"), INDIRECT("'" &amp; I$2 &amp; "'!$B:$B"), "")&lt;&gt;"", "✓", "✗"), "✗")
)</f>
        <v/>
      </c>
      <c r="J74">
        <f t="array" ref="J74">IF(
    ISNUMBER(VALUE(LEFT($A74, 1))),
    "",
    IFERROR(IF(_xlfn.XLOOKUP($A74, INDIRECT("'" &amp; J$2 &amp; "'!$A:$A"), INDIRECT("'" &amp; J$2 &amp; "'!$B:$B"), "")&lt;&gt;"", "✓", "✗"), "✗")
)</f>
        <v/>
      </c>
      <c r="K74">
        <f t="array" ref="K74">IF(
    ISNUMBER(VALUE(LEFT($A74, 1))),
    "",
    IFERROR(IF(_xlfn.XLOOKUP($A74, INDIRECT("'" &amp; K$2 &amp; "'!$A:$A"), INDIRECT("'" &amp; K$2 &amp; "'!$B:$B"), "")&lt;&gt;"", "✓", "✗"), "✗")
)</f>
        <v/>
      </c>
      <c r="L74">
        <f t="array" ref="L74">IF(
    ISNUMBER(VALUE(LEFT($A74, 1))),
    "",
    IFERROR(IF(_xlfn.XLOOKUP($A74, INDIRECT("'" &amp; L$2 &amp; "'!$A:$A"), INDIRECT("'" &amp; L$2 &amp; "'!$B:$B"), "")&lt;&gt;"", "✓", "✗"), "✗")
)</f>
        <v/>
      </c>
      <c r="M74">
        <f t="array" ref="M74">IF(
    ISNUMBER(VALUE(LEFT($A74, 1))),
    "",
    IFERROR(IF(_xlfn.XLOOKUP($A74, INDIRECT("'" &amp; M$2 &amp; "'!$A:$A"), INDIRECT("'" &amp; M$2 &amp; "'!$B:$B"), "")&lt;&gt;"", "✓", "✗"), "✗")
)</f>
        <v/>
      </c>
      <c r="N74">
        <f t="array" ref="N74">IF(
    ISNUMBER(VALUE(LEFT($A74, 1))),
    "",
    IFERROR(IF(_xlfn.XLOOKUP($A74, INDIRECT("'" &amp; N$2 &amp; "'!$A:$A"), INDIRECT("'" &amp; N$2 &amp; "'!$B:$B"), "")&lt;&gt;"", "✓", "✗"), "✗")
)</f>
        <v/>
      </c>
      <c r="O74">
        <f t="array" ref="O74">IF(
    ISNUMBER(VALUE(LEFT($A74, 1))),
    "",
    IFERROR(IF(_xlfn.XLOOKUP($A74, INDIRECT("'" &amp; O$2 &amp; "'!$A:$A"), INDIRECT("'" &amp; O$2 &amp; "'!$B:$B"), "")&lt;&gt;"", "✓", "✗"), "✗")
)</f>
        <v/>
      </c>
      <c r="P74">
        <f t="array" ref="P74">IF(
    ISNUMBER(VALUE(LEFT($A74, 1))),
    "",
    IFERROR(IF(_xlfn.XLOOKUP($A74, INDIRECT("'" &amp; P$2 &amp; "'!$A:$A"), INDIRECT("'" &amp; P$2 &amp; "'!$B:$B"), "")&lt;&gt;"", "✓", "✗"), "✗")
)</f>
        <v/>
      </c>
      <c r="Q74">
        <f t="array" ref="Q74">IF(
    ISNUMBER(VALUE(LEFT($A74, 1))),
    "",
    IFERROR(IF(_xlfn.XLOOKUP($A74, INDIRECT("'" &amp; Q$2 &amp; "'!$A:$A"), INDIRECT("'" &amp; Q$2 &amp; "'!$B:$B"), "")&lt;&gt;"", "✓", "✗"), "✗")
)</f>
        <v/>
      </c>
      <c r="R74">
        <f t="array" ref="R74">IF(
    ISNUMBER(VALUE(LEFT($A74, 1))),
    "",
    IFERROR(IF(_xlfn.XLOOKUP($A74, INDIRECT("'" &amp; R$2 &amp; "'!$A:$A"), INDIRECT("'" &amp; R$2 &amp; "'!$B:$B"), "")&lt;&gt;"", "✓", "✗"), "✗")
)</f>
        <v/>
      </c>
      <c r="S74">
        <f t="array" ref="S74">IF(
    ISNUMBER(VALUE(LEFT($A74, 1))),
    "",
    IFERROR(IF(_xlfn.XLOOKUP($A74, INDIRECT("'" &amp; S$2 &amp; "'!$A:$A"), INDIRECT("'" &amp; S$2 &amp; "'!$B:$B"), "")&lt;&gt;"", "✓", "✗"), "✗")
)</f>
        <v/>
      </c>
      <c r="T74">
        <f t="array" ref="T74">IF(
    ISNUMBER(VALUE(LEFT($A74, 1))),
    "",
    IFERROR(IF(_xlfn.XLOOKUP($A74, INDIRECT("'" &amp; T$2 &amp; "'!$A:$A"), INDIRECT("'" &amp; T$2 &amp; "'!$B:$B"), "")&lt;&gt;"", "✓", "✗"), "✗")
)</f>
        <v/>
      </c>
      <c r="U74">
        <f t="array" ref="U74">IF(
    ISNUMBER(VALUE(LEFT($A74, 1))),
    "",
    IFERROR(IF(_xlfn.XLOOKUP($A74, INDIRECT("'" &amp; U$2 &amp; "'!$A:$A"), INDIRECT("'" &amp; U$2 &amp; "'!$B:$B"), "")&lt;&gt;"", "✓", "✗"), "✗")
)</f>
        <v/>
      </c>
      <c r="V74">
        <f t="array" ref="V74">IF(
    ISNUMBER(VALUE(LEFT($A74, 1))),
    "",
    IFERROR(IF(_xlfn.XLOOKUP($A74, INDIRECT("'" &amp; V$2 &amp; "'!$A:$A"), INDIRECT("'" &amp; V$2 &amp; "'!$B:$B"), "")&lt;&gt;"", "✓", "✗"), "✗")
)</f>
        <v/>
      </c>
      <c r="W74">
        <f t="array" ref="W74">IF(
    ISNUMBER(VALUE(LEFT($A74, 1))),
    "",
    IFERROR(IF(_xlfn.XLOOKUP($A74, INDIRECT("'" &amp; W$2 &amp; "'!$A:$A"), INDIRECT("'" &amp; W$2 &amp; "'!$B:$B"), "")&lt;&gt;"", "✓", "✗"), "✗")
)</f>
        <v/>
      </c>
      <c r="X74">
        <f t="array" ref="X74">IF(
    ISNUMBER(VALUE(LEFT($A74, 1))),
    "",
    IFERROR(IF(_xlfn.XLOOKUP($A74, INDIRECT("'" &amp; X$2 &amp; "'!$A:$A"), INDIRECT("'" &amp; X$2 &amp; "'!$B:$B"), "")&lt;&gt;"", "✓", "✗"), "✗")
)</f>
        <v/>
      </c>
      <c r="Y74">
        <f t="array" ref="Y74">IF(
    ISNUMBER(VALUE(LEFT($A74, 1))),
    "",
    IFERROR(IF(_xlfn.XLOOKUP($A74, INDIRECT("'" &amp; Y$2 &amp; "'!$A:$A"), INDIRECT("'" &amp; Y$2 &amp; "'!$B:$B"), "")&lt;&gt;"", "✓", "✗"), "✗")
)</f>
        <v/>
      </c>
      <c r="Z74">
        <f t="array" ref="Z74">IF(
    ISNUMBER(VALUE(LEFT($A74, 1))),
    "",
    IFERROR(IF(_xlfn.XLOOKUP($A74, INDIRECT("'" &amp; Z$2 &amp; "'!$A:$A"), INDIRECT("'" &amp; Z$2 &amp; "'!$B:$B"), "")&lt;&gt;"", "✓", "✗"), "✗")
)</f>
        <v/>
      </c>
      <c r="AA74">
        <f t="array" ref="AA74">IF(
    ISNUMBER(VALUE(LEFT($A74, 1))),
    "",
    IFERROR(IF(_xlfn.XLOOKUP($A74, INDIRECT("'" &amp; AA$2 &amp; "'!$A:$A"), INDIRECT("'" &amp; AA$2 &amp; "'!$B:$B"), "")&lt;&gt;"", "✓", "✗"), "✗")
)</f>
        <v/>
      </c>
      <c r="AB74">
        <f t="array" ref="AB74">IF(
    ISNUMBER(VALUE(LEFT($A74, 1))),
    "",
    IFERROR(IF(_xlfn.XLOOKUP($A74, INDIRECT("'" &amp; AB$2 &amp; "'!$A:$A"), INDIRECT("'" &amp; AB$2 &amp; "'!$B:$B"), "")&lt;&gt;"", "✓", "✗"), "✗")
)</f>
        <v/>
      </c>
      <c r="AC74">
        <f t="array" ref="AC74">IF(
    ISNUMBER(VALUE(LEFT($A74, 1))),
    "",
    IFERROR(IF(_xlfn.XLOOKUP($A74, INDIRECT("'" &amp; AC$2 &amp; "'!$A:$A"), INDIRECT("'" &amp; AC$2 &amp; "'!$B:$B"), "")&lt;&gt;"", "✓", "✗"), "✗")
)</f>
        <v/>
      </c>
      <c r="AD74">
        <f t="array" ref="AD74">IF(
    ISNUMBER(VALUE(LEFT($A74, 1))),
    "",
    IFERROR(IF(_xlfn.XLOOKUP($A74, INDIRECT("'" &amp; AD$2 &amp; "'!$A:$A"), INDIRECT("'" &amp; AD$2 &amp; "'!$B:$B"), "")&lt;&gt;"", "✓", "✗"), "✗")
)</f>
        <v/>
      </c>
      <c r="AE74">
        <f t="array" ref="AE74">IF(
    ISNUMBER(VALUE(LEFT($A74, 1))),
    "",
    IFERROR(IF(_xlfn.XLOOKUP($A74, INDIRECT("'" &amp; AE$2 &amp; "'!$A:$A"), INDIRECT("'" &amp; AE$2 &amp; "'!$B:$B"), "")&lt;&gt;"", "✓", "✗"), "✗")
)</f>
        <v/>
      </c>
      <c r="AF74">
        <f t="array" ref="AF74">IF(
    ISNUMBER(VALUE(LEFT($A74, 1))),
    "",
    IFERROR(IF(_xlfn.XLOOKUP($A74, INDIRECT("'" &amp; AF$2 &amp; "'!$A:$A"), INDIRECT("'" &amp; AF$2 &amp; "'!$B:$B"), "")&lt;&gt;"", "✓", "✗"), "✗")
)</f>
        <v/>
      </c>
      <c r="AG74">
        <f t="array" ref="AG74">IF(
    ISNUMBER(VALUE(LEFT($A74, 1))),
    "",
    IFERROR(IF(_xlfn.XLOOKUP($A74, INDIRECT("'" &amp; AG$2 &amp; "'!$A:$A"), INDIRECT("'" &amp; AG$2 &amp; "'!$B:$B"), "")&lt;&gt;"", "✓", "✗"), "✗")
)</f>
        <v/>
      </c>
    </row>
    <row r="75">
      <c r="A75" t="inlineStr">
        <is>
          <t>Workfront Content ID</t>
        </is>
      </c>
      <c r="B75">
        <f t="array" ref="B75">IF(
    ISNUMBER(VALUE(LEFT($A75, 1))),
    "",
    IFERROR(IF(_xlfn.XLOOKUP($A75, INDIRECT("'" &amp; B$2 &amp; "'!$A:$A"), INDIRECT("'" &amp; B$2 &amp; "'!$B:$B"), "")&lt;&gt;"", "✓", "✗"), "✗")
)</f>
        <v/>
      </c>
      <c r="C75">
        <f t="array" ref="C75">IF(
    ISNUMBER(VALUE(LEFT($A75, 1))),
    "",
    IFERROR(IF(_xlfn.XLOOKUP($A75, INDIRECT("'" &amp; C$2 &amp; "'!$A:$A"), INDIRECT("'" &amp; C$2 &amp; "'!$B:$B"), "")&lt;&gt;"", "✓", "✗"), "✗")
)</f>
        <v/>
      </c>
      <c r="D75">
        <f t="array" ref="D75">IF(
    ISNUMBER(VALUE(LEFT($A75, 1))),
    "",
    IFERROR(IF(_xlfn.XLOOKUP($A75, INDIRECT("'" &amp; D$2 &amp; "'!$A:$A"), INDIRECT("'" &amp; D$2 &amp; "'!$B:$B"), "")&lt;&gt;"", "✓", "✗"), "✗")
)</f>
        <v/>
      </c>
      <c r="E75">
        <f t="array" ref="E75">IF(
    ISNUMBER(VALUE(LEFT($A75, 1))),
    "",
    IFERROR(IF(_xlfn.XLOOKUP($A75, INDIRECT("'" &amp; E$2 &amp; "'!$A:$A"), INDIRECT("'" &amp; E$2 &amp; "'!$B:$B"), "")&lt;&gt;"", "✓", "✗"), "✗")
)</f>
        <v/>
      </c>
      <c r="F75">
        <f t="array" ref="F75">IF(
    ISNUMBER(VALUE(LEFT($A75, 1))),
    "",
    IFERROR(IF(_xlfn.XLOOKUP($A75, INDIRECT("'" &amp; F$2 &amp; "'!$A:$A"), INDIRECT("'" &amp; F$2 &amp; "'!$B:$B"), "")&lt;&gt;"", "✓", "✗"), "✗")
)</f>
        <v/>
      </c>
      <c r="G75">
        <f t="array" ref="G75">IF(
    ISNUMBER(VALUE(LEFT($A75, 1))),
    "",
    IFERROR(IF(_xlfn.XLOOKUP($A75, INDIRECT("'" &amp; G$2 &amp; "'!$A:$A"), INDIRECT("'" &amp; G$2 &amp; "'!$B:$B"), "")&lt;&gt;"", "✓", "✗"), "✗")
)</f>
        <v/>
      </c>
      <c r="H75">
        <f t="array" ref="H75">IF(
    ISNUMBER(VALUE(LEFT($A75, 1))),
    "",
    IFERROR(IF(_xlfn.XLOOKUP($A75, INDIRECT("'" &amp; H$2 &amp; "'!$A:$A"), INDIRECT("'" &amp; H$2 &amp; "'!$B:$B"), "")&lt;&gt;"", "✓", "✗"), "✗")
)</f>
        <v/>
      </c>
      <c r="I75">
        <f t="array" ref="I75">IF(
    ISNUMBER(VALUE(LEFT($A75, 1))),
    "",
    IFERROR(IF(_xlfn.XLOOKUP($A75, INDIRECT("'" &amp; I$2 &amp; "'!$A:$A"), INDIRECT("'" &amp; I$2 &amp; "'!$B:$B"), "")&lt;&gt;"", "✓", "✗"), "✗")
)</f>
        <v/>
      </c>
      <c r="J75">
        <f t="array" ref="J75">IF(
    ISNUMBER(VALUE(LEFT($A75, 1))),
    "",
    IFERROR(IF(_xlfn.XLOOKUP($A75, INDIRECT("'" &amp; J$2 &amp; "'!$A:$A"), INDIRECT("'" &amp; J$2 &amp; "'!$B:$B"), "")&lt;&gt;"", "✓", "✗"), "✗")
)</f>
        <v/>
      </c>
      <c r="K75">
        <f t="array" ref="K75">IF(
    ISNUMBER(VALUE(LEFT($A75, 1))),
    "",
    IFERROR(IF(_xlfn.XLOOKUP($A75, INDIRECT("'" &amp; K$2 &amp; "'!$A:$A"), INDIRECT("'" &amp; K$2 &amp; "'!$B:$B"), "")&lt;&gt;"", "✓", "✗"), "✗")
)</f>
        <v/>
      </c>
      <c r="L75">
        <f t="array" ref="L75">IF(
    ISNUMBER(VALUE(LEFT($A75, 1))),
    "",
    IFERROR(IF(_xlfn.XLOOKUP($A75, INDIRECT("'" &amp; L$2 &amp; "'!$A:$A"), INDIRECT("'" &amp; L$2 &amp; "'!$B:$B"), "")&lt;&gt;"", "✓", "✗"), "✗")
)</f>
        <v/>
      </c>
      <c r="M75">
        <f t="array" ref="M75">IF(
    ISNUMBER(VALUE(LEFT($A75, 1))),
    "",
    IFERROR(IF(_xlfn.XLOOKUP($A75, INDIRECT("'" &amp; M$2 &amp; "'!$A:$A"), INDIRECT("'" &amp; M$2 &amp; "'!$B:$B"), "")&lt;&gt;"", "✓", "✗"), "✗")
)</f>
        <v/>
      </c>
      <c r="N75">
        <f t="array" ref="N75">IF(
    ISNUMBER(VALUE(LEFT($A75, 1))),
    "",
    IFERROR(IF(_xlfn.XLOOKUP($A75, INDIRECT("'" &amp; N$2 &amp; "'!$A:$A"), INDIRECT("'" &amp; N$2 &amp; "'!$B:$B"), "")&lt;&gt;"", "✓", "✗"), "✗")
)</f>
        <v/>
      </c>
      <c r="O75">
        <f t="array" ref="O75">IF(
    ISNUMBER(VALUE(LEFT($A75, 1))),
    "",
    IFERROR(IF(_xlfn.XLOOKUP($A75, INDIRECT("'" &amp; O$2 &amp; "'!$A:$A"), INDIRECT("'" &amp; O$2 &amp; "'!$B:$B"), "")&lt;&gt;"", "✓", "✗"), "✗")
)</f>
        <v/>
      </c>
      <c r="P75">
        <f t="array" ref="P75">IF(
    ISNUMBER(VALUE(LEFT($A75, 1))),
    "",
    IFERROR(IF(_xlfn.XLOOKUP($A75, INDIRECT("'" &amp; P$2 &amp; "'!$A:$A"), INDIRECT("'" &amp; P$2 &amp; "'!$B:$B"), "")&lt;&gt;"", "✓", "✗"), "✗")
)</f>
        <v/>
      </c>
      <c r="Q75">
        <f t="array" ref="Q75">IF(
    ISNUMBER(VALUE(LEFT($A75, 1))),
    "",
    IFERROR(IF(_xlfn.XLOOKUP($A75, INDIRECT("'" &amp; Q$2 &amp; "'!$A:$A"), INDIRECT("'" &amp; Q$2 &amp; "'!$B:$B"), "")&lt;&gt;"", "✓", "✗"), "✗")
)</f>
        <v/>
      </c>
      <c r="R75">
        <f t="array" ref="R75">IF(
    ISNUMBER(VALUE(LEFT($A75, 1))),
    "",
    IFERROR(IF(_xlfn.XLOOKUP($A75, INDIRECT("'" &amp; R$2 &amp; "'!$A:$A"), INDIRECT("'" &amp; R$2 &amp; "'!$B:$B"), "")&lt;&gt;"", "✓", "✗"), "✗")
)</f>
        <v/>
      </c>
      <c r="S75">
        <f t="array" ref="S75">IF(
    ISNUMBER(VALUE(LEFT($A75, 1))),
    "",
    IFERROR(IF(_xlfn.XLOOKUP($A75, INDIRECT("'" &amp; S$2 &amp; "'!$A:$A"), INDIRECT("'" &amp; S$2 &amp; "'!$B:$B"), "")&lt;&gt;"", "✓", "✗"), "✗")
)</f>
        <v/>
      </c>
      <c r="T75">
        <f t="array" ref="T75">IF(
    ISNUMBER(VALUE(LEFT($A75, 1))),
    "",
    IFERROR(IF(_xlfn.XLOOKUP($A75, INDIRECT("'" &amp; T$2 &amp; "'!$A:$A"), INDIRECT("'" &amp; T$2 &amp; "'!$B:$B"), "")&lt;&gt;"", "✓", "✗"), "✗")
)</f>
        <v/>
      </c>
      <c r="U75">
        <f t="array" ref="U75">IF(
    ISNUMBER(VALUE(LEFT($A75, 1))),
    "",
    IFERROR(IF(_xlfn.XLOOKUP($A75, INDIRECT("'" &amp; U$2 &amp; "'!$A:$A"), INDIRECT("'" &amp; U$2 &amp; "'!$B:$B"), "")&lt;&gt;"", "✓", "✗"), "✗")
)</f>
        <v/>
      </c>
      <c r="V75">
        <f t="array" ref="V75">IF(
    ISNUMBER(VALUE(LEFT($A75, 1))),
    "",
    IFERROR(IF(_xlfn.XLOOKUP($A75, INDIRECT("'" &amp; V$2 &amp; "'!$A:$A"), INDIRECT("'" &amp; V$2 &amp; "'!$B:$B"), "")&lt;&gt;"", "✓", "✗"), "✗")
)</f>
        <v/>
      </c>
      <c r="W75">
        <f t="array" ref="W75">IF(
    ISNUMBER(VALUE(LEFT($A75, 1))),
    "",
    IFERROR(IF(_xlfn.XLOOKUP($A75, INDIRECT("'" &amp; W$2 &amp; "'!$A:$A"), INDIRECT("'" &amp; W$2 &amp; "'!$B:$B"), "")&lt;&gt;"", "✓", "✗"), "✗")
)</f>
        <v/>
      </c>
      <c r="X75">
        <f t="array" ref="X75">IF(
    ISNUMBER(VALUE(LEFT($A75, 1))),
    "",
    IFERROR(IF(_xlfn.XLOOKUP($A75, INDIRECT("'" &amp; X$2 &amp; "'!$A:$A"), INDIRECT("'" &amp; X$2 &amp; "'!$B:$B"), "")&lt;&gt;"", "✓", "✗"), "✗")
)</f>
        <v/>
      </c>
      <c r="Y75">
        <f t="array" ref="Y75">IF(
    ISNUMBER(VALUE(LEFT($A75, 1))),
    "",
    IFERROR(IF(_xlfn.XLOOKUP($A75, INDIRECT("'" &amp; Y$2 &amp; "'!$A:$A"), INDIRECT("'" &amp; Y$2 &amp; "'!$B:$B"), "")&lt;&gt;"", "✓", "✗"), "✗")
)</f>
        <v/>
      </c>
      <c r="Z75">
        <f t="array" ref="Z75">IF(
    ISNUMBER(VALUE(LEFT($A75, 1))),
    "",
    IFERROR(IF(_xlfn.XLOOKUP($A75, INDIRECT("'" &amp; Z$2 &amp; "'!$A:$A"), INDIRECT("'" &amp; Z$2 &amp; "'!$B:$B"), "")&lt;&gt;"", "✓", "✗"), "✗")
)</f>
        <v/>
      </c>
      <c r="AA75">
        <f t="array" ref="AA75">IF(
    ISNUMBER(VALUE(LEFT($A75, 1))),
    "",
    IFERROR(IF(_xlfn.XLOOKUP($A75, INDIRECT("'" &amp; AA$2 &amp; "'!$A:$A"), INDIRECT("'" &amp; AA$2 &amp; "'!$B:$B"), "")&lt;&gt;"", "✓", "✗"), "✗")
)</f>
        <v/>
      </c>
      <c r="AB75">
        <f t="array" ref="AB75">IF(
    ISNUMBER(VALUE(LEFT($A75, 1))),
    "",
    IFERROR(IF(_xlfn.XLOOKUP($A75, INDIRECT("'" &amp; AB$2 &amp; "'!$A:$A"), INDIRECT("'" &amp; AB$2 &amp; "'!$B:$B"), "")&lt;&gt;"", "✓", "✗"), "✗")
)</f>
        <v/>
      </c>
      <c r="AC75">
        <f t="array" ref="AC75">IF(
    ISNUMBER(VALUE(LEFT($A75, 1))),
    "",
    IFERROR(IF(_xlfn.XLOOKUP($A75, INDIRECT("'" &amp; AC$2 &amp; "'!$A:$A"), INDIRECT("'" &amp; AC$2 &amp; "'!$B:$B"), "")&lt;&gt;"", "✓", "✗"), "✗")
)</f>
        <v/>
      </c>
      <c r="AD75">
        <f t="array" ref="AD75">IF(
    ISNUMBER(VALUE(LEFT($A75, 1))),
    "",
    IFERROR(IF(_xlfn.XLOOKUP($A75, INDIRECT("'" &amp; AD$2 &amp; "'!$A:$A"), INDIRECT("'" &amp; AD$2 &amp; "'!$B:$B"), "")&lt;&gt;"", "✓", "✗"), "✗")
)</f>
        <v/>
      </c>
      <c r="AE75">
        <f t="array" ref="AE75">IF(
    ISNUMBER(VALUE(LEFT($A75, 1))),
    "",
    IFERROR(IF(_xlfn.XLOOKUP($A75, INDIRECT("'" &amp; AE$2 &amp; "'!$A:$A"), INDIRECT("'" &amp; AE$2 &amp; "'!$B:$B"), "")&lt;&gt;"", "✓", "✗"), "✗")
)</f>
        <v/>
      </c>
      <c r="AF75">
        <f t="array" ref="AF75">IF(
    ISNUMBER(VALUE(LEFT($A75, 1))),
    "",
    IFERROR(IF(_xlfn.XLOOKUP($A75, INDIRECT("'" &amp; AF$2 &amp; "'!$A:$A"), INDIRECT("'" &amp; AF$2 &amp; "'!$B:$B"), "")&lt;&gt;"", "✓", "✗"), "✗")
)</f>
        <v/>
      </c>
      <c r="AG75">
        <f t="array" ref="AG75">IF(
    ISNUMBER(VALUE(LEFT($A75, 1))),
    "",
    IFERROR(IF(_xlfn.XLOOKUP($A75, INDIRECT("'" &amp; AG$2 &amp; "'!$A:$A"), INDIRECT("'" &amp; AG$2 &amp; "'!$B:$B"), "")&lt;&gt;"", "✓", "✗"), "✗")
)</f>
        <v/>
      </c>
    </row>
    <row r="76">
      <c r="A76" t="inlineStr">
        <is>
          <t>Content Type</t>
        </is>
      </c>
      <c r="B76">
        <f t="array" ref="B76">IF(
    ISNUMBER(VALUE(LEFT($A76, 1))),
    "",
    IFERROR(IF(_xlfn.XLOOKUP($A76, INDIRECT("'" &amp; B$2 &amp; "'!$A:$A"), INDIRECT("'" &amp; B$2 &amp; "'!$B:$B"), "")&lt;&gt;"", "✓", "✗"), "✗")
)</f>
        <v/>
      </c>
      <c r="C76">
        <f t="array" ref="C76">IF(
    ISNUMBER(VALUE(LEFT($A76, 1))),
    "",
    IFERROR(IF(_xlfn.XLOOKUP($A76, INDIRECT("'" &amp; C$2 &amp; "'!$A:$A"), INDIRECT("'" &amp; C$2 &amp; "'!$B:$B"), "")&lt;&gt;"", "✓", "✗"), "✗")
)</f>
        <v/>
      </c>
      <c r="D76">
        <f t="array" ref="D76">IF(
    ISNUMBER(VALUE(LEFT($A76, 1))),
    "",
    IFERROR(IF(_xlfn.XLOOKUP($A76, INDIRECT("'" &amp; D$2 &amp; "'!$A:$A"), INDIRECT("'" &amp; D$2 &amp; "'!$B:$B"), "")&lt;&gt;"", "✓", "✗"), "✗")
)</f>
        <v/>
      </c>
      <c r="E76">
        <f t="array" ref="E76">IF(
    ISNUMBER(VALUE(LEFT($A76, 1))),
    "",
    IFERROR(IF(_xlfn.XLOOKUP($A76, INDIRECT("'" &amp; E$2 &amp; "'!$A:$A"), INDIRECT("'" &amp; E$2 &amp; "'!$B:$B"), "")&lt;&gt;"", "✓", "✗"), "✗")
)</f>
        <v/>
      </c>
      <c r="F76">
        <f t="array" ref="F76">IF(
    ISNUMBER(VALUE(LEFT($A76, 1))),
    "",
    IFERROR(IF(_xlfn.XLOOKUP($A76, INDIRECT("'" &amp; F$2 &amp; "'!$A:$A"), INDIRECT("'" &amp; F$2 &amp; "'!$B:$B"), "")&lt;&gt;"", "✓", "✗"), "✗")
)</f>
        <v/>
      </c>
      <c r="G76">
        <f t="array" ref="G76">IF(
    ISNUMBER(VALUE(LEFT($A76, 1))),
    "",
    IFERROR(IF(_xlfn.XLOOKUP($A76, INDIRECT("'" &amp; G$2 &amp; "'!$A:$A"), INDIRECT("'" &amp; G$2 &amp; "'!$B:$B"), "")&lt;&gt;"", "✓", "✗"), "✗")
)</f>
        <v/>
      </c>
      <c r="H76">
        <f t="array" ref="H76">IF(
    ISNUMBER(VALUE(LEFT($A76, 1))),
    "",
    IFERROR(IF(_xlfn.XLOOKUP($A76, INDIRECT("'" &amp; H$2 &amp; "'!$A:$A"), INDIRECT("'" &amp; H$2 &amp; "'!$B:$B"), "")&lt;&gt;"", "✓", "✗"), "✗")
)</f>
        <v/>
      </c>
      <c r="I76">
        <f t="array" ref="I76">IF(
    ISNUMBER(VALUE(LEFT($A76, 1))),
    "",
    IFERROR(IF(_xlfn.XLOOKUP($A76, INDIRECT("'" &amp; I$2 &amp; "'!$A:$A"), INDIRECT("'" &amp; I$2 &amp; "'!$B:$B"), "")&lt;&gt;"", "✓", "✗"), "✗")
)</f>
        <v/>
      </c>
      <c r="J76">
        <f t="array" ref="J76">IF(
    ISNUMBER(VALUE(LEFT($A76, 1))),
    "",
    IFERROR(IF(_xlfn.XLOOKUP($A76, INDIRECT("'" &amp; J$2 &amp; "'!$A:$A"), INDIRECT("'" &amp; J$2 &amp; "'!$B:$B"), "")&lt;&gt;"", "✓", "✗"), "✗")
)</f>
        <v/>
      </c>
      <c r="K76">
        <f t="array" ref="K76">IF(
    ISNUMBER(VALUE(LEFT($A76, 1))),
    "",
    IFERROR(IF(_xlfn.XLOOKUP($A76, INDIRECT("'" &amp; K$2 &amp; "'!$A:$A"), INDIRECT("'" &amp; K$2 &amp; "'!$B:$B"), "")&lt;&gt;"", "✓", "✗"), "✗")
)</f>
        <v/>
      </c>
      <c r="L76">
        <f t="array" ref="L76">IF(
    ISNUMBER(VALUE(LEFT($A76, 1))),
    "",
    IFERROR(IF(_xlfn.XLOOKUP($A76, INDIRECT("'" &amp; L$2 &amp; "'!$A:$A"), INDIRECT("'" &amp; L$2 &amp; "'!$B:$B"), "")&lt;&gt;"", "✓", "✗"), "✗")
)</f>
        <v/>
      </c>
      <c r="M76">
        <f t="array" ref="M76">IF(
    ISNUMBER(VALUE(LEFT($A76, 1))),
    "",
    IFERROR(IF(_xlfn.XLOOKUP($A76, INDIRECT("'" &amp; M$2 &amp; "'!$A:$A"), INDIRECT("'" &amp; M$2 &amp; "'!$B:$B"), "")&lt;&gt;"", "✓", "✗"), "✗")
)</f>
        <v/>
      </c>
      <c r="N76">
        <f t="array" ref="N76">IF(
    ISNUMBER(VALUE(LEFT($A76, 1))),
    "",
    IFERROR(IF(_xlfn.XLOOKUP($A76, INDIRECT("'" &amp; N$2 &amp; "'!$A:$A"), INDIRECT("'" &amp; N$2 &amp; "'!$B:$B"), "")&lt;&gt;"", "✓", "✗"), "✗")
)</f>
        <v/>
      </c>
      <c r="O76">
        <f t="array" ref="O76">IF(
    ISNUMBER(VALUE(LEFT($A76, 1))),
    "",
    IFERROR(IF(_xlfn.XLOOKUP($A76, INDIRECT("'" &amp; O$2 &amp; "'!$A:$A"), INDIRECT("'" &amp; O$2 &amp; "'!$B:$B"), "")&lt;&gt;"", "✓", "✗"), "✗")
)</f>
        <v/>
      </c>
      <c r="P76">
        <f t="array" ref="P76">IF(
    ISNUMBER(VALUE(LEFT($A76, 1))),
    "",
    IFERROR(IF(_xlfn.XLOOKUP($A76, INDIRECT("'" &amp; P$2 &amp; "'!$A:$A"), INDIRECT("'" &amp; P$2 &amp; "'!$B:$B"), "")&lt;&gt;"", "✓", "✗"), "✗")
)</f>
        <v/>
      </c>
      <c r="Q76">
        <f t="array" ref="Q76">IF(
    ISNUMBER(VALUE(LEFT($A76, 1))),
    "",
    IFERROR(IF(_xlfn.XLOOKUP($A76, INDIRECT("'" &amp; Q$2 &amp; "'!$A:$A"), INDIRECT("'" &amp; Q$2 &amp; "'!$B:$B"), "")&lt;&gt;"", "✓", "✗"), "✗")
)</f>
        <v/>
      </c>
      <c r="R76">
        <f t="array" ref="R76">IF(
    ISNUMBER(VALUE(LEFT($A76, 1))),
    "",
    IFERROR(IF(_xlfn.XLOOKUP($A76, INDIRECT("'" &amp; R$2 &amp; "'!$A:$A"), INDIRECT("'" &amp; R$2 &amp; "'!$B:$B"), "")&lt;&gt;"", "✓", "✗"), "✗")
)</f>
        <v/>
      </c>
      <c r="S76">
        <f t="array" ref="S76">IF(
    ISNUMBER(VALUE(LEFT($A76, 1))),
    "",
    IFERROR(IF(_xlfn.XLOOKUP($A76, INDIRECT("'" &amp; S$2 &amp; "'!$A:$A"), INDIRECT("'" &amp; S$2 &amp; "'!$B:$B"), "")&lt;&gt;"", "✓", "✗"), "✗")
)</f>
        <v/>
      </c>
      <c r="T76">
        <f t="array" ref="T76">IF(
    ISNUMBER(VALUE(LEFT($A76, 1))),
    "",
    IFERROR(IF(_xlfn.XLOOKUP($A76, INDIRECT("'" &amp; T$2 &amp; "'!$A:$A"), INDIRECT("'" &amp; T$2 &amp; "'!$B:$B"), "")&lt;&gt;"", "✓", "✗"), "✗")
)</f>
        <v/>
      </c>
      <c r="U76">
        <f t="array" ref="U76">IF(
    ISNUMBER(VALUE(LEFT($A76, 1))),
    "",
    IFERROR(IF(_xlfn.XLOOKUP($A76, INDIRECT("'" &amp; U$2 &amp; "'!$A:$A"), INDIRECT("'" &amp; U$2 &amp; "'!$B:$B"), "")&lt;&gt;"", "✓", "✗"), "✗")
)</f>
        <v/>
      </c>
      <c r="V76">
        <f t="array" ref="V76">IF(
    ISNUMBER(VALUE(LEFT($A76, 1))),
    "",
    IFERROR(IF(_xlfn.XLOOKUP($A76, INDIRECT("'" &amp; V$2 &amp; "'!$A:$A"), INDIRECT("'" &amp; V$2 &amp; "'!$B:$B"), "")&lt;&gt;"", "✓", "✗"), "✗")
)</f>
        <v/>
      </c>
      <c r="W76">
        <f t="array" ref="W76">IF(
    ISNUMBER(VALUE(LEFT($A76, 1))),
    "",
    IFERROR(IF(_xlfn.XLOOKUP($A76, INDIRECT("'" &amp; W$2 &amp; "'!$A:$A"), INDIRECT("'" &amp; W$2 &amp; "'!$B:$B"), "")&lt;&gt;"", "✓", "✗"), "✗")
)</f>
        <v/>
      </c>
      <c r="X76">
        <f t="array" ref="X76">IF(
    ISNUMBER(VALUE(LEFT($A76, 1))),
    "",
    IFERROR(IF(_xlfn.XLOOKUP($A76, INDIRECT("'" &amp; X$2 &amp; "'!$A:$A"), INDIRECT("'" &amp; X$2 &amp; "'!$B:$B"), "")&lt;&gt;"", "✓", "✗"), "✗")
)</f>
        <v/>
      </c>
      <c r="Y76">
        <f t="array" ref="Y76">IF(
    ISNUMBER(VALUE(LEFT($A76, 1))),
    "",
    IFERROR(IF(_xlfn.XLOOKUP($A76, INDIRECT("'" &amp; Y$2 &amp; "'!$A:$A"), INDIRECT("'" &amp; Y$2 &amp; "'!$B:$B"), "")&lt;&gt;"", "✓", "✗"), "✗")
)</f>
        <v/>
      </c>
      <c r="Z76">
        <f t="array" ref="Z76">IF(
    ISNUMBER(VALUE(LEFT($A76, 1))),
    "",
    IFERROR(IF(_xlfn.XLOOKUP($A76, INDIRECT("'" &amp; Z$2 &amp; "'!$A:$A"), INDIRECT("'" &amp; Z$2 &amp; "'!$B:$B"), "")&lt;&gt;"", "✓", "✗"), "✗")
)</f>
        <v/>
      </c>
      <c r="AA76">
        <f t="array" ref="AA76">IF(
    ISNUMBER(VALUE(LEFT($A76, 1))),
    "",
    IFERROR(IF(_xlfn.XLOOKUP($A76, INDIRECT("'" &amp; AA$2 &amp; "'!$A:$A"), INDIRECT("'" &amp; AA$2 &amp; "'!$B:$B"), "")&lt;&gt;"", "✓", "✗"), "✗")
)</f>
        <v/>
      </c>
      <c r="AB76">
        <f t="array" ref="AB76">IF(
    ISNUMBER(VALUE(LEFT($A76, 1))),
    "",
    IFERROR(IF(_xlfn.XLOOKUP($A76, INDIRECT("'" &amp; AB$2 &amp; "'!$A:$A"), INDIRECT("'" &amp; AB$2 &amp; "'!$B:$B"), "")&lt;&gt;"", "✓", "✗"), "✗")
)</f>
        <v/>
      </c>
      <c r="AC76">
        <f t="array" ref="AC76">IF(
    ISNUMBER(VALUE(LEFT($A76, 1))),
    "",
    IFERROR(IF(_xlfn.XLOOKUP($A76, INDIRECT("'" &amp; AC$2 &amp; "'!$A:$A"), INDIRECT("'" &amp; AC$2 &amp; "'!$B:$B"), "")&lt;&gt;"", "✓", "✗"), "✗")
)</f>
        <v/>
      </c>
      <c r="AD76">
        <f t="array" ref="AD76">IF(
    ISNUMBER(VALUE(LEFT($A76, 1))),
    "",
    IFERROR(IF(_xlfn.XLOOKUP($A76, INDIRECT("'" &amp; AD$2 &amp; "'!$A:$A"), INDIRECT("'" &amp; AD$2 &amp; "'!$B:$B"), "")&lt;&gt;"", "✓", "✗"), "✗")
)</f>
        <v/>
      </c>
      <c r="AE76">
        <f t="array" ref="AE76">IF(
    ISNUMBER(VALUE(LEFT($A76, 1))),
    "",
    IFERROR(IF(_xlfn.XLOOKUP($A76, INDIRECT("'" &amp; AE$2 &amp; "'!$A:$A"), INDIRECT("'" &amp; AE$2 &amp; "'!$B:$B"), "")&lt;&gt;"", "✓", "✗"), "✗")
)</f>
        <v/>
      </c>
      <c r="AF76">
        <f t="array" ref="AF76">IF(
    ISNUMBER(VALUE(LEFT($A76, 1))),
    "",
    IFERROR(IF(_xlfn.XLOOKUP($A76, INDIRECT("'" &amp; AF$2 &amp; "'!$A:$A"), INDIRECT("'" &amp; AF$2 &amp; "'!$B:$B"), "")&lt;&gt;"", "✓", "✗"), "✗")
)</f>
        <v/>
      </c>
      <c r="AG76">
        <f t="array" ref="AG76">IF(
    ISNUMBER(VALUE(LEFT($A76, 1))),
    "",
    IFERROR(IF(_xlfn.XLOOKUP($A76, INDIRECT("'" &amp; AG$2 &amp; "'!$A:$A"), INDIRECT("'" &amp; AG$2 &amp; "'!$B:$B"), "")&lt;&gt;"", "✓", "✗"), "✗")
)</f>
        <v/>
      </c>
    </row>
    <row r="77">
      <c r="A77" t="inlineStr">
        <is>
          <t>Vendor</t>
        </is>
      </c>
      <c r="B77">
        <f t="array" ref="B77">IF(
    ISNUMBER(VALUE(LEFT($A77, 1))),
    "",
    IFERROR(IF(_xlfn.XLOOKUP($A77, INDIRECT("'" &amp; B$2 &amp; "'!$A:$A"), INDIRECT("'" &amp; B$2 &amp; "'!$B:$B"), "")&lt;&gt;"", "✓", "✗"), "✗")
)</f>
        <v/>
      </c>
      <c r="C77">
        <f t="array" ref="C77">IF(
    ISNUMBER(VALUE(LEFT($A77, 1))),
    "",
    IFERROR(IF(_xlfn.XLOOKUP($A77, INDIRECT("'" &amp; C$2 &amp; "'!$A:$A"), INDIRECT("'" &amp; C$2 &amp; "'!$B:$B"), "")&lt;&gt;"", "✓", "✗"), "✗")
)</f>
        <v/>
      </c>
      <c r="D77">
        <f t="array" ref="D77">IF(
    ISNUMBER(VALUE(LEFT($A77, 1))),
    "",
    IFERROR(IF(_xlfn.XLOOKUP($A77, INDIRECT("'" &amp; D$2 &amp; "'!$A:$A"), INDIRECT("'" &amp; D$2 &amp; "'!$B:$B"), "")&lt;&gt;"", "✓", "✗"), "✗")
)</f>
        <v/>
      </c>
      <c r="E77">
        <f t="array" ref="E77">IF(
    ISNUMBER(VALUE(LEFT($A77, 1))),
    "",
    IFERROR(IF(_xlfn.XLOOKUP($A77, INDIRECT("'" &amp; E$2 &amp; "'!$A:$A"), INDIRECT("'" &amp; E$2 &amp; "'!$B:$B"), "")&lt;&gt;"", "✓", "✗"), "✗")
)</f>
        <v/>
      </c>
      <c r="F77">
        <f t="array" ref="F77">IF(
    ISNUMBER(VALUE(LEFT($A77, 1))),
    "",
    IFERROR(IF(_xlfn.XLOOKUP($A77, INDIRECT("'" &amp; F$2 &amp; "'!$A:$A"), INDIRECT("'" &amp; F$2 &amp; "'!$B:$B"), "")&lt;&gt;"", "✓", "✗"), "✗")
)</f>
        <v/>
      </c>
      <c r="G77">
        <f t="array" ref="G77">IF(
    ISNUMBER(VALUE(LEFT($A77, 1))),
    "",
    IFERROR(IF(_xlfn.XLOOKUP($A77, INDIRECT("'" &amp; G$2 &amp; "'!$A:$A"), INDIRECT("'" &amp; G$2 &amp; "'!$B:$B"), "")&lt;&gt;"", "✓", "✗"), "✗")
)</f>
        <v/>
      </c>
      <c r="H77">
        <f t="array" ref="H77">IF(
    ISNUMBER(VALUE(LEFT($A77, 1))),
    "",
    IFERROR(IF(_xlfn.XLOOKUP($A77, INDIRECT("'" &amp; H$2 &amp; "'!$A:$A"), INDIRECT("'" &amp; H$2 &amp; "'!$B:$B"), "")&lt;&gt;"", "✓", "✗"), "✗")
)</f>
        <v/>
      </c>
      <c r="I77">
        <f t="array" ref="I77">IF(
    ISNUMBER(VALUE(LEFT($A77, 1))),
    "",
    IFERROR(IF(_xlfn.XLOOKUP($A77, INDIRECT("'" &amp; I$2 &amp; "'!$A:$A"), INDIRECT("'" &amp; I$2 &amp; "'!$B:$B"), "")&lt;&gt;"", "✓", "✗"), "✗")
)</f>
        <v/>
      </c>
      <c r="J77">
        <f t="array" ref="J77">IF(
    ISNUMBER(VALUE(LEFT($A77, 1))),
    "",
    IFERROR(IF(_xlfn.XLOOKUP($A77, INDIRECT("'" &amp; J$2 &amp; "'!$A:$A"), INDIRECT("'" &amp; J$2 &amp; "'!$B:$B"), "")&lt;&gt;"", "✓", "✗"), "✗")
)</f>
        <v/>
      </c>
      <c r="K77">
        <f t="array" ref="K77">IF(
    ISNUMBER(VALUE(LEFT($A77, 1))),
    "",
    IFERROR(IF(_xlfn.XLOOKUP($A77, INDIRECT("'" &amp; K$2 &amp; "'!$A:$A"), INDIRECT("'" &amp; K$2 &amp; "'!$B:$B"), "")&lt;&gt;"", "✓", "✗"), "✗")
)</f>
        <v/>
      </c>
      <c r="L77">
        <f t="array" ref="L77">IF(
    ISNUMBER(VALUE(LEFT($A77, 1))),
    "",
    IFERROR(IF(_xlfn.XLOOKUP($A77, INDIRECT("'" &amp; L$2 &amp; "'!$A:$A"), INDIRECT("'" &amp; L$2 &amp; "'!$B:$B"), "")&lt;&gt;"", "✓", "✗"), "✗")
)</f>
        <v/>
      </c>
      <c r="M77">
        <f t="array" ref="M77">IF(
    ISNUMBER(VALUE(LEFT($A77, 1))),
    "",
    IFERROR(IF(_xlfn.XLOOKUP($A77, INDIRECT("'" &amp; M$2 &amp; "'!$A:$A"), INDIRECT("'" &amp; M$2 &amp; "'!$B:$B"), "")&lt;&gt;"", "✓", "✗"), "✗")
)</f>
        <v/>
      </c>
      <c r="N77">
        <f t="array" ref="N77">IF(
    ISNUMBER(VALUE(LEFT($A77, 1))),
    "",
    IFERROR(IF(_xlfn.XLOOKUP($A77, INDIRECT("'" &amp; N$2 &amp; "'!$A:$A"), INDIRECT("'" &amp; N$2 &amp; "'!$B:$B"), "")&lt;&gt;"", "✓", "✗"), "✗")
)</f>
        <v/>
      </c>
      <c r="O77">
        <f t="array" ref="O77">IF(
    ISNUMBER(VALUE(LEFT($A77, 1))),
    "",
    IFERROR(IF(_xlfn.XLOOKUP($A77, INDIRECT("'" &amp; O$2 &amp; "'!$A:$A"), INDIRECT("'" &amp; O$2 &amp; "'!$B:$B"), "")&lt;&gt;"", "✓", "✗"), "✗")
)</f>
        <v/>
      </c>
      <c r="P77">
        <f t="array" ref="P77">IF(
    ISNUMBER(VALUE(LEFT($A77, 1))),
    "",
    IFERROR(IF(_xlfn.XLOOKUP($A77, INDIRECT("'" &amp; P$2 &amp; "'!$A:$A"), INDIRECT("'" &amp; P$2 &amp; "'!$B:$B"), "")&lt;&gt;"", "✓", "✗"), "✗")
)</f>
        <v/>
      </c>
      <c r="Q77">
        <f t="array" ref="Q77">IF(
    ISNUMBER(VALUE(LEFT($A77, 1))),
    "",
    IFERROR(IF(_xlfn.XLOOKUP($A77, INDIRECT("'" &amp; Q$2 &amp; "'!$A:$A"), INDIRECT("'" &amp; Q$2 &amp; "'!$B:$B"), "")&lt;&gt;"", "✓", "✗"), "✗")
)</f>
        <v/>
      </c>
      <c r="R77">
        <f t="array" ref="R77">IF(
    ISNUMBER(VALUE(LEFT($A77, 1))),
    "",
    IFERROR(IF(_xlfn.XLOOKUP($A77, INDIRECT("'" &amp; R$2 &amp; "'!$A:$A"), INDIRECT("'" &amp; R$2 &amp; "'!$B:$B"), "")&lt;&gt;"", "✓", "✗"), "✗")
)</f>
        <v/>
      </c>
      <c r="S77">
        <f t="array" ref="S77">IF(
    ISNUMBER(VALUE(LEFT($A77, 1))),
    "",
    IFERROR(IF(_xlfn.XLOOKUP($A77, INDIRECT("'" &amp; S$2 &amp; "'!$A:$A"), INDIRECT("'" &amp; S$2 &amp; "'!$B:$B"), "")&lt;&gt;"", "✓", "✗"), "✗")
)</f>
        <v/>
      </c>
      <c r="T77">
        <f t="array" ref="T77">IF(
    ISNUMBER(VALUE(LEFT($A77, 1))),
    "",
    IFERROR(IF(_xlfn.XLOOKUP($A77, INDIRECT("'" &amp; T$2 &amp; "'!$A:$A"), INDIRECT("'" &amp; T$2 &amp; "'!$B:$B"), "")&lt;&gt;"", "✓", "✗"), "✗")
)</f>
        <v/>
      </c>
      <c r="U77">
        <f t="array" ref="U77">IF(
    ISNUMBER(VALUE(LEFT($A77, 1))),
    "",
    IFERROR(IF(_xlfn.XLOOKUP($A77, INDIRECT("'" &amp; U$2 &amp; "'!$A:$A"), INDIRECT("'" &amp; U$2 &amp; "'!$B:$B"), "")&lt;&gt;"", "✓", "✗"), "✗")
)</f>
        <v/>
      </c>
      <c r="V77">
        <f t="array" ref="V77">IF(
    ISNUMBER(VALUE(LEFT($A77, 1))),
    "",
    IFERROR(IF(_xlfn.XLOOKUP($A77, INDIRECT("'" &amp; V$2 &amp; "'!$A:$A"), INDIRECT("'" &amp; V$2 &amp; "'!$B:$B"), "")&lt;&gt;"", "✓", "✗"), "✗")
)</f>
        <v/>
      </c>
      <c r="W77">
        <f t="array" ref="W77">IF(
    ISNUMBER(VALUE(LEFT($A77, 1))),
    "",
    IFERROR(IF(_xlfn.XLOOKUP($A77, INDIRECT("'" &amp; W$2 &amp; "'!$A:$A"), INDIRECT("'" &amp; W$2 &amp; "'!$B:$B"), "")&lt;&gt;"", "✓", "✗"), "✗")
)</f>
        <v/>
      </c>
      <c r="X77">
        <f t="array" ref="X77">IF(
    ISNUMBER(VALUE(LEFT($A77, 1))),
    "",
    IFERROR(IF(_xlfn.XLOOKUP($A77, INDIRECT("'" &amp; X$2 &amp; "'!$A:$A"), INDIRECT("'" &amp; X$2 &amp; "'!$B:$B"), "")&lt;&gt;"", "✓", "✗"), "✗")
)</f>
        <v/>
      </c>
      <c r="Y77">
        <f t="array" ref="Y77">IF(
    ISNUMBER(VALUE(LEFT($A77, 1))),
    "",
    IFERROR(IF(_xlfn.XLOOKUP($A77, INDIRECT("'" &amp; Y$2 &amp; "'!$A:$A"), INDIRECT("'" &amp; Y$2 &amp; "'!$B:$B"), "")&lt;&gt;"", "✓", "✗"), "✗")
)</f>
        <v/>
      </c>
      <c r="Z77">
        <f t="array" ref="Z77">IF(
    ISNUMBER(VALUE(LEFT($A77, 1))),
    "",
    IFERROR(IF(_xlfn.XLOOKUP($A77, INDIRECT("'" &amp; Z$2 &amp; "'!$A:$A"), INDIRECT("'" &amp; Z$2 &amp; "'!$B:$B"), "")&lt;&gt;"", "✓", "✗"), "✗")
)</f>
        <v/>
      </c>
      <c r="AA77">
        <f t="array" ref="AA77">IF(
    ISNUMBER(VALUE(LEFT($A77, 1))),
    "",
    IFERROR(IF(_xlfn.XLOOKUP($A77, INDIRECT("'" &amp; AA$2 &amp; "'!$A:$A"), INDIRECT("'" &amp; AA$2 &amp; "'!$B:$B"), "")&lt;&gt;"", "✓", "✗"), "✗")
)</f>
        <v/>
      </c>
      <c r="AB77">
        <f t="array" ref="AB77">IF(
    ISNUMBER(VALUE(LEFT($A77, 1))),
    "",
    IFERROR(IF(_xlfn.XLOOKUP($A77, INDIRECT("'" &amp; AB$2 &amp; "'!$A:$A"), INDIRECT("'" &amp; AB$2 &amp; "'!$B:$B"), "")&lt;&gt;"", "✓", "✗"), "✗")
)</f>
        <v/>
      </c>
      <c r="AC77">
        <f t="array" ref="AC77">IF(
    ISNUMBER(VALUE(LEFT($A77, 1))),
    "",
    IFERROR(IF(_xlfn.XLOOKUP($A77, INDIRECT("'" &amp; AC$2 &amp; "'!$A:$A"), INDIRECT("'" &amp; AC$2 &amp; "'!$B:$B"), "")&lt;&gt;"", "✓", "✗"), "✗")
)</f>
        <v/>
      </c>
      <c r="AD77">
        <f t="array" ref="AD77">IF(
    ISNUMBER(VALUE(LEFT($A77, 1))),
    "",
    IFERROR(IF(_xlfn.XLOOKUP($A77, INDIRECT("'" &amp; AD$2 &amp; "'!$A:$A"), INDIRECT("'" &amp; AD$2 &amp; "'!$B:$B"), "")&lt;&gt;"", "✓", "✗"), "✗")
)</f>
        <v/>
      </c>
      <c r="AE77">
        <f t="array" ref="AE77">IF(
    ISNUMBER(VALUE(LEFT($A77, 1))),
    "",
    IFERROR(IF(_xlfn.XLOOKUP($A77, INDIRECT("'" &amp; AE$2 &amp; "'!$A:$A"), INDIRECT("'" &amp; AE$2 &amp; "'!$B:$B"), "")&lt;&gt;"", "✓", "✗"), "✗")
)</f>
        <v/>
      </c>
      <c r="AF77">
        <f t="array" ref="AF77">IF(
    ISNUMBER(VALUE(LEFT($A77, 1))),
    "",
    IFERROR(IF(_xlfn.XLOOKUP($A77, INDIRECT("'" &amp; AF$2 &amp; "'!$A:$A"), INDIRECT("'" &amp; AF$2 &amp; "'!$B:$B"), "")&lt;&gt;"", "✓", "✗"), "✗")
)</f>
        <v/>
      </c>
      <c r="AG77">
        <f t="array" ref="AG77">IF(
    ISNUMBER(VALUE(LEFT($A77, 1))),
    "",
    IFERROR(IF(_xlfn.XLOOKUP($A77, INDIRECT("'" &amp; AG$2 &amp; "'!$A:$A"), INDIRECT("'" &amp; AG$2 &amp; "'!$B:$B"), "")&lt;&gt;"", "✓", "✗"), "✗")
)</f>
        <v/>
      </c>
    </row>
    <row r="78">
      <c r="A78" t="inlineStr">
        <is>
          <t>7 - Event Tracking Parameters</t>
        </is>
      </c>
      <c r="B78">
        <f t="array" ref="B78">IF(
    ISNUMBER(VALUE(LEFT($A78, 1))),
    "",
    IFERROR(IF(_xlfn.XLOOKUP($A78, INDIRECT("'" &amp; B$2 &amp; "'!$A:$A"), INDIRECT("'" &amp; B$2 &amp; "'!$B:$B"), "")&lt;&gt;"", "✓", "✗"), "✗")
)</f>
        <v/>
      </c>
      <c r="C78">
        <f t="array" ref="C78">IF(
    ISNUMBER(VALUE(LEFT($A78, 1))),
    "",
    IFERROR(IF(_xlfn.XLOOKUP($A78, INDIRECT("'" &amp; C$2 &amp; "'!$A:$A"), INDIRECT("'" &amp; C$2 &amp; "'!$B:$B"), "")&lt;&gt;"", "✓", "✗"), "✗")
)</f>
        <v/>
      </c>
      <c r="D78">
        <f t="array" ref="D78">IF(
    ISNUMBER(VALUE(LEFT($A78, 1))),
    "",
    IFERROR(IF(_xlfn.XLOOKUP($A78, INDIRECT("'" &amp; D$2 &amp; "'!$A:$A"), INDIRECT("'" &amp; D$2 &amp; "'!$B:$B"), "")&lt;&gt;"", "✓", "✗"), "✗")
)</f>
        <v/>
      </c>
      <c r="E78">
        <f t="array" ref="E78">IF(
    ISNUMBER(VALUE(LEFT($A78, 1))),
    "",
    IFERROR(IF(_xlfn.XLOOKUP($A78, INDIRECT("'" &amp; E$2 &amp; "'!$A:$A"), INDIRECT("'" &amp; E$2 &amp; "'!$B:$B"), "")&lt;&gt;"", "✓", "✗"), "✗")
)</f>
        <v/>
      </c>
      <c r="F78">
        <f t="array" ref="F78">IF(
    ISNUMBER(VALUE(LEFT($A78, 1))),
    "",
    IFERROR(IF(_xlfn.XLOOKUP($A78, INDIRECT("'" &amp; F$2 &amp; "'!$A:$A"), INDIRECT("'" &amp; F$2 &amp; "'!$B:$B"), "")&lt;&gt;"", "✓", "✗"), "✗")
)</f>
        <v/>
      </c>
      <c r="G78">
        <f t="array" ref="G78">IF(
    ISNUMBER(VALUE(LEFT($A78, 1))),
    "",
    IFERROR(IF(_xlfn.XLOOKUP($A78, INDIRECT("'" &amp; G$2 &amp; "'!$A:$A"), INDIRECT("'" &amp; G$2 &amp; "'!$B:$B"), "")&lt;&gt;"", "✓", "✗"), "✗")
)</f>
        <v/>
      </c>
      <c r="H78">
        <f t="array" ref="H78">IF(
    ISNUMBER(VALUE(LEFT($A78, 1))),
    "",
    IFERROR(IF(_xlfn.XLOOKUP($A78, INDIRECT("'" &amp; H$2 &amp; "'!$A:$A"), INDIRECT("'" &amp; H$2 &amp; "'!$B:$B"), "")&lt;&gt;"", "✓", "✗"), "✗")
)</f>
        <v/>
      </c>
      <c r="I78">
        <f t="array" ref="I78">IF(
    ISNUMBER(VALUE(LEFT($A78, 1))),
    "",
    IFERROR(IF(_xlfn.XLOOKUP($A78, INDIRECT("'" &amp; I$2 &amp; "'!$A:$A"), INDIRECT("'" &amp; I$2 &amp; "'!$B:$B"), "")&lt;&gt;"", "✓", "✗"), "✗")
)</f>
        <v/>
      </c>
      <c r="J78">
        <f t="array" ref="J78">IF(
    ISNUMBER(VALUE(LEFT($A78, 1))),
    "",
    IFERROR(IF(_xlfn.XLOOKUP($A78, INDIRECT("'" &amp; J$2 &amp; "'!$A:$A"), INDIRECT("'" &amp; J$2 &amp; "'!$B:$B"), "")&lt;&gt;"", "✓", "✗"), "✗")
)</f>
        <v/>
      </c>
      <c r="K78">
        <f t="array" ref="K78">IF(
    ISNUMBER(VALUE(LEFT($A78, 1))),
    "",
    IFERROR(IF(_xlfn.XLOOKUP($A78, INDIRECT("'" &amp; K$2 &amp; "'!$A:$A"), INDIRECT("'" &amp; K$2 &amp; "'!$B:$B"), "")&lt;&gt;"", "✓", "✗"), "✗")
)</f>
        <v/>
      </c>
      <c r="L78">
        <f t="array" ref="L78">IF(
    ISNUMBER(VALUE(LEFT($A78, 1))),
    "",
    IFERROR(IF(_xlfn.XLOOKUP($A78, INDIRECT("'" &amp; L$2 &amp; "'!$A:$A"), INDIRECT("'" &amp; L$2 &amp; "'!$B:$B"), "")&lt;&gt;"", "✓", "✗"), "✗")
)</f>
        <v/>
      </c>
      <c r="M78">
        <f t="array" ref="M78">IF(
    ISNUMBER(VALUE(LEFT($A78, 1))),
    "",
    IFERROR(IF(_xlfn.XLOOKUP($A78, INDIRECT("'" &amp; M$2 &amp; "'!$A:$A"), INDIRECT("'" &amp; M$2 &amp; "'!$B:$B"), "")&lt;&gt;"", "✓", "✗"), "✗")
)</f>
        <v/>
      </c>
      <c r="N78">
        <f t="array" ref="N78">IF(
    ISNUMBER(VALUE(LEFT($A78, 1))),
    "",
    IFERROR(IF(_xlfn.XLOOKUP($A78, INDIRECT("'" &amp; N$2 &amp; "'!$A:$A"), INDIRECT("'" &amp; N$2 &amp; "'!$B:$B"), "")&lt;&gt;"", "✓", "✗"), "✗")
)</f>
        <v/>
      </c>
      <c r="O78">
        <f t="array" ref="O78">IF(
    ISNUMBER(VALUE(LEFT($A78, 1))),
    "",
    IFERROR(IF(_xlfn.XLOOKUP($A78, INDIRECT("'" &amp; O$2 &amp; "'!$A:$A"), INDIRECT("'" &amp; O$2 &amp; "'!$B:$B"), "")&lt;&gt;"", "✓", "✗"), "✗")
)</f>
        <v/>
      </c>
      <c r="P78">
        <f t="array" ref="P78">IF(
    ISNUMBER(VALUE(LEFT($A78, 1))),
    "",
    IFERROR(IF(_xlfn.XLOOKUP($A78, INDIRECT("'" &amp; P$2 &amp; "'!$A:$A"), INDIRECT("'" &amp; P$2 &amp; "'!$B:$B"), "")&lt;&gt;"", "✓", "✗"), "✗")
)</f>
        <v/>
      </c>
      <c r="Q78">
        <f t="array" ref="Q78">IF(
    ISNUMBER(VALUE(LEFT($A78, 1))),
    "",
    IFERROR(IF(_xlfn.XLOOKUP($A78, INDIRECT("'" &amp; Q$2 &amp; "'!$A:$A"), INDIRECT("'" &amp; Q$2 &amp; "'!$B:$B"), "")&lt;&gt;"", "✓", "✗"), "✗")
)</f>
        <v/>
      </c>
      <c r="R78">
        <f t="array" ref="R78">IF(
    ISNUMBER(VALUE(LEFT($A78, 1))),
    "",
    IFERROR(IF(_xlfn.XLOOKUP($A78, INDIRECT("'" &amp; R$2 &amp; "'!$A:$A"), INDIRECT("'" &amp; R$2 &amp; "'!$B:$B"), "")&lt;&gt;"", "✓", "✗"), "✗")
)</f>
        <v/>
      </c>
      <c r="S78">
        <f t="array" ref="S78">IF(
    ISNUMBER(VALUE(LEFT($A78, 1))),
    "",
    IFERROR(IF(_xlfn.XLOOKUP($A78, INDIRECT("'" &amp; S$2 &amp; "'!$A:$A"), INDIRECT("'" &amp; S$2 &amp; "'!$B:$B"), "")&lt;&gt;"", "✓", "✗"), "✗")
)</f>
        <v/>
      </c>
      <c r="T78">
        <f t="array" ref="T78">IF(
    ISNUMBER(VALUE(LEFT($A78, 1))),
    "",
    IFERROR(IF(_xlfn.XLOOKUP($A78, INDIRECT("'" &amp; T$2 &amp; "'!$A:$A"), INDIRECT("'" &amp; T$2 &amp; "'!$B:$B"), "")&lt;&gt;"", "✓", "✗"), "✗")
)</f>
        <v/>
      </c>
      <c r="U78">
        <f t="array" ref="U78">IF(
    ISNUMBER(VALUE(LEFT($A78, 1))),
    "",
    IFERROR(IF(_xlfn.XLOOKUP($A78, INDIRECT("'" &amp; U$2 &amp; "'!$A:$A"), INDIRECT("'" &amp; U$2 &amp; "'!$B:$B"), "")&lt;&gt;"", "✓", "✗"), "✗")
)</f>
        <v/>
      </c>
      <c r="V78">
        <f t="array" ref="V78">IF(
    ISNUMBER(VALUE(LEFT($A78, 1))),
    "",
    IFERROR(IF(_xlfn.XLOOKUP($A78, INDIRECT("'" &amp; V$2 &amp; "'!$A:$A"), INDIRECT("'" &amp; V$2 &amp; "'!$B:$B"), "")&lt;&gt;"", "✓", "✗"), "✗")
)</f>
        <v/>
      </c>
      <c r="W78">
        <f t="array" ref="W78">IF(
    ISNUMBER(VALUE(LEFT($A78, 1))),
    "",
    IFERROR(IF(_xlfn.XLOOKUP($A78, INDIRECT("'" &amp; W$2 &amp; "'!$A:$A"), INDIRECT("'" &amp; W$2 &amp; "'!$B:$B"), "")&lt;&gt;"", "✓", "✗"), "✗")
)</f>
        <v/>
      </c>
      <c r="X78">
        <f t="array" ref="X78">IF(
    ISNUMBER(VALUE(LEFT($A78, 1))),
    "",
    IFERROR(IF(_xlfn.XLOOKUP($A78, INDIRECT("'" &amp; X$2 &amp; "'!$A:$A"), INDIRECT("'" &amp; X$2 &amp; "'!$B:$B"), "")&lt;&gt;"", "✓", "✗"), "✗")
)</f>
        <v/>
      </c>
      <c r="Y78">
        <f t="array" ref="Y78">IF(
    ISNUMBER(VALUE(LEFT($A78, 1))),
    "",
    IFERROR(IF(_xlfn.XLOOKUP($A78, INDIRECT("'" &amp; Y$2 &amp; "'!$A:$A"), INDIRECT("'" &amp; Y$2 &amp; "'!$B:$B"), "")&lt;&gt;"", "✓", "✗"), "✗")
)</f>
        <v/>
      </c>
      <c r="Z78">
        <f t="array" ref="Z78">IF(
    ISNUMBER(VALUE(LEFT($A78, 1))),
    "",
    IFERROR(IF(_xlfn.XLOOKUP($A78, INDIRECT("'" &amp; Z$2 &amp; "'!$A:$A"), INDIRECT("'" &amp; Z$2 &amp; "'!$B:$B"), "")&lt;&gt;"", "✓", "✗"), "✗")
)</f>
        <v/>
      </c>
      <c r="AA78">
        <f t="array" ref="AA78">IF(
    ISNUMBER(VALUE(LEFT($A78, 1))),
    "",
    IFERROR(IF(_xlfn.XLOOKUP($A78, INDIRECT("'" &amp; AA$2 &amp; "'!$A:$A"), INDIRECT("'" &amp; AA$2 &amp; "'!$B:$B"), "")&lt;&gt;"", "✓", "✗"), "✗")
)</f>
        <v/>
      </c>
      <c r="AB78">
        <f t="array" ref="AB78">IF(
    ISNUMBER(VALUE(LEFT($A78, 1))),
    "",
    IFERROR(IF(_xlfn.XLOOKUP($A78, INDIRECT("'" &amp; AB$2 &amp; "'!$A:$A"), INDIRECT("'" &amp; AB$2 &amp; "'!$B:$B"), "")&lt;&gt;"", "✓", "✗"), "✗")
)</f>
        <v/>
      </c>
      <c r="AC78">
        <f t="array" ref="AC78">IF(
    ISNUMBER(VALUE(LEFT($A78, 1))),
    "",
    IFERROR(IF(_xlfn.XLOOKUP($A78, INDIRECT("'" &amp; AC$2 &amp; "'!$A:$A"), INDIRECT("'" &amp; AC$2 &amp; "'!$B:$B"), "")&lt;&gt;"", "✓", "✗"), "✗")
)</f>
        <v/>
      </c>
      <c r="AD78">
        <f t="array" ref="AD78">IF(
    ISNUMBER(VALUE(LEFT($A78, 1))),
    "",
    IFERROR(IF(_xlfn.XLOOKUP($A78, INDIRECT("'" &amp; AD$2 &amp; "'!$A:$A"), INDIRECT("'" &amp; AD$2 &amp; "'!$B:$B"), "")&lt;&gt;"", "✓", "✗"), "✗")
)</f>
        <v/>
      </c>
      <c r="AE78">
        <f t="array" ref="AE78">IF(
    ISNUMBER(VALUE(LEFT($A78, 1))),
    "",
    IFERROR(IF(_xlfn.XLOOKUP($A78, INDIRECT("'" &amp; AE$2 &amp; "'!$A:$A"), INDIRECT("'" &amp; AE$2 &amp; "'!$B:$B"), "")&lt;&gt;"", "✓", "✗"), "✗")
)</f>
        <v/>
      </c>
      <c r="AF78">
        <f t="array" ref="AF78">IF(
    ISNUMBER(VALUE(LEFT($A78, 1))),
    "",
    IFERROR(IF(_xlfn.XLOOKUP($A78, INDIRECT("'" &amp; AF$2 &amp; "'!$A:$A"), INDIRECT("'" &amp; AF$2 &amp; "'!$B:$B"), "")&lt;&gt;"", "✓", "✗"), "✗")
)</f>
        <v/>
      </c>
      <c r="AG78">
        <f t="array" ref="AG78">IF(
    ISNUMBER(VALUE(LEFT($A78, 1))),
    "",
    IFERROR(IF(_xlfn.XLOOKUP($A78, INDIRECT("'" &amp; AG$2 &amp; "'!$A:$A"), INDIRECT("'" &amp; AG$2 &amp; "'!$B:$B"), "")&lt;&gt;"", "✓", "✗"), "✗")
)</f>
        <v/>
      </c>
    </row>
    <row r="79">
      <c r="A79" t="inlineStr">
        <is>
          <t>Event ID / EID</t>
        </is>
      </c>
      <c r="B79">
        <f t="array" ref="B79">IF(
    ISNUMBER(VALUE(LEFT($A79, 1))),
    "",
    IFERROR(IF(_xlfn.XLOOKUP($A79, INDIRECT("'" &amp; B$2 &amp; "'!$A:$A"), INDIRECT("'" &amp; B$2 &amp; "'!$B:$B"), "")&lt;&gt;"", "✓", "✗"), "✗")
)</f>
        <v/>
      </c>
      <c r="C79">
        <f t="array" ref="C79">IF(
    ISNUMBER(VALUE(LEFT($A79, 1))),
    "",
    IFERROR(IF(_xlfn.XLOOKUP($A79, INDIRECT("'" &amp; C$2 &amp; "'!$A:$A"), INDIRECT("'" &amp; C$2 &amp; "'!$B:$B"), "")&lt;&gt;"", "✓", "✗"), "✗")
)</f>
        <v/>
      </c>
      <c r="D79">
        <f t="array" ref="D79">IF(
    ISNUMBER(VALUE(LEFT($A79, 1))),
    "",
    IFERROR(IF(_xlfn.XLOOKUP($A79, INDIRECT("'" &amp; D$2 &amp; "'!$A:$A"), INDIRECT("'" &amp; D$2 &amp; "'!$B:$B"), "")&lt;&gt;"", "✓", "✗"), "✗")
)</f>
        <v/>
      </c>
      <c r="E79">
        <f t="array" ref="E79">IF(
    ISNUMBER(VALUE(LEFT($A79, 1))),
    "",
    IFERROR(IF(_xlfn.XLOOKUP($A79, INDIRECT("'" &amp; E$2 &amp; "'!$A:$A"), INDIRECT("'" &amp; E$2 &amp; "'!$B:$B"), "")&lt;&gt;"", "✓", "✗"), "✗")
)</f>
        <v/>
      </c>
      <c r="F79">
        <f t="array" ref="F79">IF(
    ISNUMBER(VALUE(LEFT($A79, 1))),
    "",
    IFERROR(IF(_xlfn.XLOOKUP($A79, INDIRECT("'" &amp; F$2 &amp; "'!$A:$A"), INDIRECT("'" &amp; F$2 &amp; "'!$B:$B"), "")&lt;&gt;"", "✓", "✗"), "✗")
)</f>
        <v/>
      </c>
      <c r="G79">
        <f t="array" ref="G79">IF(
    ISNUMBER(VALUE(LEFT($A79, 1))),
    "",
    IFERROR(IF(_xlfn.XLOOKUP($A79, INDIRECT("'" &amp; G$2 &amp; "'!$A:$A"), INDIRECT("'" &amp; G$2 &amp; "'!$B:$B"), "")&lt;&gt;"", "✓", "✗"), "✗")
)</f>
        <v/>
      </c>
      <c r="H79">
        <f t="array" ref="H79">IF(
    ISNUMBER(VALUE(LEFT($A79, 1))),
    "",
    IFERROR(IF(_xlfn.XLOOKUP($A79, INDIRECT("'" &amp; H$2 &amp; "'!$A:$A"), INDIRECT("'" &amp; H$2 &amp; "'!$B:$B"), "")&lt;&gt;"", "✓", "✗"), "✗")
)</f>
        <v/>
      </c>
      <c r="I79">
        <f t="array" ref="I79">IF(
    ISNUMBER(VALUE(LEFT($A79, 1))),
    "",
    IFERROR(IF(_xlfn.XLOOKUP($A79, INDIRECT("'" &amp; I$2 &amp; "'!$A:$A"), INDIRECT("'" &amp; I$2 &amp; "'!$B:$B"), "")&lt;&gt;"", "✓", "✗"), "✗")
)</f>
        <v/>
      </c>
      <c r="J79">
        <f t="array" ref="J79">IF(
    ISNUMBER(VALUE(LEFT($A79, 1))),
    "",
    IFERROR(IF(_xlfn.XLOOKUP($A79, INDIRECT("'" &amp; J$2 &amp; "'!$A:$A"), INDIRECT("'" &amp; J$2 &amp; "'!$B:$B"), "")&lt;&gt;"", "✓", "✗"), "✗")
)</f>
        <v/>
      </c>
      <c r="K79">
        <f t="array" ref="K79">IF(
    ISNUMBER(VALUE(LEFT($A79, 1))),
    "",
    IFERROR(IF(_xlfn.XLOOKUP($A79, INDIRECT("'" &amp; K$2 &amp; "'!$A:$A"), INDIRECT("'" &amp; K$2 &amp; "'!$B:$B"), "")&lt;&gt;"", "✓", "✗"), "✗")
)</f>
        <v/>
      </c>
      <c r="L79">
        <f t="array" ref="L79">IF(
    ISNUMBER(VALUE(LEFT($A79, 1))),
    "",
    IFERROR(IF(_xlfn.XLOOKUP($A79, INDIRECT("'" &amp; L$2 &amp; "'!$A:$A"), INDIRECT("'" &amp; L$2 &amp; "'!$B:$B"), "")&lt;&gt;"", "✓", "✗"), "✗")
)</f>
        <v/>
      </c>
      <c r="M79">
        <f t="array" ref="M79">IF(
    ISNUMBER(VALUE(LEFT($A79, 1))),
    "",
    IFERROR(IF(_xlfn.XLOOKUP($A79, INDIRECT("'" &amp; M$2 &amp; "'!$A:$A"), INDIRECT("'" &amp; M$2 &amp; "'!$B:$B"), "")&lt;&gt;"", "✓", "✗"), "✗")
)</f>
        <v/>
      </c>
      <c r="N79">
        <f t="array" ref="N79">IF(
    ISNUMBER(VALUE(LEFT($A79, 1))),
    "",
    IFERROR(IF(_xlfn.XLOOKUP($A79, INDIRECT("'" &amp; N$2 &amp; "'!$A:$A"), INDIRECT("'" &amp; N$2 &amp; "'!$B:$B"), "")&lt;&gt;"", "✓", "✗"), "✗")
)</f>
        <v/>
      </c>
      <c r="O79">
        <f t="array" ref="O79">IF(
    ISNUMBER(VALUE(LEFT($A79, 1))),
    "",
    IFERROR(IF(_xlfn.XLOOKUP($A79, INDIRECT("'" &amp; O$2 &amp; "'!$A:$A"), INDIRECT("'" &amp; O$2 &amp; "'!$B:$B"), "")&lt;&gt;"", "✓", "✗"), "✗")
)</f>
        <v/>
      </c>
      <c r="P79">
        <f t="array" ref="P79">IF(
    ISNUMBER(VALUE(LEFT($A79, 1))),
    "",
    IFERROR(IF(_xlfn.XLOOKUP($A79, INDIRECT("'" &amp; P$2 &amp; "'!$A:$A"), INDIRECT("'" &amp; P$2 &amp; "'!$B:$B"), "")&lt;&gt;"", "✓", "✗"), "✗")
)</f>
        <v/>
      </c>
      <c r="Q79">
        <f t="array" ref="Q79">IF(
    ISNUMBER(VALUE(LEFT($A79, 1))),
    "",
    IFERROR(IF(_xlfn.XLOOKUP($A79, INDIRECT("'" &amp; Q$2 &amp; "'!$A:$A"), INDIRECT("'" &amp; Q$2 &amp; "'!$B:$B"), "")&lt;&gt;"", "✓", "✗"), "✗")
)</f>
        <v/>
      </c>
      <c r="R79">
        <f t="array" ref="R79">IF(
    ISNUMBER(VALUE(LEFT($A79, 1))),
    "",
    IFERROR(IF(_xlfn.XLOOKUP($A79, INDIRECT("'" &amp; R$2 &amp; "'!$A:$A"), INDIRECT("'" &amp; R$2 &amp; "'!$B:$B"), "")&lt;&gt;"", "✓", "✗"), "✗")
)</f>
        <v/>
      </c>
      <c r="S79">
        <f t="array" ref="S79">IF(
    ISNUMBER(VALUE(LEFT($A79, 1))),
    "",
    IFERROR(IF(_xlfn.XLOOKUP($A79, INDIRECT("'" &amp; S$2 &amp; "'!$A:$A"), INDIRECT("'" &amp; S$2 &amp; "'!$B:$B"), "")&lt;&gt;"", "✓", "✗"), "✗")
)</f>
        <v/>
      </c>
      <c r="T79">
        <f t="array" ref="T79">IF(
    ISNUMBER(VALUE(LEFT($A79, 1))),
    "",
    IFERROR(IF(_xlfn.XLOOKUP($A79, INDIRECT("'" &amp; T$2 &amp; "'!$A:$A"), INDIRECT("'" &amp; T$2 &amp; "'!$B:$B"), "")&lt;&gt;"", "✓", "✗"), "✗")
)</f>
        <v/>
      </c>
      <c r="U79">
        <f t="array" ref="U79">IF(
    ISNUMBER(VALUE(LEFT($A79, 1))),
    "",
    IFERROR(IF(_xlfn.XLOOKUP($A79, INDIRECT("'" &amp; U$2 &amp; "'!$A:$A"), INDIRECT("'" &amp; U$2 &amp; "'!$B:$B"), "")&lt;&gt;"", "✓", "✗"), "✗")
)</f>
        <v/>
      </c>
      <c r="V79">
        <f t="array" ref="V79">IF(
    ISNUMBER(VALUE(LEFT($A79, 1))),
    "",
    IFERROR(IF(_xlfn.XLOOKUP($A79, INDIRECT("'" &amp; V$2 &amp; "'!$A:$A"), INDIRECT("'" &amp; V$2 &amp; "'!$B:$B"), "")&lt;&gt;"", "✓", "✗"), "✗")
)</f>
        <v/>
      </c>
      <c r="W79">
        <f t="array" ref="W79">IF(
    ISNUMBER(VALUE(LEFT($A79, 1))),
    "",
    IFERROR(IF(_xlfn.XLOOKUP($A79, INDIRECT("'" &amp; W$2 &amp; "'!$A:$A"), INDIRECT("'" &amp; W$2 &amp; "'!$B:$B"), "")&lt;&gt;"", "✓", "✗"), "✗")
)</f>
        <v/>
      </c>
      <c r="X79">
        <f t="array" ref="X79">IF(
    ISNUMBER(VALUE(LEFT($A79, 1))),
    "",
    IFERROR(IF(_xlfn.XLOOKUP($A79, INDIRECT("'" &amp; X$2 &amp; "'!$A:$A"), INDIRECT("'" &amp; X$2 &amp; "'!$B:$B"), "")&lt;&gt;"", "✓", "✗"), "✗")
)</f>
        <v/>
      </c>
      <c r="Y79">
        <f t="array" ref="Y79">IF(
    ISNUMBER(VALUE(LEFT($A79, 1))),
    "",
    IFERROR(IF(_xlfn.XLOOKUP($A79, INDIRECT("'" &amp; Y$2 &amp; "'!$A:$A"), INDIRECT("'" &amp; Y$2 &amp; "'!$B:$B"), "")&lt;&gt;"", "✓", "✗"), "✗")
)</f>
        <v/>
      </c>
      <c r="Z79">
        <f t="array" ref="Z79">IF(
    ISNUMBER(VALUE(LEFT($A79, 1))),
    "",
    IFERROR(IF(_xlfn.XLOOKUP($A79, INDIRECT("'" &amp; Z$2 &amp; "'!$A:$A"), INDIRECT("'" &amp; Z$2 &amp; "'!$B:$B"), "")&lt;&gt;"", "✓", "✗"), "✗")
)</f>
        <v/>
      </c>
      <c r="AA79">
        <f t="array" ref="AA79">IF(
    ISNUMBER(VALUE(LEFT($A79, 1))),
    "",
    IFERROR(IF(_xlfn.XLOOKUP($A79, INDIRECT("'" &amp; AA$2 &amp; "'!$A:$A"), INDIRECT("'" &amp; AA$2 &amp; "'!$B:$B"), "")&lt;&gt;"", "✓", "✗"), "✗")
)</f>
        <v/>
      </c>
      <c r="AB79">
        <f t="array" ref="AB79">IF(
    ISNUMBER(VALUE(LEFT($A79, 1))),
    "",
    IFERROR(IF(_xlfn.XLOOKUP($A79, INDIRECT("'" &amp; AB$2 &amp; "'!$A:$A"), INDIRECT("'" &amp; AB$2 &amp; "'!$B:$B"), "")&lt;&gt;"", "✓", "✗"), "✗")
)</f>
        <v/>
      </c>
      <c r="AC79">
        <f t="array" ref="AC79">IF(
    ISNUMBER(VALUE(LEFT($A79, 1))),
    "",
    IFERROR(IF(_xlfn.XLOOKUP($A79, INDIRECT("'" &amp; AC$2 &amp; "'!$A:$A"), INDIRECT("'" &amp; AC$2 &amp; "'!$B:$B"), "")&lt;&gt;"", "✓", "✗"), "✗")
)</f>
        <v/>
      </c>
      <c r="AD79">
        <f t="array" ref="AD79">IF(
    ISNUMBER(VALUE(LEFT($A79, 1))),
    "",
    IFERROR(IF(_xlfn.XLOOKUP($A79, INDIRECT("'" &amp; AD$2 &amp; "'!$A:$A"), INDIRECT("'" &amp; AD$2 &amp; "'!$B:$B"), "")&lt;&gt;"", "✓", "✗"), "✗")
)</f>
        <v/>
      </c>
      <c r="AE79">
        <f t="array" ref="AE79">IF(
    ISNUMBER(VALUE(LEFT($A79, 1))),
    "",
    IFERROR(IF(_xlfn.XLOOKUP($A79, INDIRECT("'" &amp; AE$2 &amp; "'!$A:$A"), INDIRECT("'" &amp; AE$2 &amp; "'!$B:$B"), "")&lt;&gt;"", "✓", "✗"), "✗")
)</f>
        <v/>
      </c>
      <c r="AF79">
        <f t="array" ref="AF79">IF(
    ISNUMBER(VALUE(LEFT($A79, 1))),
    "",
    IFERROR(IF(_xlfn.XLOOKUP($A79, INDIRECT("'" &amp; AF$2 &amp; "'!$A:$A"), INDIRECT("'" &amp; AF$2 &amp; "'!$B:$B"), "")&lt;&gt;"", "✓", "✗"), "✗")
)</f>
        <v/>
      </c>
      <c r="AG79">
        <f t="array" ref="AG79">IF(
    ISNUMBER(VALUE(LEFT($A79, 1))),
    "",
    IFERROR(IF(_xlfn.XLOOKUP($A79, INDIRECT("'" &amp; AG$2 &amp; "'!$A:$A"), INDIRECT("'" &amp; AG$2 &amp; "'!$B:$B"), "")&lt;&gt;"", "✓", "✗"), "✗")
)</f>
        <v/>
      </c>
    </row>
    <row r="80">
      <c r="A80" t="inlineStr">
        <is>
          <t>Event Name</t>
        </is>
      </c>
      <c r="B80">
        <f t="array" ref="B80">IF(
    ISNUMBER(VALUE(LEFT($A80, 1))),
    "",
    IFERROR(IF(_xlfn.XLOOKUP($A80, INDIRECT("'" &amp; B$2 &amp; "'!$A:$A"), INDIRECT("'" &amp; B$2 &amp; "'!$B:$B"), "")&lt;&gt;"", "✓", "✗"), "✗")
)</f>
        <v/>
      </c>
      <c r="C80">
        <f t="array" ref="C80">IF(
    ISNUMBER(VALUE(LEFT($A80, 1))),
    "",
    IFERROR(IF(_xlfn.XLOOKUP($A80, INDIRECT("'" &amp; C$2 &amp; "'!$A:$A"), INDIRECT("'" &amp; C$2 &amp; "'!$B:$B"), "")&lt;&gt;"", "✓", "✗"), "✗")
)</f>
        <v/>
      </c>
      <c r="D80">
        <f t="array" ref="D80">IF(
    ISNUMBER(VALUE(LEFT($A80, 1))),
    "",
    IFERROR(IF(_xlfn.XLOOKUP($A80, INDIRECT("'" &amp; D$2 &amp; "'!$A:$A"), INDIRECT("'" &amp; D$2 &amp; "'!$B:$B"), "")&lt;&gt;"", "✓", "✗"), "✗")
)</f>
        <v/>
      </c>
      <c r="E80">
        <f t="array" ref="E80">IF(
    ISNUMBER(VALUE(LEFT($A80, 1))),
    "",
    IFERROR(IF(_xlfn.XLOOKUP($A80, INDIRECT("'" &amp; E$2 &amp; "'!$A:$A"), INDIRECT("'" &amp; E$2 &amp; "'!$B:$B"), "")&lt;&gt;"", "✓", "✗"), "✗")
)</f>
        <v/>
      </c>
      <c r="F80">
        <f t="array" ref="F80">IF(
    ISNUMBER(VALUE(LEFT($A80, 1))),
    "",
    IFERROR(IF(_xlfn.XLOOKUP($A80, INDIRECT("'" &amp; F$2 &amp; "'!$A:$A"), INDIRECT("'" &amp; F$2 &amp; "'!$B:$B"), "")&lt;&gt;"", "✓", "✗"), "✗")
)</f>
        <v/>
      </c>
      <c r="G80">
        <f t="array" ref="G80">IF(
    ISNUMBER(VALUE(LEFT($A80, 1))),
    "",
    IFERROR(IF(_xlfn.XLOOKUP($A80, INDIRECT("'" &amp; G$2 &amp; "'!$A:$A"), INDIRECT("'" &amp; G$2 &amp; "'!$B:$B"), "")&lt;&gt;"", "✓", "✗"), "✗")
)</f>
        <v/>
      </c>
      <c r="H80">
        <f t="array" ref="H80">IF(
    ISNUMBER(VALUE(LEFT($A80, 1))),
    "",
    IFERROR(IF(_xlfn.XLOOKUP($A80, INDIRECT("'" &amp; H$2 &amp; "'!$A:$A"), INDIRECT("'" &amp; H$2 &amp; "'!$B:$B"), "")&lt;&gt;"", "✓", "✗"), "✗")
)</f>
        <v/>
      </c>
      <c r="I80">
        <f t="array" ref="I80">IF(
    ISNUMBER(VALUE(LEFT($A80, 1))),
    "",
    IFERROR(IF(_xlfn.XLOOKUP($A80, INDIRECT("'" &amp; I$2 &amp; "'!$A:$A"), INDIRECT("'" &amp; I$2 &amp; "'!$B:$B"), "")&lt;&gt;"", "✓", "✗"), "✗")
)</f>
        <v/>
      </c>
      <c r="J80">
        <f t="array" ref="J80">IF(
    ISNUMBER(VALUE(LEFT($A80, 1))),
    "",
    IFERROR(IF(_xlfn.XLOOKUP($A80, INDIRECT("'" &amp; J$2 &amp; "'!$A:$A"), INDIRECT("'" &amp; J$2 &amp; "'!$B:$B"), "")&lt;&gt;"", "✓", "✗"), "✗")
)</f>
        <v/>
      </c>
      <c r="K80">
        <f t="array" ref="K80">IF(
    ISNUMBER(VALUE(LEFT($A80, 1))),
    "",
    IFERROR(IF(_xlfn.XLOOKUP($A80, INDIRECT("'" &amp; K$2 &amp; "'!$A:$A"), INDIRECT("'" &amp; K$2 &amp; "'!$B:$B"), "")&lt;&gt;"", "✓", "✗"), "✗")
)</f>
        <v/>
      </c>
      <c r="L80">
        <f t="array" ref="L80">IF(
    ISNUMBER(VALUE(LEFT($A80, 1))),
    "",
    IFERROR(IF(_xlfn.XLOOKUP($A80, INDIRECT("'" &amp; L$2 &amp; "'!$A:$A"), INDIRECT("'" &amp; L$2 &amp; "'!$B:$B"), "")&lt;&gt;"", "✓", "✗"), "✗")
)</f>
        <v/>
      </c>
      <c r="M80">
        <f t="array" ref="M80">IF(
    ISNUMBER(VALUE(LEFT($A80, 1))),
    "",
    IFERROR(IF(_xlfn.XLOOKUP($A80, INDIRECT("'" &amp; M$2 &amp; "'!$A:$A"), INDIRECT("'" &amp; M$2 &amp; "'!$B:$B"), "")&lt;&gt;"", "✓", "✗"), "✗")
)</f>
        <v/>
      </c>
      <c r="N80">
        <f t="array" ref="N80">IF(
    ISNUMBER(VALUE(LEFT($A80, 1))),
    "",
    IFERROR(IF(_xlfn.XLOOKUP($A80, INDIRECT("'" &amp; N$2 &amp; "'!$A:$A"), INDIRECT("'" &amp; N$2 &amp; "'!$B:$B"), "")&lt;&gt;"", "✓", "✗"), "✗")
)</f>
        <v/>
      </c>
      <c r="O80">
        <f t="array" ref="O80">IF(
    ISNUMBER(VALUE(LEFT($A80, 1))),
    "",
    IFERROR(IF(_xlfn.XLOOKUP($A80, INDIRECT("'" &amp; O$2 &amp; "'!$A:$A"), INDIRECT("'" &amp; O$2 &amp; "'!$B:$B"), "")&lt;&gt;"", "✓", "✗"), "✗")
)</f>
        <v/>
      </c>
      <c r="P80">
        <f t="array" ref="P80">IF(
    ISNUMBER(VALUE(LEFT($A80, 1))),
    "",
    IFERROR(IF(_xlfn.XLOOKUP($A80, INDIRECT("'" &amp; P$2 &amp; "'!$A:$A"), INDIRECT("'" &amp; P$2 &amp; "'!$B:$B"), "")&lt;&gt;"", "✓", "✗"), "✗")
)</f>
        <v/>
      </c>
      <c r="Q80">
        <f t="array" ref="Q80">IF(
    ISNUMBER(VALUE(LEFT($A80, 1))),
    "",
    IFERROR(IF(_xlfn.XLOOKUP($A80, INDIRECT("'" &amp; Q$2 &amp; "'!$A:$A"), INDIRECT("'" &amp; Q$2 &amp; "'!$B:$B"), "")&lt;&gt;"", "✓", "✗"), "✗")
)</f>
        <v/>
      </c>
      <c r="R80">
        <f t="array" ref="R80">IF(
    ISNUMBER(VALUE(LEFT($A80, 1))),
    "",
    IFERROR(IF(_xlfn.XLOOKUP($A80, INDIRECT("'" &amp; R$2 &amp; "'!$A:$A"), INDIRECT("'" &amp; R$2 &amp; "'!$B:$B"), "")&lt;&gt;"", "✓", "✗"), "✗")
)</f>
        <v/>
      </c>
      <c r="S80">
        <f t="array" ref="S80">IF(
    ISNUMBER(VALUE(LEFT($A80, 1))),
    "",
    IFERROR(IF(_xlfn.XLOOKUP($A80, INDIRECT("'" &amp; S$2 &amp; "'!$A:$A"), INDIRECT("'" &amp; S$2 &amp; "'!$B:$B"), "")&lt;&gt;"", "✓", "✗"), "✗")
)</f>
        <v/>
      </c>
      <c r="T80">
        <f t="array" ref="T80">IF(
    ISNUMBER(VALUE(LEFT($A80, 1))),
    "",
    IFERROR(IF(_xlfn.XLOOKUP($A80, INDIRECT("'" &amp; T$2 &amp; "'!$A:$A"), INDIRECT("'" &amp; T$2 &amp; "'!$B:$B"), "")&lt;&gt;"", "✓", "✗"), "✗")
)</f>
        <v/>
      </c>
      <c r="U80">
        <f t="array" ref="U80">IF(
    ISNUMBER(VALUE(LEFT($A80, 1))),
    "",
    IFERROR(IF(_xlfn.XLOOKUP($A80, INDIRECT("'" &amp; U$2 &amp; "'!$A:$A"), INDIRECT("'" &amp; U$2 &amp; "'!$B:$B"), "")&lt;&gt;"", "✓", "✗"), "✗")
)</f>
        <v/>
      </c>
      <c r="V80">
        <f t="array" ref="V80">IF(
    ISNUMBER(VALUE(LEFT($A80, 1))),
    "",
    IFERROR(IF(_xlfn.XLOOKUP($A80, INDIRECT("'" &amp; V$2 &amp; "'!$A:$A"), INDIRECT("'" &amp; V$2 &amp; "'!$B:$B"), "")&lt;&gt;"", "✓", "✗"), "✗")
)</f>
        <v/>
      </c>
      <c r="W80">
        <f t="array" ref="W80">IF(
    ISNUMBER(VALUE(LEFT($A80, 1))),
    "",
    IFERROR(IF(_xlfn.XLOOKUP($A80, INDIRECT("'" &amp; W$2 &amp; "'!$A:$A"), INDIRECT("'" &amp; W$2 &amp; "'!$B:$B"), "")&lt;&gt;"", "✓", "✗"), "✗")
)</f>
        <v/>
      </c>
      <c r="X80">
        <f t="array" ref="X80">IF(
    ISNUMBER(VALUE(LEFT($A80, 1))),
    "",
    IFERROR(IF(_xlfn.XLOOKUP($A80, INDIRECT("'" &amp; X$2 &amp; "'!$A:$A"), INDIRECT("'" &amp; X$2 &amp; "'!$B:$B"), "")&lt;&gt;"", "✓", "✗"), "✗")
)</f>
        <v/>
      </c>
      <c r="Y80">
        <f t="array" ref="Y80">IF(
    ISNUMBER(VALUE(LEFT($A80, 1))),
    "",
    IFERROR(IF(_xlfn.XLOOKUP($A80, INDIRECT("'" &amp; Y$2 &amp; "'!$A:$A"), INDIRECT("'" &amp; Y$2 &amp; "'!$B:$B"), "")&lt;&gt;"", "✓", "✗"), "✗")
)</f>
        <v/>
      </c>
      <c r="Z80">
        <f t="array" ref="Z80">IF(
    ISNUMBER(VALUE(LEFT($A80, 1))),
    "",
    IFERROR(IF(_xlfn.XLOOKUP($A80, INDIRECT("'" &amp; Z$2 &amp; "'!$A:$A"), INDIRECT("'" &amp; Z$2 &amp; "'!$B:$B"), "")&lt;&gt;"", "✓", "✗"), "✗")
)</f>
        <v/>
      </c>
      <c r="AA80">
        <f t="array" ref="AA80">IF(
    ISNUMBER(VALUE(LEFT($A80, 1))),
    "",
    IFERROR(IF(_xlfn.XLOOKUP($A80, INDIRECT("'" &amp; AA$2 &amp; "'!$A:$A"), INDIRECT("'" &amp; AA$2 &amp; "'!$B:$B"), "")&lt;&gt;"", "✓", "✗"), "✗")
)</f>
        <v/>
      </c>
      <c r="AB80">
        <f t="array" ref="AB80">IF(
    ISNUMBER(VALUE(LEFT($A80, 1))),
    "",
    IFERROR(IF(_xlfn.XLOOKUP($A80, INDIRECT("'" &amp; AB$2 &amp; "'!$A:$A"), INDIRECT("'" &amp; AB$2 &amp; "'!$B:$B"), "")&lt;&gt;"", "✓", "✗"), "✗")
)</f>
        <v/>
      </c>
      <c r="AC80">
        <f t="array" ref="AC80">IF(
    ISNUMBER(VALUE(LEFT($A80, 1))),
    "",
    IFERROR(IF(_xlfn.XLOOKUP($A80, INDIRECT("'" &amp; AC$2 &amp; "'!$A:$A"), INDIRECT("'" &amp; AC$2 &amp; "'!$B:$B"), "")&lt;&gt;"", "✓", "✗"), "✗")
)</f>
        <v/>
      </c>
      <c r="AD80">
        <f t="array" ref="AD80">IF(
    ISNUMBER(VALUE(LEFT($A80, 1))),
    "",
    IFERROR(IF(_xlfn.XLOOKUP($A80, INDIRECT("'" &amp; AD$2 &amp; "'!$A:$A"), INDIRECT("'" &amp; AD$2 &amp; "'!$B:$B"), "")&lt;&gt;"", "✓", "✗"), "✗")
)</f>
        <v/>
      </c>
      <c r="AE80">
        <f t="array" ref="AE80">IF(
    ISNUMBER(VALUE(LEFT($A80, 1))),
    "",
    IFERROR(IF(_xlfn.XLOOKUP($A80, INDIRECT("'" &amp; AE$2 &amp; "'!$A:$A"), INDIRECT("'" &amp; AE$2 &amp; "'!$B:$B"), "")&lt;&gt;"", "✓", "✗"), "✗")
)</f>
        <v/>
      </c>
      <c r="AF80">
        <f t="array" ref="AF80">IF(
    ISNUMBER(VALUE(LEFT($A80, 1))),
    "",
    IFERROR(IF(_xlfn.XLOOKUP($A80, INDIRECT("'" &amp; AF$2 &amp; "'!$A:$A"), INDIRECT("'" &amp; AF$2 &amp; "'!$B:$B"), "")&lt;&gt;"", "✓", "✗"), "✗")
)</f>
        <v/>
      </c>
      <c r="AG80">
        <f t="array" ref="AG80">IF(
    ISNUMBER(VALUE(LEFT($A80, 1))),
    "",
    IFERROR(IF(_xlfn.XLOOKUP($A80, INDIRECT("'" &amp; AG$2 &amp; "'!$A:$A"), INDIRECT("'" &amp; AG$2 &amp; "'!$B:$B"), "")&lt;&gt;"", "✓", "✗"), "✗")
)</f>
        <v/>
      </c>
    </row>
    <row r="81">
      <c r="A81" t="inlineStr">
        <is>
          <t>Event Start Date</t>
        </is>
      </c>
      <c r="B81">
        <f t="array" ref="B81">IF(
    ISNUMBER(VALUE(LEFT($A81, 1))),
    "",
    IFERROR(IF(_xlfn.XLOOKUP($A81, INDIRECT("'" &amp; B$2 &amp; "'!$A:$A"), INDIRECT("'" &amp; B$2 &amp; "'!$B:$B"), "")&lt;&gt;"", "✓", "✗"), "✗")
)</f>
        <v/>
      </c>
      <c r="C81">
        <f t="array" ref="C81">IF(
    ISNUMBER(VALUE(LEFT($A81, 1))),
    "",
    IFERROR(IF(_xlfn.XLOOKUP($A81, INDIRECT("'" &amp; C$2 &amp; "'!$A:$A"), INDIRECT("'" &amp; C$2 &amp; "'!$B:$B"), "")&lt;&gt;"", "✓", "✗"), "✗")
)</f>
        <v/>
      </c>
      <c r="D81">
        <f t="array" ref="D81">IF(
    ISNUMBER(VALUE(LEFT($A81, 1))),
    "",
    IFERROR(IF(_xlfn.XLOOKUP($A81, INDIRECT("'" &amp; D$2 &amp; "'!$A:$A"), INDIRECT("'" &amp; D$2 &amp; "'!$B:$B"), "")&lt;&gt;"", "✓", "✗"), "✗")
)</f>
        <v/>
      </c>
      <c r="E81">
        <f t="array" ref="E81">IF(
    ISNUMBER(VALUE(LEFT($A81, 1))),
    "",
    IFERROR(IF(_xlfn.XLOOKUP($A81, INDIRECT("'" &amp; E$2 &amp; "'!$A:$A"), INDIRECT("'" &amp; E$2 &amp; "'!$B:$B"), "")&lt;&gt;"", "✓", "✗"), "✗")
)</f>
        <v/>
      </c>
      <c r="F81">
        <f t="array" ref="F81">IF(
    ISNUMBER(VALUE(LEFT($A81, 1))),
    "",
    IFERROR(IF(_xlfn.XLOOKUP($A81, INDIRECT("'" &amp; F$2 &amp; "'!$A:$A"), INDIRECT("'" &amp; F$2 &amp; "'!$B:$B"), "")&lt;&gt;"", "✓", "✗"), "✗")
)</f>
        <v/>
      </c>
      <c r="G81">
        <f t="array" ref="G81">IF(
    ISNUMBER(VALUE(LEFT($A81, 1))),
    "",
    IFERROR(IF(_xlfn.XLOOKUP($A81, INDIRECT("'" &amp; G$2 &amp; "'!$A:$A"), INDIRECT("'" &amp; G$2 &amp; "'!$B:$B"), "")&lt;&gt;"", "✓", "✗"), "✗")
)</f>
        <v/>
      </c>
      <c r="H81">
        <f t="array" ref="H81">IF(
    ISNUMBER(VALUE(LEFT($A81, 1))),
    "",
    IFERROR(IF(_xlfn.XLOOKUP($A81, INDIRECT("'" &amp; H$2 &amp; "'!$A:$A"), INDIRECT("'" &amp; H$2 &amp; "'!$B:$B"), "")&lt;&gt;"", "✓", "✗"), "✗")
)</f>
        <v/>
      </c>
      <c r="I81">
        <f t="array" ref="I81">IF(
    ISNUMBER(VALUE(LEFT($A81, 1))),
    "",
    IFERROR(IF(_xlfn.XLOOKUP($A81, INDIRECT("'" &amp; I$2 &amp; "'!$A:$A"), INDIRECT("'" &amp; I$2 &amp; "'!$B:$B"), "")&lt;&gt;"", "✓", "✗"), "✗")
)</f>
        <v/>
      </c>
      <c r="J81">
        <f t="array" ref="J81">IF(
    ISNUMBER(VALUE(LEFT($A81, 1))),
    "",
    IFERROR(IF(_xlfn.XLOOKUP($A81, INDIRECT("'" &amp; J$2 &amp; "'!$A:$A"), INDIRECT("'" &amp; J$2 &amp; "'!$B:$B"), "")&lt;&gt;"", "✓", "✗"), "✗")
)</f>
        <v/>
      </c>
      <c r="K81">
        <f t="array" ref="K81">IF(
    ISNUMBER(VALUE(LEFT($A81, 1))),
    "",
    IFERROR(IF(_xlfn.XLOOKUP($A81, INDIRECT("'" &amp; K$2 &amp; "'!$A:$A"), INDIRECT("'" &amp; K$2 &amp; "'!$B:$B"), "")&lt;&gt;"", "✓", "✗"), "✗")
)</f>
        <v/>
      </c>
      <c r="L81">
        <f t="array" ref="L81">IF(
    ISNUMBER(VALUE(LEFT($A81, 1))),
    "",
    IFERROR(IF(_xlfn.XLOOKUP($A81, INDIRECT("'" &amp; L$2 &amp; "'!$A:$A"), INDIRECT("'" &amp; L$2 &amp; "'!$B:$B"), "")&lt;&gt;"", "✓", "✗"), "✗")
)</f>
        <v/>
      </c>
      <c r="M81">
        <f t="array" ref="M81">IF(
    ISNUMBER(VALUE(LEFT($A81, 1))),
    "",
    IFERROR(IF(_xlfn.XLOOKUP($A81, INDIRECT("'" &amp; M$2 &amp; "'!$A:$A"), INDIRECT("'" &amp; M$2 &amp; "'!$B:$B"), "")&lt;&gt;"", "✓", "✗"), "✗")
)</f>
        <v/>
      </c>
      <c r="N81">
        <f t="array" ref="N81">IF(
    ISNUMBER(VALUE(LEFT($A81, 1))),
    "",
    IFERROR(IF(_xlfn.XLOOKUP($A81, INDIRECT("'" &amp; N$2 &amp; "'!$A:$A"), INDIRECT("'" &amp; N$2 &amp; "'!$B:$B"), "")&lt;&gt;"", "✓", "✗"), "✗")
)</f>
        <v/>
      </c>
      <c r="O81">
        <f t="array" ref="O81">IF(
    ISNUMBER(VALUE(LEFT($A81, 1))),
    "",
    IFERROR(IF(_xlfn.XLOOKUP($A81, INDIRECT("'" &amp; O$2 &amp; "'!$A:$A"), INDIRECT("'" &amp; O$2 &amp; "'!$B:$B"), "")&lt;&gt;"", "✓", "✗"), "✗")
)</f>
        <v/>
      </c>
      <c r="P81">
        <f t="array" ref="P81">IF(
    ISNUMBER(VALUE(LEFT($A81, 1))),
    "",
    IFERROR(IF(_xlfn.XLOOKUP($A81, INDIRECT("'" &amp; P$2 &amp; "'!$A:$A"), INDIRECT("'" &amp; P$2 &amp; "'!$B:$B"), "")&lt;&gt;"", "✓", "✗"), "✗")
)</f>
        <v/>
      </c>
      <c r="Q81">
        <f t="array" ref="Q81">IF(
    ISNUMBER(VALUE(LEFT($A81, 1))),
    "",
    IFERROR(IF(_xlfn.XLOOKUP($A81, INDIRECT("'" &amp; Q$2 &amp; "'!$A:$A"), INDIRECT("'" &amp; Q$2 &amp; "'!$B:$B"), "")&lt;&gt;"", "✓", "✗"), "✗")
)</f>
        <v/>
      </c>
      <c r="R81">
        <f t="array" ref="R81">IF(
    ISNUMBER(VALUE(LEFT($A81, 1))),
    "",
    IFERROR(IF(_xlfn.XLOOKUP($A81, INDIRECT("'" &amp; R$2 &amp; "'!$A:$A"), INDIRECT("'" &amp; R$2 &amp; "'!$B:$B"), "")&lt;&gt;"", "✓", "✗"), "✗")
)</f>
        <v/>
      </c>
      <c r="S81">
        <f t="array" ref="S81">IF(
    ISNUMBER(VALUE(LEFT($A81, 1))),
    "",
    IFERROR(IF(_xlfn.XLOOKUP($A81, INDIRECT("'" &amp; S$2 &amp; "'!$A:$A"), INDIRECT("'" &amp; S$2 &amp; "'!$B:$B"), "")&lt;&gt;"", "✓", "✗"), "✗")
)</f>
        <v/>
      </c>
      <c r="T81">
        <f t="array" ref="T81">IF(
    ISNUMBER(VALUE(LEFT($A81, 1))),
    "",
    IFERROR(IF(_xlfn.XLOOKUP($A81, INDIRECT("'" &amp; T$2 &amp; "'!$A:$A"), INDIRECT("'" &amp; T$2 &amp; "'!$B:$B"), "")&lt;&gt;"", "✓", "✗"), "✗")
)</f>
        <v/>
      </c>
      <c r="U81">
        <f t="array" ref="U81">IF(
    ISNUMBER(VALUE(LEFT($A81, 1))),
    "",
    IFERROR(IF(_xlfn.XLOOKUP($A81, INDIRECT("'" &amp; U$2 &amp; "'!$A:$A"), INDIRECT("'" &amp; U$2 &amp; "'!$B:$B"), "")&lt;&gt;"", "✓", "✗"), "✗")
)</f>
        <v/>
      </c>
      <c r="V81">
        <f t="array" ref="V81">IF(
    ISNUMBER(VALUE(LEFT($A81, 1))),
    "",
    IFERROR(IF(_xlfn.XLOOKUP($A81, INDIRECT("'" &amp; V$2 &amp; "'!$A:$A"), INDIRECT("'" &amp; V$2 &amp; "'!$B:$B"), "")&lt;&gt;"", "✓", "✗"), "✗")
)</f>
        <v/>
      </c>
      <c r="W81">
        <f t="array" ref="W81">IF(
    ISNUMBER(VALUE(LEFT($A81, 1))),
    "",
    IFERROR(IF(_xlfn.XLOOKUP($A81, INDIRECT("'" &amp; W$2 &amp; "'!$A:$A"), INDIRECT("'" &amp; W$2 &amp; "'!$B:$B"), "")&lt;&gt;"", "✓", "✗"), "✗")
)</f>
        <v/>
      </c>
      <c r="X81">
        <f t="array" ref="X81">IF(
    ISNUMBER(VALUE(LEFT($A81, 1))),
    "",
    IFERROR(IF(_xlfn.XLOOKUP($A81, INDIRECT("'" &amp; X$2 &amp; "'!$A:$A"), INDIRECT("'" &amp; X$2 &amp; "'!$B:$B"), "")&lt;&gt;"", "✓", "✗"), "✗")
)</f>
        <v/>
      </c>
      <c r="Y81">
        <f t="array" ref="Y81">IF(
    ISNUMBER(VALUE(LEFT($A81, 1))),
    "",
    IFERROR(IF(_xlfn.XLOOKUP($A81, INDIRECT("'" &amp; Y$2 &amp; "'!$A:$A"), INDIRECT("'" &amp; Y$2 &amp; "'!$B:$B"), "")&lt;&gt;"", "✓", "✗"), "✗")
)</f>
        <v/>
      </c>
      <c r="Z81">
        <f t="array" ref="Z81">IF(
    ISNUMBER(VALUE(LEFT($A81, 1))),
    "",
    IFERROR(IF(_xlfn.XLOOKUP($A81, INDIRECT("'" &amp; Z$2 &amp; "'!$A:$A"), INDIRECT("'" &amp; Z$2 &amp; "'!$B:$B"), "")&lt;&gt;"", "✓", "✗"), "✗")
)</f>
        <v/>
      </c>
      <c r="AA81">
        <f t="array" ref="AA81">IF(
    ISNUMBER(VALUE(LEFT($A81, 1))),
    "",
    IFERROR(IF(_xlfn.XLOOKUP($A81, INDIRECT("'" &amp; AA$2 &amp; "'!$A:$A"), INDIRECT("'" &amp; AA$2 &amp; "'!$B:$B"), "")&lt;&gt;"", "✓", "✗"), "✗")
)</f>
        <v/>
      </c>
      <c r="AB81">
        <f t="array" ref="AB81">IF(
    ISNUMBER(VALUE(LEFT($A81, 1))),
    "",
    IFERROR(IF(_xlfn.XLOOKUP($A81, INDIRECT("'" &amp; AB$2 &amp; "'!$A:$A"), INDIRECT("'" &amp; AB$2 &amp; "'!$B:$B"), "")&lt;&gt;"", "✓", "✗"), "✗")
)</f>
        <v/>
      </c>
      <c r="AC81">
        <f t="array" ref="AC81">IF(
    ISNUMBER(VALUE(LEFT($A81, 1))),
    "",
    IFERROR(IF(_xlfn.XLOOKUP($A81, INDIRECT("'" &amp; AC$2 &amp; "'!$A:$A"), INDIRECT("'" &amp; AC$2 &amp; "'!$B:$B"), "")&lt;&gt;"", "✓", "✗"), "✗")
)</f>
        <v/>
      </c>
      <c r="AD81">
        <f t="array" ref="AD81">IF(
    ISNUMBER(VALUE(LEFT($A81, 1))),
    "",
    IFERROR(IF(_xlfn.XLOOKUP($A81, INDIRECT("'" &amp; AD$2 &amp; "'!$A:$A"), INDIRECT("'" &amp; AD$2 &amp; "'!$B:$B"), "")&lt;&gt;"", "✓", "✗"), "✗")
)</f>
        <v/>
      </c>
      <c r="AE81">
        <f t="array" ref="AE81">IF(
    ISNUMBER(VALUE(LEFT($A81, 1))),
    "",
    IFERROR(IF(_xlfn.XLOOKUP($A81, INDIRECT("'" &amp; AE$2 &amp; "'!$A:$A"), INDIRECT("'" &amp; AE$2 &amp; "'!$B:$B"), "")&lt;&gt;"", "✓", "✗"), "✗")
)</f>
        <v/>
      </c>
      <c r="AF81">
        <f t="array" ref="AF81">IF(
    ISNUMBER(VALUE(LEFT($A81, 1))),
    "",
    IFERROR(IF(_xlfn.XLOOKUP($A81, INDIRECT("'" &amp; AF$2 &amp; "'!$A:$A"), INDIRECT("'" &amp; AF$2 &amp; "'!$B:$B"), "")&lt;&gt;"", "✓", "✗"), "✗")
)</f>
        <v/>
      </c>
      <c r="AG81">
        <f t="array" ref="AG81">IF(
    ISNUMBER(VALUE(LEFT($A81, 1))),
    "",
    IFERROR(IF(_xlfn.XLOOKUP($A81, INDIRECT("'" &amp; AG$2 &amp; "'!$A:$A"), INDIRECT("'" &amp; AG$2 &amp; "'!$B:$B"), "")&lt;&gt;"", "✓", "✗"), "✗")
)</f>
        <v/>
      </c>
    </row>
    <row r="82">
      <c r="A82" t="inlineStr">
        <is>
          <t>Event End Date</t>
        </is>
      </c>
      <c r="B82">
        <f t="array" ref="B82">IF(
    ISNUMBER(VALUE(LEFT($A82, 1))),
    "",
    IFERROR(IF(_xlfn.XLOOKUP($A82, INDIRECT("'" &amp; B$2 &amp; "'!$A:$A"), INDIRECT("'" &amp; B$2 &amp; "'!$B:$B"), "")&lt;&gt;"", "✓", "✗"), "✗")
)</f>
        <v/>
      </c>
      <c r="C82">
        <f t="array" ref="C82">IF(
    ISNUMBER(VALUE(LEFT($A82, 1))),
    "",
    IFERROR(IF(_xlfn.XLOOKUP($A82, INDIRECT("'" &amp; C$2 &amp; "'!$A:$A"), INDIRECT("'" &amp; C$2 &amp; "'!$B:$B"), "")&lt;&gt;"", "✓", "✗"), "✗")
)</f>
        <v/>
      </c>
      <c r="D82">
        <f t="array" ref="D82">IF(
    ISNUMBER(VALUE(LEFT($A82, 1))),
    "",
    IFERROR(IF(_xlfn.XLOOKUP($A82, INDIRECT("'" &amp; D$2 &amp; "'!$A:$A"), INDIRECT("'" &amp; D$2 &amp; "'!$B:$B"), "")&lt;&gt;"", "✓", "✗"), "✗")
)</f>
        <v/>
      </c>
      <c r="E82">
        <f t="array" ref="E82">IF(
    ISNUMBER(VALUE(LEFT($A82, 1))),
    "",
    IFERROR(IF(_xlfn.XLOOKUP($A82, INDIRECT("'" &amp; E$2 &amp; "'!$A:$A"), INDIRECT("'" &amp; E$2 &amp; "'!$B:$B"), "")&lt;&gt;"", "✓", "✗"), "✗")
)</f>
        <v/>
      </c>
      <c r="F82">
        <f t="array" ref="F82">IF(
    ISNUMBER(VALUE(LEFT($A82, 1))),
    "",
    IFERROR(IF(_xlfn.XLOOKUP($A82, INDIRECT("'" &amp; F$2 &amp; "'!$A:$A"), INDIRECT("'" &amp; F$2 &amp; "'!$B:$B"), "")&lt;&gt;"", "✓", "✗"), "✗")
)</f>
        <v/>
      </c>
      <c r="G82">
        <f t="array" ref="G82">IF(
    ISNUMBER(VALUE(LEFT($A82, 1))),
    "",
    IFERROR(IF(_xlfn.XLOOKUP($A82, INDIRECT("'" &amp; G$2 &amp; "'!$A:$A"), INDIRECT("'" &amp; G$2 &amp; "'!$B:$B"), "")&lt;&gt;"", "✓", "✗"), "✗")
)</f>
        <v/>
      </c>
      <c r="H82">
        <f t="array" ref="H82">IF(
    ISNUMBER(VALUE(LEFT($A82, 1))),
    "",
    IFERROR(IF(_xlfn.XLOOKUP($A82, INDIRECT("'" &amp; H$2 &amp; "'!$A:$A"), INDIRECT("'" &amp; H$2 &amp; "'!$B:$B"), "")&lt;&gt;"", "✓", "✗"), "✗")
)</f>
        <v/>
      </c>
      <c r="I82">
        <f t="array" ref="I82">IF(
    ISNUMBER(VALUE(LEFT($A82, 1))),
    "",
    IFERROR(IF(_xlfn.XLOOKUP($A82, INDIRECT("'" &amp; I$2 &amp; "'!$A:$A"), INDIRECT("'" &amp; I$2 &amp; "'!$B:$B"), "")&lt;&gt;"", "✓", "✗"), "✗")
)</f>
        <v/>
      </c>
      <c r="J82">
        <f t="array" ref="J82">IF(
    ISNUMBER(VALUE(LEFT($A82, 1))),
    "",
    IFERROR(IF(_xlfn.XLOOKUP($A82, INDIRECT("'" &amp; J$2 &amp; "'!$A:$A"), INDIRECT("'" &amp; J$2 &amp; "'!$B:$B"), "")&lt;&gt;"", "✓", "✗"), "✗")
)</f>
        <v/>
      </c>
      <c r="K82">
        <f t="array" ref="K82">IF(
    ISNUMBER(VALUE(LEFT($A82, 1))),
    "",
    IFERROR(IF(_xlfn.XLOOKUP($A82, INDIRECT("'" &amp; K$2 &amp; "'!$A:$A"), INDIRECT("'" &amp; K$2 &amp; "'!$B:$B"), "")&lt;&gt;"", "✓", "✗"), "✗")
)</f>
        <v/>
      </c>
      <c r="L82">
        <f t="array" ref="L82">IF(
    ISNUMBER(VALUE(LEFT($A82, 1))),
    "",
    IFERROR(IF(_xlfn.XLOOKUP($A82, INDIRECT("'" &amp; L$2 &amp; "'!$A:$A"), INDIRECT("'" &amp; L$2 &amp; "'!$B:$B"), "")&lt;&gt;"", "✓", "✗"), "✗")
)</f>
        <v/>
      </c>
      <c r="M82">
        <f t="array" ref="M82">IF(
    ISNUMBER(VALUE(LEFT($A82, 1))),
    "",
    IFERROR(IF(_xlfn.XLOOKUP($A82, INDIRECT("'" &amp; M$2 &amp; "'!$A:$A"), INDIRECT("'" &amp; M$2 &amp; "'!$B:$B"), "")&lt;&gt;"", "✓", "✗"), "✗")
)</f>
        <v/>
      </c>
      <c r="N82">
        <f t="array" ref="N82">IF(
    ISNUMBER(VALUE(LEFT($A82, 1))),
    "",
    IFERROR(IF(_xlfn.XLOOKUP($A82, INDIRECT("'" &amp; N$2 &amp; "'!$A:$A"), INDIRECT("'" &amp; N$2 &amp; "'!$B:$B"), "")&lt;&gt;"", "✓", "✗"), "✗")
)</f>
        <v/>
      </c>
      <c r="O82">
        <f t="array" ref="O82">IF(
    ISNUMBER(VALUE(LEFT($A82, 1))),
    "",
    IFERROR(IF(_xlfn.XLOOKUP($A82, INDIRECT("'" &amp; O$2 &amp; "'!$A:$A"), INDIRECT("'" &amp; O$2 &amp; "'!$B:$B"), "")&lt;&gt;"", "✓", "✗"), "✗")
)</f>
        <v/>
      </c>
      <c r="P82">
        <f t="array" ref="P82">IF(
    ISNUMBER(VALUE(LEFT($A82, 1))),
    "",
    IFERROR(IF(_xlfn.XLOOKUP($A82, INDIRECT("'" &amp; P$2 &amp; "'!$A:$A"), INDIRECT("'" &amp; P$2 &amp; "'!$B:$B"), "")&lt;&gt;"", "✓", "✗"), "✗")
)</f>
        <v/>
      </c>
      <c r="Q82">
        <f t="array" ref="Q82">IF(
    ISNUMBER(VALUE(LEFT($A82, 1))),
    "",
    IFERROR(IF(_xlfn.XLOOKUP($A82, INDIRECT("'" &amp; Q$2 &amp; "'!$A:$A"), INDIRECT("'" &amp; Q$2 &amp; "'!$B:$B"), "")&lt;&gt;"", "✓", "✗"), "✗")
)</f>
        <v/>
      </c>
      <c r="R82">
        <f t="array" ref="R82">IF(
    ISNUMBER(VALUE(LEFT($A82, 1))),
    "",
    IFERROR(IF(_xlfn.XLOOKUP($A82, INDIRECT("'" &amp; R$2 &amp; "'!$A:$A"), INDIRECT("'" &amp; R$2 &amp; "'!$B:$B"), "")&lt;&gt;"", "✓", "✗"), "✗")
)</f>
        <v/>
      </c>
      <c r="S82">
        <f t="array" ref="S82">IF(
    ISNUMBER(VALUE(LEFT($A82, 1))),
    "",
    IFERROR(IF(_xlfn.XLOOKUP($A82, INDIRECT("'" &amp; S$2 &amp; "'!$A:$A"), INDIRECT("'" &amp; S$2 &amp; "'!$B:$B"), "")&lt;&gt;"", "✓", "✗"), "✗")
)</f>
        <v/>
      </c>
      <c r="T82">
        <f t="array" ref="T82">IF(
    ISNUMBER(VALUE(LEFT($A82, 1))),
    "",
    IFERROR(IF(_xlfn.XLOOKUP($A82, INDIRECT("'" &amp; T$2 &amp; "'!$A:$A"), INDIRECT("'" &amp; T$2 &amp; "'!$B:$B"), "")&lt;&gt;"", "✓", "✗"), "✗")
)</f>
        <v/>
      </c>
      <c r="U82">
        <f t="array" ref="U82">IF(
    ISNUMBER(VALUE(LEFT($A82, 1))),
    "",
    IFERROR(IF(_xlfn.XLOOKUP($A82, INDIRECT("'" &amp; U$2 &amp; "'!$A:$A"), INDIRECT("'" &amp; U$2 &amp; "'!$B:$B"), "")&lt;&gt;"", "✓", "✗"), "✗")
)</f>
        <v/>
      </c>
      <c r="V82">
        <f t="array" ref="V82">IF(
    ISNUMBER(VALUE(LEFT($A82, 1))),
    "",
    IFERROR(IF(_xlfn.XLOOKUP($A82, INDIRECT("'" &amp; V$2 &amp; "'!$A:$A"), INDIRECT("'" &amp; V$2 &amp; "'!$B:$B"), "")&lt;&gt;"", "✓", "✗"), "✗")
)</f>
        <v/>
      </c>
      <c r="W82">
        <f t="array" ref="W82">IF(
    ISNUMBER(VALUE(LEFT($A82, 1))),
    "",
    IFERROR(IF(_xlfn.XLOOKUP($A82, INDIRECT("'" &amp; W$2 &amp; "'!$A:$A"), INDIRECT("'" &amp; W$2 &amp; "'!$B:$B"), "")&lt;&gt;"", "✓", "✗"), "✗")
)</f>
        <v/>
      </c>
      <c r="X82">
        <f t="array" ref="X82">IF(
    ISNUMBER(VALUE(LEFT($A82, 1))),
    "",
    IFERROR(IF(_xlfn.XLOOKUP($A82, INDIRECT("'" &amp; X$2 &amp; "'!$A:$A"), INDIRECT("'" &amp; X$2 &amp; "'!$B:$B"), "")&lt;&gt;"", "✓", "✗"), "✗")
)</f>
        <v/>
      </c>
      <c r="Y82">
        <f t="array" ref="Y82">IF(
    ISNUMBER(VALUE(LEFT($A82, 1))),
    "",
    IFERROR(IF(_xlfn.XLOOKUP($A82, INDIRECT("'" &amp; Y$2 &amp; "'!$A:$A"), INDIRECT("'" &amp; Y$2 &amp; "'!$B:$B"), "")&lt;&gt;"", "✓", "✗"), "✗")
)</f>
        <v/>
      </c>
      <c r="Z82">
        <f t="array" ref="Z82">IF(
    ISNUMBER(VALUE(LEFT($A82, 1))),
    "",
    IFERROR(IF(_xlfn.XLOOKUP($A82, INDIRECT("'" &amp; Z$2 &amp; "'!$A:$A"), INDIRECT("'" &amp; Z$2 &amp; "'!$B:$B"), "")&lt;&gt;"", "✓", "✗"), "✗")
)</f>
        <v/>
      </c>
      <c r="AA82">
        <f t="array" ref="AA82">IF(
    ISNUMBER(VALUE(LEFT($A82, 1))),
    "",
    IFERROR(IF(_xlfn.XLOOKUP($A82, INDIRECT("'" &amp; AA$2 &amp; "'!$A:$A"), INDIRECT("'" &amp; AA$2 &amp; "'!$B:$B"), "")&lt;&gt;"", "✓", "✗"), "✗")
)</f>
        <v/>
      </c>
      <c r="AB82">
        <f t="array" ref="AB82">IF(
    ISNUMBER(VALUE(LEFT($A82, 1))),
    "",
    IFERROR(IF(_xlfn.XLOOKUP($A82, INDIRECT("'" &amp; AB$2 &amp; "'!$A:$A"), INDIRECT("'" &amp; AB$2 &amp; "'!$B:$B"), "")&lt;&gt;"", "✓", "✗"), "✗")
)</f>
        <v/>
      </c>
      <c r="AC82">
        <f t="array" ref="AC82">IF(
    ISNUMBER(VALUE(LEFT($A82, 1))),
    "",
    IFERROR(IF(_xlfn.XLOOKUP($A82, INDIRECT("'" &amp; AC$2 &amp; "'!$A:$A"), INDIRECT("'" &amp; AC$2 &amp; "'!$B:$B"), "")&lt;&gt;"", "✓", "✗"), "✗")
)</f>
        <v/>
      </c>
      <c r="AD82">
        <f t="array" ref="AD82">IF(
    ISNUMBER(VALUE(LEFT($A82, 1))),
    "",
    IFERROR(IF(_xlfn.XLOOKUP($A82, INDIRECT("'" &amp; AD$2 &amp; "'!$A:$A"), INDIRECT("'" &amp; AD$2 &amp; "'!$B:$B"), "")&lt;&gt;"", "✓", "✗"), "✗")
)</f>
        <v/>
      </c>
      <c r="AE82">
        <f t="array" ref="AE82">IF(
    ISNUMBER(VALUE(LEFT($A82, 1))),
    "",
    IFERROR(IF(_xlfn.XLOOKUP($A82, INDIRECT("'" &amp; AE$2 &amp; "'!$A:$A"), INDIRECT("'" &amp; AE$2 &amp; "'!$B:$B"), "")&lt;&gt;"", "✓", "✗"), "✗")
)</f>
        <v/>
      </c>
      <c r="AF82">
        <f t="array" ref="AF82">IF(
    ISNUMBER(VALUE(LEFT($A82, 1))),
    "",
    IFERROR(IF(_xlfn.XLOOKUP($A82, INDIRECT("'" &amp; AF$2 &amp; "'!$A:$A"), INDIRECT("'" &amp; AF$2 &amp; "'!$B:$B"), "")&lt;&gt;"", "✓", "✗"), "✗")
)</f>
        <v/>
      </c>
      <c r="AG82">
        <f t="array" ref="AG82">IF(
    ISNUMBER(VALUE(LEFT($A82, 1))),
    "",
    IFERROR(IF(_xlfn.XLOOKUP($A82, INDIRECT("'" &amp; AG$2 &amp; "'!$A:$A"), INDIRECT("'" &amp; AG$2 &amp; "'!$B:$B"), "")&lt;&gt;"", "✓", "✗"), "✗")
)</f>
        <v/>
      </c>
    </row>
    <row r="83">
      <c r="A83" t="inlineStr">
        <is>
          <t>Customer Comments</t>
        </is>
      </c>
      <c r="B83">
        <f t="array" ref="B83">IF(
    ISNUMBER(VALUE(LEFT($A83, 1))),
    "",
    IFERROR(IF(_xlfn.XLOOKUP($A83, INDIRECT("'" &amp; B$2 &amp; "'!$A:$A"), INDIRECT("'" &amp; B$2 &amp; "'!$B:$B"), "")&lt;&gt;"", "✓", "✗"), "✗")
)</f>
        <v/>
      </c>
      <c r="C83">
        <f t="array" ref="C83">IF(
    ISNUMBER(VALUE(LEFT($A83, 1))),
    "",
    IFERROR(IF(_xlfn.XLOOKUP($A83, INDIRECT("'" &amp; C$2 &amp; "'!$A:$A"), INDIRECT("'" &amp; C$2 &amp; "'!$B:$B"), "")&lt;&gt;"", "✓", "✗"), "✗")
)</f>
        <v/>
      </c>
      <c r="D83">
        <f t="array" ref="D83">IF(
    ISNUMBER(VALUE(LEFT($A83, 1))),
    "",
    IFERROR(IF(_xlfn.XLOOKUP($A83, INDIRECT("'" &amp; D$2 &amp; "'!$A:$A"), INDIRECT("'" &amp; D$2 &amp; "'!$B:$B"), "")&lt;&gt;"", "✓", "✗"), "✗")
)</f>
        <v/>
      </c>
      <c r="E83">
        <f t="array" ref="E83">IF(
    ISNUMBER(VALUE(LEFT($A83, 1))),
    "",
    IFERROR(IF(_xlfn.XLOOKUP($A83, INDIRECT("'" &amp; E$2 &amp; "'!$A:$A"), INDIRECT("'" &amp; E$2 &amp; "'!$B:$B"), "")&lt;&gt;"", "✓", "✗"), "✗")
)</f>
        <v/>
      </c>
      <c r="F83">
        <f t="array" ref="F83">IF(
    ISNUMBER(VALUE(LEFT($A83, 1))),
    "",
    IFERROR(IF(_xlfn.XLOOKUP($A83, INDIRECT("'" &amp; F$2 &amp; "'!$A:$A"), INDIRECT("'" &amp; F$2 &amp; "'!$B:$B"), "")&lt;&gt;"", "✓", "✗"), "✗")
)</f>
        <v/>
      </c>
      <c r="G83">
        <f t="array" ref="G83">IF(
    ISNUMBER(VALUE(LEFT($A83, 1))),
    "",
    IFERROR(IF(_xlfn.XLOOKUP($A83, INDIRECT("'" &amp; G$2 &amp; "'!$A:$A"), INDIRECT("'" &amp; G$2 &amp; "'!$B:$B"), "")&lt;&gt;"", "✓", "✗"), "✗")
)</f>
        <v/>
      </c>
      <c r="H83">
        <f t="array" ref="H83">IF(
    ISNUMBER(VALUE(LEFT($A83, 1))),
    "",
    IFERROR(IF(_xlfn.XLOOKUP($A83, INDIRECT("'" &amp; H$2 &amp; "'!$A:$A"), INDIRECT("'" &amp; H$2 &amp; "'!$B:$B"), "")&lt;&gt;"", "✓", "✗"), "✗")
)</f>
        <v/>
      </c>
      <c r="I83">
        <f t="array" ref="I83">IF(
    ISNUMBER(VALUE(LEFT($A83, 1))),
    "",
    IFERROR(IF(_xlfn.XLOOKUP($A83, INDIRECT("'" &amp; I$2 &amp; "'!$A:$A"), INDIRECT("'" &amp; I$2 &amp; "'!$B:$B"), "")&lt;&gt;"", "✓", "✗"), "✗")
)</f>
        <v/>
      </c>
      <c r="J83">
        <f t="array" ref="J83">IF(
    ISNUMBER(VALUE(LEFT($A83, 1))),
    "",
    IFERROR(IF(_xlfn.XLOOKUP($A83, INDIRECT("'" &amp; J$2 &amp; "'!$A:$A"), INDIRECT("'" &amp; J$2 &amp; "'!$B:$B"), "")&lt;&gt;"", "✓", "✗"), "✗")
)</f>
        <v/>
      </c>
      <c r="K83">
        <f t="array" ref="K83">IF(
    ISNUMBER(VALUE(LEFT($A83, 1))),
    "",
    IFERROR(IF(_xlfn.XLOOKUP($A83, INDIRECT("'" &amp; K$2 &amp; "'!$A:$A"), INDIRECT("'" &amp; K$2 &amp; "'!$B:$B"), "")&lt;&gt;"", "✓", "✗"), "✗")
)</f>
        <v/>
      </c>
      <c r="L83">
        <f t="array" ref="L83">IF(
    ISNUMBER(VALUE(LEFT($A83, 1))),
    "",
    IFERROR(IF(_xlfn.XLOOKUP($A83, INDIRECT("'" &amp; L$2 &amp; "'!$A:$A"), INDIRECT("'" &amp; L$2 &amp; "'!$B:$B"), "")&lt;&gt;"", "✓", "✗"), "✗")
)</f>
        <v/>
      </c>
      <c r="M83">
        <f t="array" ref="M83">IF(
    ISNUMBER(VALUE(LEFT($A83, 1))),
    "",
    IFERROR(IF(_xlfn.XLOOKUP($A83, INDIRECT("'" &amp; M$2 &amp; "'!$A:$A"), INDIRECT("'" &amp; M$2 &amp; "'!$B:$B"), "")&lt;&gt;"", "✓", "✗"), "✗")
)</f>
        <v/>
      </c>
      <c r="N83">
        <f t="array" ref="N83">IF(
    ISNUMBER(VALUE(LEFT($A83, 1))),
    "",
    IFERROR(IF(_xlfn.XLOOKUP($A83, INDIRECT("'" &amp; N$2 &amp; "'!$A:$A"), INDIRECT("'" &amp; N$2 &amp; "'!$B:$B"), "")&lt;&gt;"", "✓", "✗"), "✗")
)</f>
        <v/>
      </c>
      <c r="O83">
        <f t="array" ref="O83">IF(
    ISNUMBER(VALUE(LEFT($A83, 1))),
    "",
    IFERROR(IF(_xlfn.XLOOKUP($A83, INDIRECT("'" &amp; O$2 &amp; "'!$A:$A"), INDIRECT("'" &amp; O$2 &amp; "'!$B:$B"), "")&lt;&gt;"", "✓", "✗"), "✗")
)</f>
        <v/>
      </c>
      <c r="P83">
        <f t="array" ref="P83">IF(
    ISNUMBER(VALUE(LEFT($A83, 1))),
    "",
    IFERROR(IF(_xlfn.XLOOKUP($A83, INDIRECT("'" &amp; P$2 &amp; "'!$A:$A"), INDIRECT("'" &amp; P$2 &amp; "'!$B:$B"), "")&lt;&gt;"", "✓", "✗"), "✗")
)</f>
        <v/>
      </c>
      <c r="Q83">
        <f t="array" ref="Q83">IF(
    ISNUMBER(VALUE(LEFT($A83, 1))),
    "",
    IFERROR(IF(_xlfn.XLOOKUP($A83, INDIRECT("'" &amp; Q$2 &amp; "'!$A:$A"), INDIRECT("'" &amp; Q$2 &amp; "'!$B:$B"), "")&lt;&gt;"", "✓", "✗"), "✗")
)</f>
        <v/>
      </c>
      <c r="R83">
        <f t="array" ref="R83">IF(
    ISNUMBER(VALUE(LEFT($A83, 1))),
    "",
    IFERROR(IF(_xlfn.XLOOKUP($A83, INDIRECT("'" &amp; R$2 &amp; "'!$A:$A"), INDIRECT("'" &amp; R$2 &amp; "'!$B:$B"), "")&lt;&gt;"", "✓", "✗"), "✗")
)</f>
        <v/>
      </c>
      <c r="S83">
        <f t="array" ref="S83">IF(
    ISNUMBER(VALUE(LEFT($A83, 1))),
    "",
    IFERROR(IF(_xlfn.XLOOKUP($A83, INDIRECT("'" &amp; S$2 &amp; "'!$A:$A"), INDIRECT("'" &amp; S$2 &amp; "'!$B:$B"), "")&lt;&gt;"", "✓", "✗"), "✗")
)</f>
        <v/>
      </c>
      <c r="T83">
        <f t="array" ref="T83">IF(
    ISNUMBER(VALUE(LEFT($A83, 1))),
    "",
    IFERROR(IF(_xlfn.XLOOKUP($A83, INDIRECT("'" &amp; T$2 &amp; "'!$A:$A"), INDIRECT("'" &amp; T$2 &amp; "'!$B:$B"), "")&lt;&gt;"", "✓", "✗"), "✗")
)</f>
        <v/>
      </c>
      <c r="U83">
        <f t="array" ref="U83">IF(
    ISNUMBER(VALUE(LEFT($A83, 1))),
    "",
    IFERROR(IF(_xlfn.XLOOKUP($A83, INDIRECT("'" &amp; U$2 &amp; "'!$A:$A"), INDIRECT("'" &amp; U$2 &amp; "'!$B:$B"), "")&lt;&gt;"", "✓", "✗"), "✗")
)</f>
        <v/>
      </c>
      <c r="V83">
        <f t="array" ref="V83">IF(
    ISNUMBER(VALUE(LEFT($A83, 1))),
    "",
    IFERROR(IF(_xlfn.XLOOKUP($A83, INDIRECT("'" &amp; V$2 &amp; "'!$A:$A"), INDIRECT("'" &amp; V$2 &amp; "'!$B:$B"), "")&lt;&gt;"", "✓", "✗"), "✗")
)</f>
        <v/>
      </c>
      <c r="W83">
        <f t="array" ref="W83">IF(
    ISNUMBER(VALUE(LEFT($A83, 1))),
    "",
    IFERROR(IF(_xlfn.XLOOKUP($A83, INDIRECT("'" &amp; W$2 &amp; "'!$A:$A"), INDIRECT("'" &amp; W$2 &amp; "'!$B:$B"), "")&lt;&gt;"", "✓", "✗"), "✗")
)</f>
        <v/>
      </c>
      <c r="X83">
        <f t="array" ref="X83">IF(
    ISNUMBER(VALUE(LEFT($A83, 1))),
    "",
    IFERROR(IF(_xlfn.XLOOKUP($A83, INDIRECT("'" &amp; X$2 &amp; "'!$A:$A"), INDIRECT("'" &amp; X$2 &amp; "'!$B:$B"), "")&lt;&gt;"", "✓", "✗"), "✗")
)</f>
        <v/>
      </c>
      <c r="Y83">
        <f t="array" ref="Y83">IF(
    ISNUMBER(VALUE(LEFT($A83, 1))),
    "",
    IFERROR(IF(_xlfn.XLOOKUP($A83, INDIRECT("'" &amp; Y$2 &amp; "'!$A:$A"), INDIRECT("'" &amp; Y$2 &amp; "'!$B:$B"), "")&lt;&gt;"", "✓", "✗"), "✗")
)</f>
        <v/>
      </c>
      <c r="Z83">
        <f t="array" ref="Z83">IF(
    ISNUMBER(VALUE(LEFT($A83, 1))),
    "",
    IFERROR(IF(_xlfn.XLOOKUP($A83, INDIRECT("'" &amp; Z$2 &amp; "'!$A:$A"), INDIRECT("'" &amp; Z$2 &amp; "'!$B:$B"), "")&lt;&gt;"", "✓", "✗"), "✗")
)</f>
        <v/>
      </c>
      <c r="AA83">
        <f t="array" ref="AA83">IF(
    ISNUMBER(VALUE(LEFT($A83, 1))),
    "",
    IFERROR(IF(_xlfn.XLOOKUP($A83, INDIRECT("'" &amp; AA$2 &amp; "'!$A:$A"), INDIRECT("'" &amp; AA$2 &amp; "'!$B:$B"), "")&lt;&gt;"", "✓", "✗"), "✗")
)</f>
        <v/>
      </c>
      <c r="AB83">
        <f t="array" ref="AB83">IF(
    ISNUMBER(VALUE(LEFT($A83, 1))),
    "",
    IFERROR(IF(_xlfn.XLOOKUP($A83, INDIRECT("'" &amp; AB$2 &amp; "'!$A:$A"), INDIRECT("'" &amp; AB$2 &amp; "'!$B:$B"), "")&lt;&gt;"", "✓", "✗"), "✗")
)</f>
        <v/>
      </c>
      <c r="AC83">
        <f t="array" ref="AC83">IF(
    ISNUMBER(VALUE(LEFT($A83, 1))),
    "",
    IFERROR(IF(_xlfn.XLOOKUP($A83, INDIRECT("'" &amp; AC$2 &amp; "'!$A:$A"), INDIRECT("'" &amp; AC$2 &amp; "'!$B:$B"), "")&lt;&gt;"", "✓", "✗"), "✗")
)</f>
        <v/>
      </c>
      <c r="AD83">
        <f t="array" ref="AD83">IF(
    ISNUMBER(VALUE(LEFT($A83, 1))),
    "",
    IFERROR(IF(_xlfn.XLOOKUP($A83, INDIRECT("'" &amp; AD$2 &amp; "'!$A:$A"), INDIRECT("'" &amp; AD$2 &amp; "'!$B:$B"), "")&lt;&gt;"", "✓", "✗"), "✗")
)</f>
        <v/>
      </c>
      <c r="AE83">
        <f t="array" ref="AE83">IF(
    ISNUMBER(VALUE(LEFT($A83, 1))),
    "",
    IFERROR(IF(_xlfn.XLOOKUP($A83, INDIRECT("'" &amp; AE$2 &amp; "'!$A:$A"), INDIRECT("'" &amp; AE$2 &amp; "'!$B:$B"), "")&lt;&gt;"", "✓", "✗"), "✗")
)</f>
        <v/>
      </c>
      <c r="AF83">
        <f t="array" ref="AF83">IF(
    ISNUMBER(VALUE(LEFT($A83, 1))),
    "",
    IFERROR(IF(_xlfn.XLOOKUP($A83, INDIRECT("'" &amp; AF$2 &amp; "'!$A:$A"), INDIRECT("'" &amp; AF$2 &amp; "'!$B:$B"), "")&lt;&gt;"", "✓", "✗"), "✗")
)</f>
        <v/>
      </c>
      <c r="AG83">
        <f t="array" ref="AG83">IF(
    ISNUMBER(VALUE(LEFT($A83, 1))),
    "",
    IFERROR(IF(_xlfn.XLOOKUP($A83, INDIRECT("'" &amp; AG$2 &amp; "'!$A:$A"), INDIRECT("'" &amp; AG$2 &amp; "'!$B:$B"), "")&lt;&gt;"", "✓", "✗"), "✗")
)</f>
        <v/>
      </c>
    </row>
    <row r="84">
      <c r="A84" t="inlineStr">
        <is>
          <t>Transaction Date</t>
        </is>
      </c>
      <c r="B84">
        <f t="array" ref="B84">IF(
    ISNUMBER(VALUE(LEFT($A84, 1))),
    "",
    IFERROR(IF(_xlfn.XLOOKUP($A84, INDIRECT("'" &amp; B$2 &amp; "'!$A:$A"), INDIRECT("'" &amp; B$2 &amp; "'!$B:$B"), "")&lt;&gt;"", "✓", "✗"), "✗")
)</f>
        <v/>
      </c>
      <c r="C84">
        <f t="array" ref="C84">IF(
    ISNUMBER(VALUE(LEFT($A84, 1))),
    "",
    IFERROR(IF(_xlfn.XLOOKUP($A84, INDIRECT("'" &amp; C$2 &amp; "'!$A:$A"), INDIRECT("'" &amp; C$2 &amp; "'!$B:$B"), "")&lt;&gt;"", "✓", "✗"), "✗")
)</f>
        <v/>
      </c>
      <c r="D84">
        <f t="array" ref="D84">IF(
    ISNUMBER(VALUE(LEFT($A84, 1))),
    "",
    IFERROR(IF(_xlfn.XLOOKUP($A84, INDIRECT("'" &amp; D$2 &amp; "'!$A:$A"), INDIRECT("'" &amp; D$2 &amp; "'!$B:$B"), "")&lt;&gt;"", "✓", "✗"), "✗")
)</f>
        <v/>
      </c>
      <c r="E84">
        <f t="array" ref="E84">IF(
    ISNUMBER(VALUE(LEFT($A84, 1))),
    "",
    IFERROR(IF(_xlfn.XLOOKUP($A84, INDIRECT("'" &amp; E$2 &amp; "'!$A:$A"), INDIRECT("'" &amp; E$2 &amp; "'!$B:$B"), "")&lt;&gt;"", "✓", "✗"), "✗")
)</f>
        <v/>
      </c>
      <c r="F84">
        <f t="array" ref="F84">IF(
    ISNUMBER(VALUE(LEFT($A84, 1))),
    "",
    IFERROR(IF(_xlfn.XLOOKUP($A84, INDIRECT("'" &amp; F$2 &amp; "'!$A:$A"), INDIRECT("'" &amp; F$2 &amp; "'!$B:$B"), "")&lt;&gt;"", "✓", "✗"), "✗")
)</f>
        <v/>
      </c>
      <c r="G84">
        <f t="array" ref="G84">IF(
    ISNUMBER(VALUE(LEFT($A84, 1))),
    "",
    IFERROR(IF(_xlfn.XLOOKUP($A84, INDIRECT("'" &amp; G$2 &amp; "'!$A:$A"), INDIRECT("'" &amp; G$2 &amp; "'!$B:$B"), "")&lt;&gt;"", "✓", "✗"), "✗")
)</f>
        <v/>
      </c>
      <c r="H84">
        <f t="array" ref="H84">IF(
    ISNUMBER(VALUE(LEFT($A84, 1))),
    "",
    IFERROR(IF(_xlfn.XLOOKUP($A84, INDIRECT("'" &amp; H$2 &amp; "'!$A:$A"), INDIRECT("'" &amp; H$2 &amp; "'!$B:$B"), "")&lt;&gt;"", "✓", "✗"), "✗")
)</f>
        <v/>
      </c>
      <c r="I84">
        <f t="array" ref="I84">IF(
    ISNUMBER(VALUE(LEFT($A84, 1))),
    "",
    IFERROR(IF(_xlfn.XLOOKUP($A84, INDIRECT("'" &amp; I$2 &amp; "'!$A:$A"), INDIRECT("'" &amp; I$2 &amp; "'!$B:$B"), "")&lt;&gt;"", "✓", "✗"), "✗")
)</f>
        <v/>
      </c>
      <c r="J84">
        <f t="array" ref="J84">IF(
    ISNUMBER(VALUE(LEFT($A84, 1))),
    "",
    IFERROR(IF(_xlfn.XLOOKUP($A84, INDIRECT("'" &amp; J$2 &amp; "'!$A:$A"), INDIRECT("'" &amp; J$2 &amp; "'!$B:$B"), "")&lt;&gt;"", "✓", "✗"), "✗")
)</f>
        <v/>
      </c>
      <c r="K84">
        <f t="array" ref="K84">IF(
    ISNUMBER(VALUE(LEFT($A84, 1))),
    "",
    IFERROR(IF(_xlfn.XLOOKUP($A84, INDIRECT("'" &amp; K$2 &amp; "'!$A:$A"), INDIRECT("'" &amp; K$2 &amp; "'!$B:$B"), "")&lt;&gt;"", "✓", "✗"), "✗")
)</f>
        <v/>
      </c>
      <c r="L84">
        <f t="array" ref="L84">IF(
    ISNUMBER(VALUE(LEFT($A84, 1))),
    "",
    IFERROR(IF(_xlfn.XLOOKUP($A84, INDIRECT("'" &amp; L$2 &amp; "'!$A:$A"), INDIRECT("'" &amp; L$2 &amp; "'!$B:$B"), "")&lt;&gt;"", "✓", "✗"), "✗")
)</f>
        <v/>
      </c>
      <c r="M84">
        <f t="array" ref="M84">IF(
    ISNUMBER(VALUE(LEFT($A84, 1))),
    "",
    IFERROR(IF(_xlfn.XLOOKUP($A84, INDIRECT("'" &amp; M$2 &amp; "'!$A:$A"), INDIRECT("'" &amp; M$2 &amp; "'!$B:$B"), "")&lt;&gt;"", "✓", "✗"), "✗")
)</f>
        <v/>
      </c>
      <c r="N84">
        <f t="array" ref="N84">IF(
    ISNUMBER(VALUE(LEFT($A84, 1))),
    "",
    IFERROR(IF(_xlfn.XLOOKUP($A84, INDIRECT("'" &amp; N$2 &amp; "'!$A:$A"), INDIRECT("'" &amp; N$2 &amp; "'!$B:$B"), "")&lt;&gt;"", "✓", "✗"), "✗")
)</f>
        <v/>
      </c>
      <c r="O84">
        <f t="array" ref="O84">IF(
    ISNUMBER(VALUE(LEFT($A84, 1))),
    "",
    IFERROR(IF(_xlfn.XLOOKUP($A84, INDIRECT("'" &amp; O$2 &amp; "'!$A:$A"), INDIRECT("'" &amp; O$2 &amp; "'!$B:$B"), "")&lt;&gt;"", "✓", "✗"), "✗")
)</f>
        <v/>
      </c>
      <c r="P84">
        <f t="array" ref="P84">IF(
    ISNUMBER(VALUE(LEFT($A84, 1))),
    "",
    IFERROR(IF(_xlfn.XLOOKUP($A84, INDIRECT("'" &amp; P$2 &amp; "'!$A:$A"), INDIRECT("'" &amp; P$2 &amp; "'!$B:$B"), "")&lt;&gt;"", "✓", "✗"), "✗")
)</f>
        <v/>
      </c>
      <c r="Q84">
        <f t="array" ref="Q84">IF(
    ISNUMBER(VALUE(LEFT($A84, 1))),
    "",
    IFERROR(IF(_xlfn.XLOOKUP($A84, INDIRECT("'" &amp; Q$2 &amp; "'!$A:$A"), INDIRECT("'" &amp; Q$2 &amp; "'!$B:$B"), "")&lt;&gt;"", "✓", "✗"), "✗")
)</f>
        <v/>
      </c>
      <c r="R84">
        <f t="array" ref="R84">IF(
    ISNUMBER(VALUE(LEFT($A84, 1))),
    "",
    IFERROR(IF(_xlfn.XLOOKUP($A84, INDIRECT("'" &amp; R$2 &amp; "'!$A:$A"), INDIRECT("'" &amp; R$2 &amp; "'!$B:$B"), "")&lt;&gt;"", "✓", "✗"), "✗")
)</f>
        <v/>
      </c>
      <c r="S84">
        <f t="array" ref="S84">IF(
    ISNUMBER(VALUE(LEFT($A84, 1))),
    "",
    IFERROR(IF(_xlfn.XLOOKUP($A84, INDIRECT("'" &amp; S$2 &amp; "'!$A:$A"), INDIRECT("'" &amp; S$2 &amp; "'!$B:$B"), "")&lt;&gt;"", "✓", "✗"), "✗")
)</f>
        <v/>
      </c>
      <c r="T84">
        <f t="array" ref="T84">IF(
    ISNUMBER(VALUE(LEFT($A84, 1))),
    "",
    IFERROR(IF(_xlfn.XLOOKUP($A84, INDIRECT("'" &amp; T$2 &amp; "'!$A:$A"), INDIRECT("'" &amp; T$2 &amp; "'!$B:$B"), "")&lt;&gt;"", "✓", "✗"), "✗")
)</f>
        <v/>
      </c>
      <c r="U84">
        <f t="array" ref="U84">IF(
    ISNUMBER(VALUE(LEFT($A84, 1))),
    "",
    IFERROR(IF(_xlfn.XLOOKUP($A84, INDIRECT("'" &amp; U$2 &amp; "'!$A:$A"), INDIRECT("'" &amp; U$2 &amp; "'!$B:$B"), "")&lt;&gt;"", "✓", "✗"), "✗")
)</f>
        <v/>
      </c>
      <c r="V84">
        <f t="array" ref="V84">IF(
    ISNUMBER(VALUE(LEFT($A84, 1))),
    "",
    IFERROR(IF(_xlfn.XLOOKUP($A84, INDIRECT("'" &amp; V$2 &amp; "'!$A:$A"), INDIRECT("'" &amp; V$2 &amp; "'!$B:$B"), "")&lt;&gt;"", "✓", "✗"), "✗")
)</f>
        <v/>
      </c>
      <c r="W84">
        <f t="array" ref="W84">IF(
    ISNUMBER(VALUE(LEFT($A84, 1))),
    "",
    IFERROR(IF(_xlfn.XLOOKUP($A84, INDIRECT("'" &amp; W$2 &amp; "'!$A:$A"), INDIRECT("'" &amp; W$2 &amp; "'!$B:$B"), "")&lt;&gt;"", "✓", "✗"), "✗")
)</f>
        <v/>
      </c>
      <c r="X84">
        <f t="array" ref="X84">IF(
    ISNUMBER(VALUE(LEFT($A84, 1))),
    "",
    IFERROR(IF(_xlfn.XLOOKUP($A84, INDIRECT("'" &amp; X$2 &amp; "'!$A:$A"), INDIRECT("'" &amp; X$2 &amp; "'!$B:$B"), "")&lt;&gt;"", "✓", "✗"), "✗")
)</f>
        <v/>
      </c>
      <c r="Y84">
        <f t="array" ref="Y84">IF(
    ISNUMBER(VALUE(LEFT($A84, 1))),
    "",
    IFERROR(IF(_xlfn.XLOOKUP($A84, INDIRECT("'" &amp; Y$2 &amp; "'!$A:$A"), INDIRECT("'" &amp; Y$2 &amp; "'!$B:$B"), "")&lt;&gt;"", "✓", "✗"), "✗")
)</f>
        <v/>
      </c>
      <c r="Z84">
        <f t="array" ref="Z84">IF(
    ISNUMBER(VALUE(LEFT($A84, 1))),
    "",
    IFERROR(IF(_xlfn.XLOOKUP($A84, INDIRECT("'" &amp; Z$2 &amp; "'!$A:$A"), INDIRECT("'" &amp; Z$2 &amp; "'!$B:$B"), "")&lt;&gt;"", "✓", "✗"), "✗")
)</f>
        <v/>
      </c>
      <c r="AA84">
        <f t="array" ref="AA84">IF(
    ISNUMBER(VALUE(LEFT($A84, 1))),
    "",
    IFERROR(IF(_xlfn.XLOOKUP($A84, INDIRECT("'" &amp; AA$2 &amp; "'!$A:$A"), INDIRECT("'" &amp; AA$2 &amp; "'!$B:$B"), "")&lt;&gt;"", "✓", "✗"), "✗")
)</f>
        <v/>
      </c>
      <c r="AB84">
        <f t="array" ref="AB84">IF(
    ISNUMBER(VALUE(LEFT($A84, 1))),
    "",
    IFERROR(IF(_xlfn.XLOOKUP($A84, INDIRECT("'" &amp; AB$2 &amp; "'!$A:$A"), INDIRECT("'" &amp; AB$2 &amp; "'!$B:$B"), "")&lt;&gt;"", "✓", "✗"), "✗")
)</f>
        <v/>
      </c>
      <c r="AC84">
        <f t="array" ref="AC84">IF(
    ISNUMBER(VALUE(LEFT($A84, 1))),
    "",
    IFERROR(IF(_xlfn.XLOOKUP($A84, INDIRECT("'" &amp; AC$2 &amp; "'!$A:$A"), INDIRECT("'" &amp; AC$2 &amp; "'!$B:$B"), "")&lt;&gt;"", "✓", "✗"), "✗")
)</f>
        <v/>
      </c>
      <c r="AD84">
        <f t="array" ref="AD84">IF(
    ISNUMBER(VALUE(LEFT($A84, 1))),
    "",
    IFERROR(IF(_xlfn.XLOOKUP($A84, INDIRECT("'" &amp; AD$2 &amp; "'!$A:$A"), INDIRECT("'" &amp; AD$2 &amp; "'!$B:$B"), "")&lt;&gt;"", "✓", "✗"), "✗")
)</f>
        <v/>
      </c>
      <c r="AE84">
        <f t="array" ref="AE84">IF(
    ISNUMBER(VALUE(LEFT($A84, 1))),
    "",
    IFERROR(IF(_xlfn.XLOOKUP($A84, INDIRECT("'" &amp; AE$2 &amp; "'!$A:$A"), INDIRECT("'" &amp; AE$2 &amp; "'!$B:$B"), "")&lt;&gt;"", "✓", "✗"), "✗")
)</f>
        <v/>
      </c>
      <c r="AF84">
        <f t="array" ref="AF84">IF(
    ISNUMBER(VALUE(LEFT($A84, 1))),
    "",
    IFERROR(IF(_xlfn.XLOOKUP($A84, INDIRECT("'" &amp; AF$2 &amp; "'!$A:$A"), INDIRECT("'" &amp; AF$2 &amp; "'!$B:$B"), "")&lt;&gt;"", "✓", "✗"), "✗")
)</f>
        <v/>
      </c>
      <c r="AG84">
        <f t="array" ref="AG84">IF(
    ISNUMBER(VALUE(LEFT($A84, 1))),
    "",
    IFERROR(IF(_xlfn.XLOOKUP($A84, INDIRECT("'" &amp; AG$2 &amp; "'!$A:$A"), INDIRECT("'" &amp; AG$2 &amp; "'!$B:$B"), "")&lt;&gt;"", "✓", "✗"), "✗")
)</f>
        <v/>
      </c>
    </row>
    <row r="85">
      <c r="A85" t="inlineStr">
        <is>
          <t>8 - Activity Detail</t>
        </is>
      </c>
      <c r="B85">
        <f t="array" ref="B85">IF(
    ISNUMBER(VALUE(LEFT($A85, 1))),
    "",
    IFERROR(IF(_xlfn.XLOOKUP($A85, INDIRECT("'" &amp; B$2 &amp; "'!$A:$A"), INDIRECT("'" &amp; B$2 &amp; "'!$B:$B"), "")&lt;&gt;"", "✓", "✗"), "✗")
)</f>
        <v/>
      </c>
      <c r="C85">
        <f t="array" ref="C85">IF(
    ISNUMBER(VALUE(LEFT($A85, 1))),
    "",
    IFERROR(IF(_xlfn.XLOOKUP($A85, INDIRECT("'" &amp; C$2 &amp; "'!$A:$A"), INDIRECT("'" &amp; C$2 &amp; "'!$B:$B"), "")&lt;&gt;"", "✓", "✗"), "✗")
)</f>
        <v/>
      </c>
      <c r="D85">
        <f t="array" ref="D85">IF(
    ISNUMBER(VALUE(LEFT($A85, 1))),
    "",
    IFERROR(IF(_xlfn.XLOOKUP($A85, INDIRECT("'" &amp; D$2 &amp; "'!$A:$A"), INDIRECT("'" &amp; D$2 &amp; "'!$B:$B"), "")&lt;&gt;"", "✓", "✗"), "✗")
)</f>
        <v/>
      </c>
      <c r="E85">
        <f t="array" ref="E85">IF(
    ISNUMBER(VALUE(LEFT($A85, 1))),
    "",
    IFERROR(IF(_xlfn.XLOOKUP($A85, INDIRECT("'" &amp; E$2 &amp; "'!$A:$A"), INDIRECT("'" &amp; E$2 &amp; "'!$B:$B"), "")&lt;&gt;"", "✓", "✗"), "✗")
)</f>
        <v/>
      </c>
      <c r="F85">
        <f t="array" ref="F85">IF(
    ISNUMBER(VALUE(LEFT($A85, 1))),
    "",
    IFERROR(IF(_xlfn.XLOOKUP($A85, INDIRECT("'" &amp; F$2 &amp; "'!$A:$A"), INDIRECT("'" &amp; F$2 &amp; "'!$B:$B"), "")&lt;&gt;"", "✓", "✗"), "✗")
)</f>
        <v/>
      </c>
      <c r="G85">
        <f t="array" ref="G85">IF(
    ISNUMBER(VALUE(LEFT($A85, 1))),
    "",
    IFERROR(IF(_xlfn.XLOOKUP($A85, INDIRECT("'" &amp; G$2 &amp; "'!$A:$A"), INDIRECT("'" &amp; G$2 &amp; "'!$B:$B"), "")&lt;&gt;"", "✓", "✗"), "✗")
)</f>
        <v/>
      </c>
      <c r="H85">
        <f t="array" ref="H85">IF(
    ISNUMBER(VALUE(LEFT($A85, 1))),
    "",
    IFERROR(IF(_xlfn.XLOOKUP($A85, INDIRECT("'" &amp; H$2 &amp; "'!$A:$A"), INDIRECT("'" &amp; H$2 &amp; "'!$B:$B"), "")&lt;&gt;"", "✓", "✗"), "✗")
)</f>
        <v/>
      </c>
      <c r="I85">
        <f t="array" ref="I85">IF(
    ISNUMBER(VALUE(LEFT($A85, 1))),
    "",
    IFERROR(IF(_xlfn.XLOOKUP($A85, INDIRECT("'" &amp; I$2 &amp; "'!$A:$A"), INDIRECT("'" &amp; I$2 &amp; "'!$B:$B"), "")&lt;&gt;"", "✓", "✗"), "✗")
)</f>
        <v/>
      </c>
      <c r="J85">
        <f t="array" ref="J85">IF(
    ISNUMBER(VALUE(LEFT($A85, 1))),
    "",
    IFERROR(IF(_xlfn.XLOOKUP($A85, INDIRECT("'" &amp; J$2 &amp; "'!$A:$A"), INDIRECT("'" &amp; J$2 &amp; "'!$B:$B"), "")&lt;&gt;"", "✓", "✗"), "✗")
)</f>
        <v/>
      </c>
      <c r="K85">
        <f t="array" ref="K85">IF(
    ISNUMBER(VALUE(LEFT($A85, 1))),
    "",
    IFERROR(IF(_xlfn.XLOOKUP($A85, INDIRECT("'" &amp; K$2 &amp; "'!$A:$A"), INDIRECT("'" &amp; K$2 &amp; "'!$B:$B"), "")&lt;&gt;"", "✓", "✗"), "✗")
)</f>
        <v/>
      </c>
      <c r="L85">
        <f t="array" ref="L85">IF(
    ISNUMBER(VALUE(LEFT($A85, 1))),
    "",
    IFERROR(IF(_xlfn.XLOOKUP($A85, INDIRECT("'" &amp; L$2 &amp; "'!$A:$A"), INDIRECT("'" &amp; L$2 &amp; "'!$B:$B"), "")&lt;&gt;"", "✓", "✗"), "✗")
)</f>
        <v/>
      </c>
      <c r="M85">
        <f t="array" ref="M85">IF(
    ISNUMBER(VALUE(LEFT($A85, 1))),
    "",
    IFERROR(IF(_xlfn.XLOOKUP($A85, INDIRECT("'" &amp; M$2 &amp; "'!$A:$A"), INDIRECT("'" &amp; M$2 &amp; "'!$B:$B"), "")&lt;&gt;"", "✓", "✗"), "✗")
)</f>
        <v/>
      </c>
      <c r="N85">
        <f t="array" ref="N85">IF(
    ISNUMBER(VALUE(LEFT($A85, 1))),
    "",
    IFERROR(IF(_xlfn.XLOOKUP($A85, INDIRECT("'" &amp; N$2 &amp; "'!$A:$A"), INDIRECT("'" &amp; N$2 &amp; "'!$B:$B"), "")&lt;&gt;"", "✓", "✗"), "✗")
)</f>
        <v/>
      </c>
      <c r="O85">
        <f t="array" ref="O85">IF(
    ISNUMBER(VALUE(LEFT($A85, 1))),
    "",
    IFERROR(IF(_xlfn.XLOOKUP($A85, INDIRECT("'" &amp; O$2 &amp; "'!$A:$A"), INDIRECT("'" &amp; O$2 &amp; "'!$B:$B"), "")&lt;&gt;"", "✓", "✗"), "✗")
)</f>
        <v/>
      </c>
      <c r="P85">
        <f t="array" ref="P85">IF(
    ISNUMBER(VALUE(LEFT($A85, 1))),
    "",
    IFERROR(IF(_xlfn.XLOOKUP($A85, INDIRECT("'" &amp; P$2 &amp; "'!$A:$A"), INDIRECT("'" &amp; P$2 &amp; "'!$B:$B"), "")&lt;&gt;"", "✓", "✗"), "✗")
)</f>
        <v/>
      </c>
      <c r="Q85">
        <f t="array" ref="Q85">IF(
    ISNUMBER(VALUE(LEFT($A85, 1))),
    "",
    IFERROR(IF(_xlfn.XLOOKUP($A85, INDIRECT("'" &amp; Q$2 &amp; "'!$A:$A"), INDIRECT("'" &amp; Q$2 &amp; "'!$B:$B"), "")&lt;&gt;"", "✓", "✗"), "✗")
)</f>
        <v/>
      </c>
      <c r="R85">
        <f t="array" ref="R85">IF(
    ISNUMBER(VALUE(LEFT($A85, 1))),
    "",
    IFERROR(IF(_xlfn.XLOOKUP($A85, INDIRECT("'" &amp; R$2 &amp; "'!$A:$A"), INDIRECT("'" &amp; R$2 &amp; "'!$B:$B"), "")&lt;&gt;"", "✓", "✗"), "✗")
)</f>
        <v/>
      </c>
      <c r="S85">
        <f t="array" ref="S85">IF(
    ISNUMBER(VALUE(LEFT($A85, 1))),
    "",
    IFERROR(IF(_xlfn.XLOOKUP($A85, INDIRECT("'" &amp; S$2 &amp; "'!$A:$A"), INDIRECT("'" &amp; S$2 &amp; "'!$B:$B"), "")&lt;&gt;"", "✓", "✗"), "✗")
)</f>
        <v/>
      </c>
      <c r="T85">
        <f t="array" ref="T85">IF(
    ISNUMBER(VALUE(LEFT($A85, 1))),
    "",
    IFERROR(IF(_xlfn.XLOOKUP($A85, INDIRECT("'" &amp; T$2 &amp; "'!$A:$A"), INDIRECT("'" &amp; T$2 &amp; "'!$B:$B"), "")&lt;&gt;"", "✓", "✗"), "✗")
)</f>
        <v/>
      </c>
      <c r="U85">
        <f t="array" ref="U85">IF(
    ISNUMBER(VALUE(LEFT($A85, 1))),
    "",
    IFERROR(IF(_xlfn.XLOOKUP($A85, INDIRECT("'" &amp; U$2 &amp; "'!$A:$A"), INDIRECT("'" &amp; U$2 &amp; "'!$B:$B"), "")&lt;&gt;"", "✓", "✗"), "✗")
)</f>
        <v/>
      </c>
      <c r="V85">
        <f t="array" ref="V85">IF(
    ISNUMBER(VALUE(LEFT($A85, 1))),
    "",
    IFERROR(IF(_xlfn.XLOOKUP($A85, INDIRECT("'" &amp; V$2 &amp; "'!$A:$A"), INDIRECT("'" &amp; V$2 &amp; "'!$B:$B"), "")&lt;&gt;"", "✓", "✗"), "✗")
)</f>
        <v/>
      </c>
      <c r="W85">
        <f t="array" ref="W85">IF(
    ISNUMBER(VALUE(LEFT($A85, 1))),
    "",
    IFERROR(IF(_xlfn.XLOOKUP($A85, INDIRECT("'" &amp; W$2 &amp; "'!$A:$A"), INDIRECT("'" &amp; W$2 &amp; "'!$B:$B"), "")&lt;&gt;"", "✓", "✗"), "✗")
)</f>
        <v/>
      </c>
      <c r="X85">
        <f t="array" ref="X85">IF(
    ISNUMBER(VALUE(LEFT($A85, 1))),
    "",
    IFERROR(IF(_xlfn.XLOOKUP($A85, INDIRECT("'" &amp; X$2 &amp; "'!$A:$A"), INDIRECT("'" &amp; X$2 &amp; "'!$B:$B"), "")&lt;&gt;"", "✓", "✗"), "✗")
)</f>
        <v/>
      </c>
      <c r="Y85">
        <f t="array" ref="Y85">IF(
    ISNUMBER(VALUE(LEFT($A85, 1))),
    "",
    IFERROR(IF(_xlfn.XLOOKUP($A85, INDIRECT("'" &amp; Y$2 &amp; "'!$A:$A"), INDIRECT("'" &amp; Y$2 &amp; "'!$B:$B"), "")&lt;&gt;"", "✓", "✗"), "✗")
)</f>
        <v/>
      </c>
      <c r="Z85">
        <f t="array" ref="Z85">IF(
    ISNUMBER(VALUE(LEFT($A85, 1))),
    "",
    IFERROR(IF(_xlfn.XLOOKUP($A85, INDIRECT("'" &amp; Z$2 &amp; "'!$A:$A"), INDIRECT("'" &amp; Z$2 &amp; "'!$B:$B"), "")&lt;&gt;"", "✓", "✗"), "✗")
)</f>
        <v/>
      </c>
      <c r="AA85">
        <f t="array" ref="AA85">IF(
    ISNUMBER(VALUE(LEFT($A85, 1))),
    "",
    IFERROR(IF(_xlfn.XLOOKUP($A85, INDIRECT("'" &amp; AA$2 &amp; "'!$A:$A"), INDIRECT("'" &amp; AA$2 &amp; "'!$B:$B"), "")&lt;&gt;"", "✓", "✗"), "✗")
)</f>
        <v/>
      </c>
      <c r="AB85">
        <f t="array" ref="AB85">IF(
    ISNUMBER(VALUE(LEFT($A85, 1))),
    "",
    IFERROR(IF(_xlfn.XLOOKUP($A85, INDIRECT("'" &amp; AB$2 &amp; "'!$A:$A"), INDIRECT("'" &amp; AB$2 &amp; "'!$B:$B"), "")&lt;&gt;"", "✓", "✗"), "✗")
)</f>
        <v/>
      </c>
      <c r="AC85">
        <f t="array" ref="AC85">IF(
    ISNUMBER(VALUE(LEFT($A85, 1))),
    "",
    IFERROR(IF(_xlfn.XLOOKUP($A85, INDIRECT("'" &amp; AC$2 &amp; "'!$A:$A"), INDIRECT("'" &amp; AC$2 &amp; "'!$B:$B"), "")&lt;&gt;"", "✓", "✗"), "✗")
)</f>
        <v/>
      </c>
      <c r="AD85">
        <f t="array" ref="AD85">IF(
    ISNUMBER(VALUE(LEFT($A85, 1))),
    "",
    IFERROR(IF(_xlfn.XLOOKUP($A85, INDIRECT("'" &amp; AD$2 &amp; "'!$A:$A"), INDIRECT("'" &amp; AD$2 &amp; "'!$B:$B"), "")&lt;&gt;"", "✓", "✗"), "✗")
)</f>
        <v/>
      </c>
      <c r="AE85">
        <f t="array" ref="AE85">IF(
    ISNUMBER(VALUE(LEFT($A85, 1))),
    "",
    IFERROR(IF(_xlfn.XLOOKUP($A85, INDIRECT("'" &amp; AE$2 &amp; "'!$A:$A"), INDIRECT("'" &amp; AE$2 &amp; "'!$B:$B"), "")&lt;&gt;"", "✓", "✗"), "✗")
)</f>
        <v/>
      </c>
      <c r="AF85">
        <f t="array" ref="AF85">IF(
    ISNUMBER(VALUE(LEFT($A85, 1))),
    "",
    IFERROR(IF(_xlfn.XLOOKUP($A85, INDIRECT("'" &amp; AF$2 &amp; "'!$A:$A"), INDIRECT("'" &amp; AF$2 &amp; "'!$B:$B"), "")&lt;&gt;"", "✓", "✗"), "✗")
)</f>
        <v/>
      </c>
      <c r="AG85">
        <f t="array" ref="AG85">IF(
    ISNUMBER(VALUE(LEFT($A85, 1))),
    "",
    IFERROR(IF(_xlfn.XLOOKUP($A85, INDIRECT("'" &amp; AG$2 &amp; "'!$A:$A"), INDIRECT("'" &amp; AG$2 &amp; "'!$B:$B"), "")&lt;&gt;"", "✓", "✗"), "✗")
)</f>
        <v/>
      </c>
    </row>
    <row r="86">
      <c r="A86" t="inlineStr">
        <is>
          <t>Form Submit Date</t>
        </is>
      </c>
      <c r="B86">
        <f t="array" ref="B86">IF(
    ISNUMBER(VALUE(LEFT($A86, 1))),
    "",
    IFERROR(IF(_xlfn.XLOOKUP($A86, INDIRECT("'" &amp; B$2 &amp; "'!$A:$A"), INDIRECT("'" &amp; B$2 &amp; "'!$B:$B"), "")&lt;&gt;"", "✓", "✗"), "✗")
)</f>
        <v/>
      </c>
      <c r="C86">
        <f t="array" ref="C86">IF(
    ISNUMBER(VALUE(LEFT($A86, 1))),
    "",
    IFERROR(IF(_xlfn.XLOOKUP($A86, INDIRECT("'" &amp; C$2 &amp; "'!$A:$A"), INDIRECT("'" &amp; C$2 &amp; "'!$B:$B"), "")&lt;&gt;"", "✓", "✗"), "✗")
)</f>
        <v/>
      </c>
      <c r="D86">
        <f t="array" ref="D86">IF(
    ISNUMBER(VALUE(LEFT($A86, 1))),
    "",
    IFERROR(IF(_xlfn.XLOOKUP($A86, INDIRECT("'" &amp; D$2 &amp; "'!$A:$A"), INDIRECT("'" &amp; D$2 &amp; "'!$B:$B"), "")&lt;&gt;"", "✓", "✗"), "✗")
)</f>
        <v/>
      </c>
      <c r="E86">
        <f t="array" ref="E86">IF(
    ISNUMBER(VALUE(LEFT($A86, 1))),
    "",
    IFERROR(IF(_xlfn.XLOOKUP($A86, INDIRECT("'" &amp; E$2 &amp; "'!$A:$A"), INDIRECT("'" &amp; E$2 &amp; "'!$B:$B"), "")&lt;&gt;"", "✓", "✗"), "✗")
)</f>
        <v/>
      </c>
      <c r="F86">
        <f t="array" ref="F86">IF(
    ISNUMBER(VALUE(LEFT($A86, 1))),
    "",
    IFERROR(IF(_xlfn.XLOOKUP($A86, INDIRECT("'" &amp; F$2 &amp; "'!$A:$A"), INDIRECT("'" &amp; F$2 &amp; "'!$B:$B"), "")&lt;&gt;"", "✓", "✗"), "✗")
)</f>
        <v/>
      </c>
      <c r="G86">
        <f t="array" ref="G86">IF(
    ISNUMBER(VALUE(LEFT($A86, 1))),
    "",
    IFERROR(IF(_xlfn.XLOOKUP($A86, INDIRECT("'" &amp; G$2 &amp; "'!$A:$A"), INDIRECT("'" &amp; G$2 &amp; "'!$B:$B"), "")&lt;&gt;"", "✓", "✗"), "✗")
)</f>
        <v/>
      </c>
      <c r="H86">
        <f t="array" ref="H86">IF(
    ISNUMBER(VALUE(LEFT($A86, 1))),
    "",
    IFERROR(IF(_xlfn.XLOOKUP($A86, INDIRECT("'" &amp; H$2 &amp; "'!$A:$A"), INDIRECT("'" &amp; H$2 &amp; "'!$B:$B"), "")&lt;&gt;"", "✓", "✗"), "✗")
)</f>
        <v/>
      </c>
      <c r="I86">
        <f t="array" ref="I86">IF(
    ISNUMBER(VALUE(LEFT($A86, 1))),
    "",
    IFERROR(IF(_xlfn.XLOOKUP($A86, INDIRECT("'" &amp; I$2 &amp; "'!$A:$A"), INDIRECT("'" &amp; I$2 &amp; "'!$B:$B"), "")&lt;&gt;"", "✓", "✗"), "✗")
)</f>
        <v/>
      </c>
      <c r="J86">
        <f t="array" ref="J86">IF(
    ISNUMBER(VALUE(LEFT($A86, 1))),
    "",
    IFERROR(IF(_xlfn.XLOOKUP($A86, INDIRECT("'" &amp; J$2 &amp; "'!$A:$A"), INDIRECT("'" &amp; J$2 &amp; "'!$B:$B"), "")&lt;&gt;"", "✓", "✗"), "✗")
)</f>
        <v/>
      </c>
      <c r="K86">
        <f t="array" ref="K86">IF(
    ISNUMBER(VALUE(LEFT($A86, 1))),
    "",
    IFERROR(IF(_xlfn.XLOOKUP($A86, INDIRECT("'" &amp; K$2 &amp; "'!$A:$A"), INDIRECT("'" &amp; K$2 &amp; "'!$B:$B"), "")&lt;&gt;"", "✓", "✗"), "✗")
)</f>
        <v/>
      </c>
      <c r="L86">
        <f t="array" ref="L86">IF(
    ISNUMBER(VALUE(LEFT($A86, 1))),
    "",
    IFERROR(IF(_xlfn.XLOOKUP($A86, INDIRECT("'" &amp; L$2 &amp; "'!$A:$A"), INDIRECT("'" &amp; L$2 &amp; "'!$B:$B"), "")&lt;&gt;"", "✓", "✗"), "✗")
)</f>
        <v/>
      </c>
      <c r="M86">
        <f t="array" ref="M86">IF(
    ISNUMBER(VALUE(LEFT($A86, 1))),
    "",
    IFERROR(IF(_xlfn.XLOOKUP($A86, INDIRECT("'" &amp; M$2 &amp; "'!$A:$A"), INDIRECT("'" &amp; M$2 &amp; "'!$B:$B"), "")&lt;&gt;"", "✓", "✗"), "✗")
)</f>
        <v/>
      </c>
      <c r="N86">
        <f t="array" ref="N86">IF(
    ISNUMBER(VALUE(LEFT($A86, 1))),
    "",
    IFERROR(IF(_xlfn.XLOOKUP($A86, INDIRECT("'" &amp; N$2 &amp; "'!$A:$A"), INDIRECT("'" &amp; N$2 &amp; "'!$B:$B"), "")&lt;&gt;"", "✓", "✗"), "✗")
)</f>
        <v/>
      </c>
      <c r="O86">
        <f t="array" ref="O86">IF(
    ISNUMBER(VALUE(LEFT($A86, 1))),
    "",
    IFERROR(IF(_xlfn.XLOOKUP($A86, INDIRECT("'" &amp; O$2 &amp; "'!$A:$A"), INDIRECT("'" &amp; O$2 &amp; "'!$B:$B"), "")&lt;&gt;"", "✓", "✗"), "✗")
)</f>
        <v/>
      </c>
      <c r="P86">
        <f t="array" ref="P86">IF(
    ISNUMBER(VALUE(LEFT($A86, 1))),
    "",
    IFERROR(IF(_xlfn.XLOOKUP($A86, INDIRECT("'" &amp; P$2 &amp; "'!$A:$A"), INDIRECT("'" &amp; P$2 &amp; "'!$B:$B"), "")&lt;&gt;"", "✓", "✗"), "✗")
)</f>
        <v/>
      </c>
      <c r="Q86">
        <f t="array" ref="Q86">IF(
    ISNUMBER(VALUE(LEFT($A86, 1))),
    "",
    IFERROR(IF(_xlfn.XLOOKUP($A86, INDIRECT("'" &amp; Q$2 &amp; "'!$A:$A"), INDIRECT("'" &amp; Q$2 &amp; "'!$B:$B"), "")&lt;&gt;"", "✓", "✗"), "✗")
)</f>
        <v/>
      </c>
      <c r="R86">
        <f t="array" ref="R86">IF(
    ISNUMBER(VALUE(LEFT($A86, 1))),
    "",
    IFERROR(IF(_xlfn.XLOOKUP($A86, INDIRECT("'" &amp; R$2 &amp; "'!$A:$A"), INDIRECT("'" &amp; R$2 &amp; "'!$B:$B"), "")&lt;&gt;"", "✓", "✗"), "✗")
)</f>
        <v/>
      </c>
      <c r="S86">
        <f t="array" ref="S86">IF(
    ISNUMBER(VALUE(LEFT($A86, 1))),
    "",
    IFERROR(IF(_xlfn.XLOOKUP($A86, INDIRECT("'" &amp; S$2 &amp; "'!$A:$A"), INDIRECT("'" &amp; S$2 &amp; "'!$B:$B"), "")&lt;&gt;"", "✓", "✗"), "✗")
)</f>
        <v/>
      </c>
      <c r="T86">
        <f t="array" ref="T86">IF(
    ISNUMBER(VALUE(LEFT($A86, 1))),
    "",
    IFERROR(IF(_xlfn.XLOOKUP($A86, INDIRECT("'" &amp; T$2 &amp; "'!$A:$A"), INDIRECT("'" &amp; T$2 &amp; "'!$B:$B"), "")&lt;&gt;"", "✓", "✗"), "✗")
)</f>
        <v/>
      </c>
      <c r="U86">
        <f t="array" ref="U86">IF(
    ISNUMBER(VALUE(LEFT($A86, 1))),
    "",
    IFERROR(IF(_xlfn.XLOOKUP($A86, INDIRECT("'" &amp; U$2 &amp; "'!$A:$A"), INDIRECT("'" &amp; U$2 &amp; "'!$B:$B"), "")&lt;&gt;"", "✓", "✗"), "✗")
)</f>
        <v/>
      </c>
      <c r="V86">
        <f t="array" ref="V86">IF(
    ISNUMBER(VALUE(LEFT($A86, 1))),
    "",
    IFERROR(IF(_xlfn.XLOOKUP($A86, INDIRECT("'" &amp; V$2 &amp; "'!$A:$A"), INDIRECT("'" &amp; V$2 &amp; "'!$B:$B"), "")&lt;&gt;"", "✓", "✗"), "✗")
)</f>
        <v/>
      </c>
      <c r="W86">
        <f t="array" ref="W86">IF(
    ISNUMBER(VALUE(LEFT($A86, 1))),
    "",
    IFERROR(IF(_xlfn.XLOOKUP($A86, INDIRECT("'" &amp; W$2 &amp; "'!$A:$A"), INDIRECT("'" &amp; W$2 &amp; "'!$B:$B"), "")&lt;&gt;"", "✓", "✗"), "✗")
)</f>
        <v/>
      </c>
      <c r="X86">
        <f t="array" ref="X86">IF(
    ISNUMBER(VALUE(LEFT($A86, 1))),
    "",
    IFERROR(IF(_xlfn.XLOOKUP($A86, INDIRECT("'" &amp; X$2 &amp; "'!$A:$A"), INDIRECT("'" &amp; X$2 &amp; "'!$B:$B"), "")&lt;&gt;"", "✓", "✗"), "✗")
)</f>
        <v/>
      </c>
      <c r="Y86">
        <f t="array" ref="Y86">IF(
    ISNUMBER(VALUE(LEFT($A86, 1))),
    "",
    IFERROR(IF(_xlfn.XLOOKUP($A86, INDIRECT("'" &amp; Y$2 &amp; "'!$A:$A"), INDIRECT("'" &amp; Y$2 &amp; "'!$B:$B"), "")&lt;&gt;"", "✓", "✗"), "✗")
)</f>
        <v/>
      </c>
      <c r="Z86">
        <f t="array" ref="Z86">IF(
    ISNUMBER(VALUE(LEFT($A86, 1))),
    "",
    IFERROR(IF(_xlfn.XLOOKUP($A86, INDIRECT("'" &amp; Z$2 &amp; "'!$A:$A"), INDIRECT("'" &amp; Z$2 &amp; "'!$B:$B"), "")&lt;&gt;"", "✓", "✗"), "✗")
)</f>
        <v/>
      </c>
      <c r="AA86">
        <f t="array" ref="AA86">IF(
    ISNUMBER(VALUE(LEFT($A86, 1))),
    "",
    IFERROR(IF(_xlfn.XLOOKUP($A86, INDIRECT("'" &amp; AA$2 &amp; "'!$A:$A"), INDIRECT("'" &amp; AA$2 &amp; "'!$B:$B"), "")&lt;&gt;"", "✓", "✗"), "✗")
)</f>
        <v/>
      </c>
      <c r="AB86">
        <f t="array" ref="AB86">IF(
    ISNUMBER(VALUE(LEFT($A86, 1))),
    "",
    IFERROR(IF(_xlfn.XLOOKUP($A86, INDIRECT("'" &amp; AB$2 &amp; "'!$A:$A"), INDIRECT("'" &amp; AB$2 &amp; "'!$B:$B"), "")&lt;&gt;"", "✓", "✗"), "✗")
)</f>
        <v/>
      </c>
      <c r="AC86">
        <f t="array" ref="AC86">IF(
    ISNUMBER(VALUE(LEFT($A86, 1))),
    "",
    IFERROR(IF(_xlfn.XLOOKUP($A86, INDIRECT("'" &amp; AC$2 &amp; "'!$A:$A"), INDIRECT("'" &amp; AC$2 &amp; "'!$B:$B"), "")&lt;&gt;"", "✓", "✗"), "✗")
)</f>
        <v/>
      </c>
      <c r="AD86">
        <f t="array" ref="AD86">IF(
    ISNUMBER(VALUE(LEFT($A86, 1))),
    "",
    IFERROR(IF(_xlfn.XLOOKUP($A86, INDIRECT("'" &amp; AD$2 &amp; "'!$A:$A"), INDIRECT("'" &amp; AD$2 &amp; "'!$B:$B"), "")&lt;&gt;"", "✓", "✗"), "✗")
)</f>
        <v/>
      </c>
      <c r="AE86">
        <f t="array" ref="AE86">IF(
    ISNUMBER(VALUE(LEFT($A86, 1))),
    "",
    IFERROR(IF(_xlfn.XLOOKUP($A86, INDIRECT("'" &amp; AE$2 &amp; "'!$A:$A"), INDIRECT("'" &amp; AE$2 &amp; "'!$B:$B"), "")&lt;&gt;"", "✓", "✗"), "✗")
)</f>
        <v/>
      </c>
      <c r="AF86">
        <f t="array" ref="AF86">IF(
    ISNUMBER(VALUE(LEFT($A86, 1))),
    "",
    IFERROR(IF(_xlfn.XLOOKUP($A86, INDIRECT("'" &amp; AF$2 &amp; "'!$A:$A"), INDIRECT("'" &amp; AF$2 &amp; "'!$B:$B"), "")&lt;&gt;"", "✓", "✗"), "✗")
)</f>
        <v/>
      </c>
      <c r="AG86">
        <f t="array" ref="AG86">IF(
    ISNUMBER(VALUE(LEFT($A86, 1))),
    "",
    IFERROR(IF(_xlfn.XLOOKUP($A86, INDIRECT("'" &amp; AG$2 &amp; "'!$A:$A"), INDIRECT("'" &amp; AG$2 &amp; "'!$B:$B"), "")&lt;&gt;"", "✓", "✗"), "✗")
)</f>
        <v/>
      </c>
    </row>
    <row r="87">
      <c r="A87" t="inlineStr">
        <is>
          <t>Integrate Source ID</t>
        </is>
      </c>
      <c r="B87">
        <f t="array" ref="B87">IF(
    ISNUMBER(VALUE(LEFT($A87, 1))),
    "",
    IFERROR(IF(_xlfn.XLOOKUP($A87, INDIRECT("'" &amp; B$2 &amp; "'!$A:$A"), INDIRECT("'" &amp; B$2 &amp; "'!$B:$B"), "")&lt;&gt;"", "✓", "✗"), "✗")
)</f>
        <v/>
      </c>
      <c r="C87">
        <f t="array" ref="C87">IF(
    ISNUMBER(VALUE(LEFT($A87, 1))),
    "",
    IFERROR(IF(_xlfn.XLOOKUP($A87, INDIRECT("'" &amp; C$2 &amp; "'!$A:$A"), INDIRECT("'" &amp; C$2 &amp; "'!$B:$B"), "")&lt;&gt;"", "✓", "✗"), "✗")
)</f>
        <v/>
      </c>
      <c r="D87">
        <f t="array" ref="D87">IF(
    ISNUMBER(VALUE(LEFT($A87, 1))),
    "",
    IFERROR(IF(_xlfn.XLOOKUP($A87, INDIRECT("'" &amp; D$2 &amp; "'!$A:$A"), INDIRECT("'" &amp; D$2 &amp; "'!$B:$B"), "")&lt;&gt;"", "✓", "✗"), "✗")
)</f>
        <v/>
      </c>
      <c r="E87">
        <f t="array" ref="E87">IF(
    ISNUMBER(VALUE(LEFT($A87, 1))),
    "",
    IFERROR(IF(_xlfn.XLOOKUP($A87, INDIRECT("'" &amp; E$2 &amp; "'!$A:$A"), INDIRECT("'" &amp; E$2 &amp; "'!$B:$B"), "")&lt;&gt;"", "✓", "✗"), "✗")
)</f>
        <v/>
      </c>
      <c r="F87">
        <f t="array" ref="F87">IF(
    ISNUMBER(VALUE(LEFT($A87, 1))),
    "",
    IFERROR(IF(_xlfn.XLOOKUP($A87, INDIRECT("'" &amp; F$2 &amp; "'!$A:$A"), INDIRECT("'" &amp; F$2 &amp; "'!$B:$B"), "")&lt;&gt;"", "✓", "✗"), "✗")
)</f>
        <v/>
      </c>
      <c r="G87">
        <f t="array" ref="G87">IF(
    ISNUMBER(VALUE(LEFT($A87, 1))),
    "",
    IFERROR(IF(_xlfn.XLOOKUP($A87, INDIRECT("'" &amp; G$2 &amp; "'!$A:$A"), INDIRECT("'" &amp; G$2 &amp; "'!$B:$B"), "")&lt;&gt;"", "✓", "✗"), "✗")
)</f>
        <v/>
      </c>
      <c r="H87">
        <f t="array" ref="H87">IF(
    ISNUMBER(VALUE(LEFT($A87, 1))),
    "",
    IFERROR(IF(_xlfn.XLOOKUP($A87, INDIRECT("'" &amp; H$2 &amp; "'!$A:$A"), INDIRECT("'" &amp; H$2 &amp; "'!$B:$B"), "")&lt;&gt;"", "✓", "✗"), "✗")
)</f>
        <v/>
      </c>
      <c r="I87">
        <f t="array" ref="I87">IF(
    ISNUMBER(VALUE(LEFT($A87, 1))),
    "",
    IFERROR(IF(_xlfn.XLOOKUP($A87, INDIRECT("'" &amp; I$2 &amp; "'!$A:$A"), INDIRECT("'" &amp; I$2 &amp; "'!$B:$B"), "")&lt;&gt;"", "✓", "✗"), "✗")
)</f>
        <v/>
      </c>
      <c r="J87">
        <f t="array" ref="J87">IF(
    ISNUMBER(VALUE(LEFT($A87, 1))),
    "",
    IFERROR(IF(_xlfn.XLOOKUP($A87, INDIRECT("'" &amp; J$2 &amp; "'!$A:$A"), INDIRECT("'" &amp; J$2 &amp; "'!$B:$B"), "")&lt;&gt;"", "✓", "✗"), "✗")
)</f>
        <v/>
      </c>
      <c r="K87">
        <f t="array" ref="K87">IF(
    ISNUMBER(VALUE(LEFT($A87, 1))),
    "",
    IFERROR(IF(_xlfn.XLOOKUP($A87, INDIRECT("'" &amp; K$2 &amp; "'!$A:$A"), INDIRECT("'" &amp; K$2 &amp; "'!$B:$B"), "")&lt;&gt;"", "✓", "✗"), "✗")
)</f>
        <v/>
      </c>
      <c r="L87">
        <f t="array" ref="L87">IF(
    ISNUMBER(VALUE(LEFT($A87, 1))),
    "",
    IFERROR(IF(_xlfn.XLOOKUP($A87, INDIRECT("'" &amp; L$2 &amp; "'!$A:$A"), INDIRECT("'" &amp; L$2 &amp; "'!$B:$B"), "")&lt;&gt;"", "✓", "✗"), "✗")
)</f>
        <v/>
      </c>
      <c r="M87">
        <f t="array" ref="M87">IF(
    ISNUMBER(VALUE(LEFT($A87, 1))),
    "",
    IFERROR(IF(_xlfn.XLOOKUP($A87, INDIRECT("'" &amp; M$2 &amp; "'!$A:$A"), INDIRECT("'" &amp; M$2 &amp; "'!$B:$B"), "")&lt;&gt;"", "✓", "✗"), "✗")
)</f>
        <v/>
      </c>
      <c r="N87">
        <f t="array" ref="N87">IF(
    ISNUMBER(VALUE(LEFT($A87, 1))),
    "",
    IFERROR(IF(_xlfn.XLOOKUP($A87, INDIRECT("'" &amp; N$2 &amp; "'!$A:$A"), INDIRECT("'" &amp; N$2 &amp; "'!$B:$B"), "")&lt;&gt;"", "✓", "✗"), "✗")
)</f>
        <v/>
      </c>
      <c r="O87">
        <f t="array" ref="O87">IF(
    ISNUMBER(VALUE(LEFT($A87, 1))),
    "",
    IFERROR(IF(_xlfn.XLOOKUP($A87, INDIRECT("'" &amp; O$2 &amp; "'!$A:$A"), INDIRECT("'" &amp; O$2 &amp; "'!$B:$B"), "")&lt;&gt;"", "✓", "✗"), "✗")
)</f>
        <v/>
      </c>
      <c r="P87">
        <f t="array" ref="P87">IF(
    ISNUMBER(VALUE(LEFT($A87, 1))),
    "",
    IFERROR(IF(_xlfn.XLOOKUP($A87, INDIRECT("'" &amp; P$2 &amp; "'!$A:$A"), INDIRECT("'" &amp; P$2 &amp; "'!$B:$B"), "")&lt;&gt;"", "✓", "✗"), "✗")
)</f>
        <v/>
      </c>
      <c r="Q87">
        <f t="array" ref="Q87">IF(
    ISNUMBER(VALUE(LEFT($A87, 1))),
    "",
    IFERROR(IF(_xlfn.XLOOKUP($A87, INDIRECT("'" &amp; Q$2 &amp; "'!$A:$A"), INDIRECT("'" &amp; Q$2 &amp; "'!$B:$B"), "")&lt;&gt;"", "✓", "✗"), "✗")
)</f>
        <v/>
      </c>
      <c r="R87">
        <f t="array" ref="R87">IF(
    ISNUMBER(VALUE(LEFT($A87, 1))),
    "",
    IFERROR(IF(_xlfn.XLOOKUP($A87, INDIRECT("'" &amp; R$2 &amp; "'!$A:$A"), INDIRECT("'" &amp; R$2 &amp; "'!$B:$B"), "")&lt;&gt;"", "✓", "✗"), "✗")
)</f>
        <v/>
      </c>
      <c r="S87">
        <f t="array" ref="S87">IF(
    ISNUMBER(VALUE(LEFT($A87, 1))),
    "",
    IFERROR(IF(_xlfn.XLOOKUP($A87, INDIRECT("'" &amp; S$2 &amp; "'!$A:$A"), INDIRECT("'" &amp; S$2 &amp; "'!$B:$B"), "")&lt;&gt;"", "✓", "✗"), "✗")
)</f>
        <v/>
      </c>
      <c r="T87">
        <f t="array" ref="T87">IF(
    ISNUMBER(VALUE(LEFT($A87, 1))),
    "",
    IFERROR(IF(_xlfn.XLOOKUP($A87, INDIRECT("'" &amp; T$2 &amp; "'!$A:$A"), INDIRECT("'" &amp; T$2 &amp; "'!$B:$B"), "")&lt;&gt;"", "✓", "✗"), "✗")
)</f>
        <v/>
      </c>
      <c r="U87">
        <f t="array" ref="U87">IF(
    ISNUMBER(VALUE(LEFT($A87, 1))),
    "",
    IFERROR(IF(_xlfn.XLOOKUP($A87, INDIRECT("'" &amp; U$2 &amp; "'!$A:$A"), INDIRECT("'" &amp; U$2 &amp; "'!$B:$B"), "")&lt;&gt;"", "✓", "✗"), "✗")
)</f>
        <v/>
      </c>
      <c r="V87">
        <f t="array" ref="V87">IF(
    ISNUMBER(VALUE(LEFT($A87, 1))),
    "",
    IFERROR(IF(_xlfn.XLOOKUP($A87, INDIRECT("'" &amp; V$2 &amp; "'!$A:$A"), INDIRECT("'" &amp; V$2 &amp; "'!$B:$B"), "")&lt;&gt;"", "✓", "✗"), "✗")
)</f>
        <v/>
      </c>
      <c r="W87">
        <f t="array" ref="W87">IF(
    ISNUMBER(VALUE(LEFT($A87, 1))),
    "",
    IFERROR(IF(_xlfn.XLOOKUP($A87, INDIRECT("'" &amp; W$2 &amp; "'!$A:$A"), INDIRECT("'" &amp; W$2 &amp; "'!$B:$B"), "")&lt;&gt;"", "✓", "✗"), "✗")
)</f>
        <v/>
      </c>
      <c r="X87">
        <f t="array" ref="X87">IF(
    ISNUMBER(VALUE(LEFT($A87, 1))),
    "",
    IFERROR(IF(_xlfn.XLOOKUP($A87, INDIRECT("'" &amp; X$2 &amp; "'!$A:$A"), INDIRECT("'" &amp; X$2 &amp; "'!$B:$B"), "")&lt;&gt;"", "✓", "✗"), "✗")
)</f>
        <v/>
      </c>
      <c r="Y87">
        <f t="array" ref="Y87">IF(
    ISNUMBER(VALUE(LEFT($A87, 1))),
    "",
    IFERROR(IF(_xlfn.XLOOKUP($A87, INDIRECT("'" &amp; Y$2 &amp; "'!$A:$A"), INDIRECT("'" &amp; Y$2 &amp; "'!$B:$B"), "")&lt;&gt;"", "✓", "✗"), "✗")
)</f>
        <v/>
      </c>
      <c r="Z87">
        <f t="array" ref="Z87">IF(
    ISNUMBER(VALUE(LEFT($A87, 1))),
    "",
    IFERROR(IF(_xlfn.XLOOKUP($A87, INDIRECT("'" &amp; Z$2 &amp; "'!$A:$A"), INDIRECT("'" &amp; Z$2 &amp; "'!$B:$B"), "")&lt;&gt;"", "✓", "✗"), "✗")
)</f>
        <v/>
      </c>
      <c r="AA87">
        <f t="array" ref="AA87">IF(
    ISNUMBER(VALUE(LEFT($A87, 1))),
    "",
    IFERROR(IF(_xlfn.XLOOKUP($A87, INDIRECT("'" &amp; AA$2 &amp; "'!$A:$A"), INDIRECT("'" &amp; AA$2 &amp; "'!$B:$B"), "")&lt;&gt;"", "✓", "✗"), "✗")
)</f>
        <v/>
      </c>
      <c r="AB87">
        <f t="array" ref="AB87">IF(
    ISNUMBER(VALUE(LEFT($A87, 1))),
    "",
    IFERROR(IF(_xlfn.XLOOKUP($A87, INDIRECT("'" &amp; AB$2 &amp; "'!$A:$A"), INDIRECT("'" &amp; AB$2 &amp; "'!$B:$B"), "")&lt;&gt;"", "✓", "✗"), "✗")
)</f>
        <v/>
      </c>
      <c r="AC87">
        <f t="array" ref="AC87">IF(
    ISNUMBER(VALUE(LEFT($A87, 1))),
    "",
    IFERROR(IF(_xlfn.XLOOKUP($A87, INDIRECT("'" &amp; AC$2 &amp; "'!$A:$A"), INDIRECT("'" &amp; AC$2 &amp; "'!$B:$B"), "")&lt;&gt;"", "✓", "✗"), "✗")
)</f>
        <v/>
      </c>
      <c r="AD87">
        <f t="array" ref="AD87">IF(
    ISNUMBER(VALUE(LEFT($A87, 1))),
    "",
    IFERROR(IF(_xlfn.XLOOKUP($A87, INDIRECT("'" &amp; AD$2 &amp; "'!$A:$A"), INDIRECT("'" &amp; AD$2 &amp; "'!$B:$B"), "")&lt;&gt;"", "✓", "✗"), "✗")
)</f>
        <v/>
      </c>
      <c r="AE87">
        <f t="array" ref="AE87">IF(
    ISNUMBER(VALUE(LEFT($A87, 1))),
    "",
    IFERROR(IF(_xlfn.XLOOKUP($A87, INDIRECT("'" &amp; AE$2 &amp; "'!$A:$A"), INDIRECT("'" &amp; AE$2 &amp; "'!$B:$B"), "")&lt;&gt;"", "✓", "✗"), "✗")
)</f>
        <v/>
      </c>
      <c r="AF87">
        <f t="array" ref="AF87">IF(
    ISNUMBER(VALUE(LEFT($A87, 1))),
    "",
    IFERROR(IF(_xlfn.XLOOKUP($A87, INDIRECT("'" &amp; AF$2 &amp; "'!$A:$A"), INDIRECT("'" &amp; AF$2 &amp; "'!$B:$B"), "")&lt;&gt;"", "✓", "✗"), "✗")
)</f>
        <v/>
      </c>
      <c r="AG87">
        <f t="array" ref="AG87">IF(
    ISNUMBER(VALUE(LEFT($A87, 1))),
    "",
    IFERROR(IF(_xlfn.XLOOKUP($A87, INDIRECT("'" &amp; AG$2 &amp; "'!$A:$A"), INDIRECT("'" &amp; AG$2 &amp; "'!$B:$B"), "")&lt;&gt;"", "✓", "✗"), "✗")
)</f>
        <v/>
      </c>
    </row>
    <row r="88">
      <c r="A88" t="inlineStr">
        <is>
          <t>Contact Source Original</t>
        </is>
      </c>
      <c r="B88">
        <f t="array" ref="B88">IF(
    ISNUMBER(VALUE(LEFT($A88, 1))),
    "",
    IFERROR(IF(_xlfn.XLOOKUP($A88, INDIRECT("'" &amp; B$2 &amp; "'!$A:$A"), INDIRECT("'" &amp; B$2 &amp; "'!$B:$B"), "")&lt;&gt;"", "✓", "✗"), "✗")
)</f>
        <v/>
      </c>
      <c r="C88">
        <f t="array" ref="C88">IF(
    ISNUMBER(VALUE(LEFT($A88, 1))),
    "",
    IFERROR(IF(_xlfn.XLOOKUP($A88, INDIRECT("'" &amp; C$2 &amp; "'!$A:$A"), INDIRECT("'" &amp; C$2 &amp; "'!$B:$B"), "")&lt;&gt;"", "✓", "✗"), "✗")
)</f>
        <v/>
      </c>
      <c r="D88">
        <f t="array" ref="D88">IF(
    ISNUMBER(VALUE(LEFT($A88, 1))),
    "",
    IFERROR(IF(_xlfn.XLOOKUP($A88, INDIRECT("'" &amp; D$2 &amp; "'!$A:$A"), INDIRECT("'" &amp; D$2 &amp; "'!$B:$B"), "")&lt;&gt;"", "✓", "✗"), "✗")
)</f>
        <v/>
      </c>
      <c r="E88">
        <f t="array" ref="E88">IF(
    ISNUMBER(VALUE(LEFT($A88, 1))),
    "",
    IFERROR(IF(_xlfn.XLOOKUP($A88, INDIRECT("'" &amp; E$2 &amp; "'!$A:$A"), INDIRECT("'" &amp; E$2 &amp; "'!$B:$B"), "")&lt;&gt;"", "✓", "✗"), "✗")
)</f>
        <v/>
      </c>
      <c r="F88">
        <f t="array" ref="F88">IF(
    ISNUMBER(VALUE(LEFT($A88, 1))),
    "",
    IFERROR(IF(_xlfn.XLOOKUP($A88, INDIRECT("'" &amp; F$2 &amp; "'!$A:$A"), INDIRECT("'" &amp; F$2 &amp; "'!$B:$B"), "")&lt;&gt;"", "✓", "✗"), "✗")
)</f>
        <v/>
      </c>
      <c r="G88">
        <f t="array" ref="G88">IF(
    ISNUMBER(VALUE(LEFT($A88, 1))),
    "",
    IFERROR(IF(_xlfn.XLOOKUP($A88, INDIRECT("'" &amp; G$2 &amp; "'!$A:$A"), INDIRECT("'" &amp; G$2 &amp; "'!$B:$B"), "")&lt;&gt;"", "✓", "✗"), "✗")
)</f>
        <v/>
      </c>
      <c r="H88">
        <f t="array" ref="H88">IF(
    ISNUMBER(VALUE(LEFT($A88, 1))),
    "",
    IFERROR(IF(_xlfn.XLOOKUP($A88, INDIRECT("'" &amp; H$2 &amp; "'!$A:$A"), INDIRECT("'" &amp; H$2 &amp; "'!$B:$B"), "")&lt;&gt;"", "✓", "✗"), "✗")
)</f>
        <v/>
      </c>
      <c r="I88">
        <f t="array" ref="I88">IF(
    ISNUMBER(VALUE(LEFT($A88, 1))),
    "",
    IFERROR(IF(_xlfn.XLOOKUP($A88, INDIRECT("'" &amp; I$2 &amp; "'!$A:$A"), INDIRECT("'" &amp; I$2 &amp; "'!$B:$B"), "")&lt;&gt;"", "✓", "✗"), "✗")
)</f>
        <v/>
      </c>
      <c r="J88">
        <f t="array" ref="J88">IF(
    ISNUMBER(VALUE(LEFT($A88, 1))),
    "",
    IFERROR(IF(_xlfn.XLOOKUP($A88, INDIRECT("'" &amp; J$2 &amp; "'!$A:$A"), INDIRECT("'" &amp; J$2 &amp; "'!$B:$B"), "")&lt;&gt;"", "✓", "✗"), "✗")
)</f>
        <v/>
      </c>
      <c r="K88">
        <f t="array" ref="K88">IF(
    ISNUMBER(VALUE(LEFT($A88, 1))),
    "",
    IFERROR(IF(_xlfn.XLOOKUP($A88, INDIRECT("'" &amp; K$2 &amp; "'!$A:$A"), INDIRECT("'" &amp; K$2 &amp; "'!$B:$B"), "")&lt;&gt;"", "✓", "✗"), "✗")
)</f>
        <v/>
      </c>
      <c r="L88">
        <f t="array" ref="L88">IF(
    ISNUMBER(VALUE(LEFT($A88, 1))),
    "",
    IFERROR(IF(_xlfn.XLOOKUP($A88, INDIRECT("'" &amp; L$2 &amp; "'!$A:$A"), INDIRECT("'" &amp; L$2 &amp; "'!$B:$B"), "")&lt;&gt;"", "✓", "✗"), "✗")
)</f>
        <v/>
      </c>
      <c r="M88">
        <f t="array" ref="M88">IF(
    ISNUMBER(VALUE(LEFT($A88, 1))),
    "",
    IFERROR(IF(_xlfn.XLOOKUP($A88, INDIRECT("'" &amp; M$2 &amp; "'!$A:$A"), INDIRECT("'" &amp; M$2 &amp; "'!$B:$B"), "")&lt;&gt;"", "✓", "✗"), "✗")
)</f>
        <v/>
      </c>
      <c r="N88">
        <f t="array" ref="N88">IF(
    ISNUMBER(VALUE(LEFT($A88, 1))),
    "",
    IFERROR(IF(_xlfn.XLOOKUP($A88, INDIRECT("'" &amp; N$2 &amp; "'!$A:$A"), INDIRECT("'" &amp; N$2 &amp; "'!$B:$B"), "")&lt;&gt;"", "✓", "✗"), "✗")
)</f>
        <v/>
      </c>
      <c r="O88">
        <f t="array" ref="O88">IF(
    ISNUMBER(VALUE(LEFT($A88, 1))),
    "",
    IFERROR(IF(_xlfn.XLOOKUP($A88, INDIRECT("'" &amp; O$2 &amp; "'!$A:$A"), INDIRECT("'" &amp; O$2 &amp; "'!$B:$B"), "")&lt;&gt;"", "✓", "✗"), "✗")
)</f>
        <v/>
      </c>
      <c r="P88">
        <f t="array" ref="P88">IF(
    ISNUMBER(VALUE(LEFT($A88, 1))),
    "",
    IFERROR(IF(_xlfn.XLOOKUP($A88, INDIRECT("'" &amp; P$2 &amp; "'!$A:$A"), INDIRECT("'" &amp; P$2 &amp; "'!$B:$B"), "")&lt;&gt;"", "✓", "✗"), "✗")
)</f>
        <v/>
      </c>
      <c r="Q88">
        <f t="array" ref="Q88">IF(
    ISNUMBER(VALUE(LEFT($A88, 1))),
    "",
    IFERROR(IF(_xlfn.XLOOKUP($A88, INDIRECT("'" &amp; Q$2 &amp; "'!$A:$A"), INDIRECT("'" &amp; Q$2 &amp; "'!$B:$B"), "")&lt;&gt;"", "✓", "✗"), "✗")
)</f>
        <v/>
      </c>
      <c r="R88">
        <f t="array" ref="R88">IF(
    ISNUMBER(VALUE(LEFT($A88, 1))),
    "",
    IFERROR(IF(_xlfn.XLOOKUP($A88, INDIRECT("'" &amp; R$2 &amp; "'!$A:$A"), INDIRECT("'" &amp; R$2 &amp; "'!$B:$B"), "")&lt;&gt;"", "✓", "✗"), "✗")
)</f>
        <v/>
      </c>
      <c r="S88">
        <f t="array" ref="S88">IF(
    ISNUMBER(VALUE(LEFT($A88, 1))),
    "",
    IFERROR(IF(_xlfn.XLOOKUP($A88, INDIRECT("'" &amp; S$2 &amp; "'!$A:$A"), INDIRECT("'" &amp; S$2 &amp; "'!$B:$B"), "")&lt;&gt;"", "✓", "✗"), "✗")
)</f>
        <v/>
      </c>
      <c r="T88">
        <f t="array" ref="T88">IF(
    ISNUMBER(VALUE(LEFT($A88, 1))),
    "",
    IFERROR(IF(_xlfn.XLOOKUP($A88, INDIRECT("'" &amp; T$2 &amp; "'!$A:$A"), INDIRECT("'" &amp; T$2 &amp; "'!$B:$B"), "")&lt;&gt;"", "✓", "✗"), "✗")
)</f>
        <v/>
      </c>
      <c r="U88">
        <f t="array" ref="U88">IF(
    ISNUMBER(VALUE(LEFT($A88, 1))),
    "",
    IFERROR(IF(_xlfn.XLOOKUP($A88, INDIRECT("'" &amp; U$2 &amp; "'!$A:$A"), INDIRECT("'" &amp; U$2 &amp; "'!$B:$B"), "")&lt;&gt;"", "✓", "✗"), "✗")
)</f>
        <v/>
      </c>
      <c r="V88">
        <f t="array" ref="V88">IF(
    ISNUMBER(VALUE(LEFT($A88, 1))),
    "",
    IFERROR(IF(_xlfn.XLOOKUP($A88, INDIRECT("'" &amp; V$2 &amp; "'!$A:$A"), INDIRECT("'" &amp; V$2 &amp; "'!$B:$B"), "")&lt;&gt;"", "✓", "✗"), "✗")
)</f>
        <v/>
      </c>
      <c r="W88">
        <f t="array" ref="W88">IF(
    ISNUMBER(VALUE(LEFT($A88, 1))),
    "",
    IFERROR(IF(_xlfn.XLOOKUP($A88, INDIRECT("'" &amp; W$2 &amp; "'!$A:$A"), INDIRECT("'" &amp; W$2 &amp; "'!$B:$B"), "")&lt;&gt;"", "✓", "✗"), "✗")
)</f>
        <v/>
      </c>
      <c r="X88">
        <f t="array" ref="X88">IF(
    ISNUMBER(VALUE(LEFT($A88, 1))),
    "",
    IFERROR(IF(_xlfn.XLOOKUP($A88, INDIRECT("'" &amp; X$2 &amp; "'!$A:$A"), INDIRECT("'" &amp; X$2 &amp; "'!$B:$B"), "")&lt;&gt;"", "✓", "✗"), "✗")
)</f>
        <v/>
      </c>
      <c r="Y88">
        <f t="array" ref="Y88">IF(
    ISNUMBER(VALUE(LEFT($A88, 1))),
    "",
    IFERROR(IF(_xlfn.XLOOKUP($A88, INDIRECT("'" &amp; Y$2 &amp; "'!$A:$A"), INDIRECT("'" &amp; Y$2 &amp; "'!$B:$B"), "")&lt;&gt;"", "✓", "✗"), "✗")
)</f>
        <v/>
      </c>
      <c r="Z88">
        <f t="array" ref="Z88">IF(
    ISNUMBER(VALUE(LEFT($A88, 1))),
    "",
    IFERROR(IF(_xlfn.XLOOKUP($A88, INDIRECT("'" &amp; Z$2 &amp; "'!$A:$A"), INDIRECT("'" &amp; Z$2 &amp; "'!$B:$B"), "")&lt;&gt;"", "✓", "✗"), "✗")
)</f>
        <v/>
      </c>
      <c r="AA88">
        <f t="array" ref="AA88">IF(
    ISNUMBER(VALUE(LEFT($A88, 1))),
    "",
    IFERROR(IF(_xlfn.XLOOKUP($A88, INDIRECT("'" &amp; AA$2 &amp; "'!$A:$A"), INDIRECT("'" &amp; AA$2 &amp; "'!$B:$B"), "")&lt;&gt;"", "✓", "✗"), "✗")
)</f>
        <v/>
      </c>
      <c r="AB88">
        <f t="array" ref="AB88">IF(
    ISNUMBER(VALUE(LEFT($A88, 1))),
    "",
    IFERROR(IF(_xlfn.XLOOKUP($A88, INDIRECT("'" &amp; AB$2 &amp; "'!$A:$A"), INDIRECT("'" &amp; AB$2 &amp; "'!$B:$B"), "")&lt;&gt;"", "✓", "✗"), "✗")
)</f>
        <v/>
      </c>
      <c r="AC88">
        <f t="array" ref="AC88">IF(
    ISNUMBER(VALUE(LEFT($A88, 1))),
    "",
    IFERROR(IF(_xlfn.XLOOKUP($A88, INDIRECT("'" &amp; AC$2 &amp; "'!$A:$A"), INDIRECT("'" &amp; AC$2 &amp; "'!$B:$B"), "")&lt;&gt;"", "✓", "✗"), "✗")
)</f>
        <v/>
      </c>
      <c r="AD88">
        <f t="array" ref="AD88">IF(
    ISNUMBER(VALUE(LEFT($A88, 1))),
    "",
    IFERROR(IF(_xlfn.XLOOKUP($A88, INDIRECT("'" &amp; AD$2 &amp; "'!$A:$A"), INDIRECT("'" &amp; AD$2 &amp; "'!$B:$B"), "")&lt;&gt;"", "✓", "✗"), "✗")
)</f>
        <v/>
      </c>
      <c r="AE88">
        <f t="array" ref="AE88">IF(
    ISNUMBER(VALUE(LEFT($A88, 1))),
    "",
    IFERROR(IF(_xlfn.XLOOKUP($A88, INDIRECT("'" &amp; AE$2 &amp; "'!$A:$A"), INDIRECT("'" &amp; AE$2 &amp; "'!$B:$B"), "")&lt;&gt;"", "✓", "✗"), "✗")
)</f>
        <v/>
      </c>
      <c r="AF88">
        <f t="array" ref="AF88">IF(
    ISNUMBER(VALUE(LEFT($A88, 1))),
    "",
    IFERROR(IF(_xlfn.XLOOKUP($A88, INDIRECT("'" &amp; AF$2 &amp; "'!$A:$A"), INDIRECT("'" &amp; AF$2 &amp; "'!$B:$B"), "")&lt;&gt;"", "✓", "✗"), "✗")
)</f>
        <v/>
      </c>
      <c r="AG88">
        <f t="array" ref="AG88">IF(
    ISNUMBER(VALUE(LEFT($A88, 1))),
    "",
    IFERROR(IF(_xlfn.XLOOKUP($A88, INDIRECT("'" &amp; AG$2 &amp; "'!$A:$A"), INDIRECT("'" &amp; AG$2 &amp; "'!$B:$B"), "")&lt;&gt;"", "✓", "✗"), "✗")
)</f>
        <v/>
      </c>
    </row>
    <row r="89">
      <c r="A89" t="inlineStr">
        <is>
          <t>Additional Enquiry Details</t>
        </is>
      </c>
      <c r="B89">
        <f t="array" ref="B89">IF(
    ISNUMBER(VALUE(LEFT($A89, 1))),
    "",
    IFERROR(IF(_xlfn.XLOOKUP($A89, INDIRECT("'" &amp; B$2 &amp; "'!$A:$A"), INDIRECT("'" &amp; B$2 &amp; "'!$B:$B"), "")&lt;&gt;"", "✓", "✗"), "✗")
)</f>
        <v/>
      </c>
      <c r="C89">
        <f t="array" ref="C89">IF(
    ISNUMBER(VALUE(LEFT($A89, 1))),
    "",
    IFERROR(IF(_xlfn.XLOOKUP($A89, INDIRECT("'" &amp; C$2 &amp; "'!$A:$A"), INDIRECT("'" &amp; C$2 &amp; "'!$B:$B"), "")&lt;&gt;"", "✓", "✗"), "✗")
)</f>
        <v/>
      </c>
      <c r="D89">
        <f t="array" ref="D89">IF(
    ISNUMBER(VALUE(LEFT($A89, 1))),
    "",
    IFERROR(IF(_xlfn.XLOOKUP($A89, INDIRECT("'" &amp; D$2 &amp; "'!$A:$A"), INDIRECT("'" &amp; D$2 &amp; "'!$B:$B"), "")&lt;&gt;"", "✓", "✗"), "✗")
)</f>
        <v/>
      </c>
      <c r="E89">
        <f t="array" ref="E89">IF(
    ISNUMBER(VALUE(LEFT($A89, 1))),
    "",
    IFERROR(IF(_xlfn.XLOOKUP($A89, INDIRECT("'" &amp; E$2 &amp; "'!$A:$A"), INDIRECT("'" &amp; E$2 &amp; "'!$B:$B"), "")&lt;&gt;"", "✓", "✗"), "✗")
)</f>
        <v/>
      </c>
      <c r="F89">
        <f t="array" ref="F89">IF(
    ISNUMBER(VALUE(LEFT($A89, 1))),
    "",
    IFERROR(IF(_xlfn.XLOOKUP($A89, INDIRECT("'" &amp; F$2 &amp; "'!$A:$A"), INDIRECT("'" &amp; F$2 &amp; "'!$B:$B"), "")&lt;&gt;"", "✓", "✗"), "✗")
)</f>
        <v/>
      </c>
      <c r="G89">
        <f t="array" ref="G89">IF(
    ISNUMBER(VALUE(LEFT($A89, 1))),
    "",
    IFERROR(IF(_xlfn.XLOOKUP($A89, INDIRECT("'" &amp; G$2 &amp; "'!$A:$A"), INDIRECT("'" &amp; G$2 &amp; "'!$B:$B"), "")&lt;&gt;"", "✓", "✗"), "✗")
)</f>
        <v/>
      </c>
      <c r="H89">
        <f t="array" ref="H89">IF(
    ISNUMBER(VALUE(LEFT($A89, 1))),
    "",
    IFERROR(IF(_xlfn.XLOOKUP($A89, INDIRECT("'" &amp; H$2 &amp; "'!$A:$A"), INDIRECT("'" &amp; H$2 &amp; "'!$B:$B"), "")&lt;&gt;"", "✓", "✗"), "✗")
)</f>
        <v/>
      </c>
      <c r="I89">
        <f t="array" ref="I89">IF(
    ISNUMBER(VALUE(LEFT($A89, 1))),
    "",
    IFERROR(IF(_xlfn.XLOOKUP($A89, INDIRECT("'" &amp; I$2 &amp; "'!$A:$A"), INDIRECT("'" &amp; I$2 &amp; "'!$B:$B"), "")&lt;&gt;"", "✓", "✗"), "✗")
)</f>
        <v/>
      </c>
      <c r="J89">
        <f t="array" ref="J89">IF(
    ISNUMBER(VALUE(LEFT($A89, 1))),
    "",
    IFERROR(IF(_xlfn.XLOOKUP($A89, INDIRECT("'" &amp; J$2 &amp; "'!$A:$A"), INDIRECT("'" &amp; J$2 &amp; "'!$B:$B"), "")&lt;&gt;"", "✓", "✗"), "✗")
)</f>
        <v/>
      </c>
      <c r="K89">
        <f t="array" ref="K89">IF(
    ISNUMBER(VALUE(LEFT($A89, 1))),
    "",
    IFERROR(IF(_xlfn.XLOOKUP($A89, INDIRECT("'" &amp; K$2 &amp; "'!$A:$A"), INDIRECT("'" &amp; K$2 &amp; "'!$B:$B"), "")&lt;&gt;"", "✓", "✗"), "✗")
)</f>
        <v/>
      </c>
      <c r="L89">
        <f t="array" ref="L89">IF(
    ISNUMBER(VALUE(LEFT($A89, 1))),
    "",
    IFERROR(IF(_xlfn.XLOOKUP($A89, INDIRECT("'" &amp; L$2 &amp; "'!$A:$A"), INDIRECT("'" &amp; L$2 &amp; "'!$B:$B"), "")&lt;&gt;"", "✓", "✗"), "✗")
)</f>
        <v/>
      </c>
      <c r="M89">
        <f t="array" ref="M89">IF(
    ISNUMBER(VALUE(LEFT($A89, 1))),
    "",
    IFERROR(IF(_xlfn.XLOOKUP($A89, INDIRECT("'" &amp; M$2 &amp; "'!$A:$A"), INDIRECT("'" &amp; M$2 &amp; "'!$B:$B"), "")&lt;&gt;"", "✓", "✗"), "✗")
)</f>
        <v/>
      </c>
      <c r="N89">
        <f t="array" ref="N89">IF(
    ISNUMBER(VALUE(LEFT($A89, 1))),
    "",
    IFERROR(IF(_xlfn.XLOOKUP($A89, INDIRECT("'" &amp; N$2 &amp; "'!$A:$A"), INDIRECT("'" &amp; N$2 &amp; "'!$B:$B"), "")&lt;&gt;"", "✓", "✗"), "✗")
)</f>
        <v/>
      </c>
      <c r="O89">
        <f t="array" ref="O89">IF(
    ISNUMBER(VALUE(LEFT($A89, 1))),
    "",
    IFERROR(IF(_xlfn.XLOOKUP($A89, INDIRECT("'" &amp; O$2 &amp; "'!$A:$A"), INDIRECT("'" &amp; O$2 &amp; "'!$B:$B"), "")&lt;&gt;"", "✓", "✗"), "✗")
)</f>
        <v/>
      </c>
      <c r="P89">
        <f t="array" ref="P89">IF(
    ISNUMBER(VALUE(LEFT($A89, 1))),
    "",
    IFERROR(IF(_xlfn.XLOOKUP($A89, INDIRECT("'" &amp; P$2 &amp; "'!$A:$A"), INDIRECT("'" &amp; P$2 &amp; "'!$B:$B"), "")&lt;&gt;"", "✓", "✗"), "✗")
)</f>
        <v/>
      </c>
      <c r="Q89">
        <f t="array" ref="Q89">IF(
    ISNUMBER(VALUE(LEFT($A89, 1))),
    "",
    IFERROR(IF(_xlfn.XLOOKUP($A89, INDIRECT("'" &amp; Q$2 &amp; "'!$A:$A"), INDIRECT("'" &amp; Q$2 &amp; "'!$B:$B"), "")&lt;&gt;"", "✓", "✗"), "✗")
)</f>
        <v/>
      </c>
      <c r="R89">
        <f t="array" ref="R89">IF(
    ISNUMBER(VALUE(LEFT($A89, 1))),
    "",
    IFERROR(IF(_xlfn.XLOOKUP($A89, INDIRECT("'" &amp; R$2 &amp; "'!$A:$A"), INDIRECT("'" &amp; R$2 &amp; "'!$B:$B"), "")&lt;&gt;"", "✓", "✗"), "✗")
)</f>
        <v/>
      </c>
      <c r="S89">
        <f t="array" ref="S89">IF(
    ISNUMBER(VALUE(LEFT($A89, 1))),
    "",
    IFERROR(IF(_xlfn.XLOOKUP($A89, INDIRECT("'" &amp; S$2 &amp; "'!$A:$A"), INDIRECT("'" &amp; S$2 &amp; "'!$B:$B"), "")&lt;&gt;"", "✓", "✗"), "✗")
)</f>
        <v/>
      </c>
      <c r="T89">
        <f t="array" ref="T89">IF(
    ISNUMBER(VALUE(LEFT($A89, 1))),
    "",
    IFERROR(IF(_xlfn.XLOOKUP($A89, INDIRECT("'" &amp; T$2 &amp; "'!$A:$A"), INDIRECT("'" &amp; T$2 &amp; "'!$B:$B"), "")&lt;&gt;"", "✓", "✗"), "✗")
)</f>
        <v/>
      </c>
      <c r="U89">
        <f t="array" ref="U89">IF(
    ISNUMBER(VALUE(LEFT($A89, 1))),
    "",
    IFERROR(IF(_xlfn.XLOOKUP($A89, INDIRECT("'" &amp; U$2 &amp; "'!$A:$A"), INDIRECT("'" &amp; U$2 &amp; "'!$B:$B"), "")&lt;&gt;"", "✓", "✗"), "✗")
)</f>
        <v/>
      </c>
      <c r="V89">
        <f t="array" ref="V89">IF(
    ISNUMBER(VALUE(LEFT($A89, 1))),
    "",
    IFERROR(IF(_xlfn.XLOOKUP($A89, INDIRECT("'" &amp; V$2 &amp; "'!$A:$A"), INDIRECT("'" &amp; V$2 &amp; "'!$B:$B"), "")&lt;&gt;"", "✓", "✗"), "✗")
)</f>
        <v/>
      </c>
      <c r="W89">
        <f t="array" ref="W89">IF(
    ISNUMBER(VALUE(LEFT($A89, 1))),
    "",
    IFERROR(IF(_xlfn.XLOOKUP($A89, INDIRECT("'" &amp; W$2 &amp; "'!$A:$A"), INDIRECT("'" &amp; W$2 &amp; "'!$B:$B"), "")&lt;&gt;"", "✓", "✗"), "✗")
)</f>
        <v/>
      </c>
      <c r="X89">
        <f t="array" ref="X89">IF(
    ISNUMBER(VALUE(LEFT($A89, 1))),
    "",
    IFERROR(IF(_xlfn.XLOOKUP($A89, INDIRECT("'" &amp; X$2 &amp; "'!$A:$A"), INDIRECT("'" &amp; X$2 &amp; "'!$B:$B"), "")&lt;&gt;"", "✓", "✗"), "✗")
)</f>
        <v/>
      </c>
      <c r="Y89">
        <f t="array" ref="Y89">IF(
    ISNUMBER(VALUE(LEFT($A89, 1))),
    "",
    IFERROR(IF(_xlfn.XLOOKUP($A89, INDIRECT("'" &amp; Y$2 &amp; "'!$A:$A"), INDIRECT("'" &amp; Y$2 &amp; "'!$B:$B"), "")&lt;&gt;"", "✓", "✗"), "✗")
)</f>
        <v/>
      </c>
      <c r="Z89">
        <f t="array" ref="Z89">IF(
    ISNUMBER(VALUE(LEFT($A89, 1))),
    "",
    IFERROR(IF(_xlfn.XLOOKUP($A89, INDIRECT("'" &amp; Z$2 &amp; "'!$A:$A"), INDIRECT("'" &amp; Z$2 &amp; "'!$B:$B"), "")&lt;&gt;"", "✓", "✗"), "✗")
)</f>
        <v/>
      </c>
      <c r="AA89">
        <f t="array" ref="AA89">IF(
    ISNUMBER(VALUE(LEFT($A89, 1))),
    "",
    IFERROR(IF(_xlfn.XLOOKUP($A89, INDIRECT("'" &amp; AA$2 &amp; "'!$A:$A"), INDIRECT("'" &amp; AA$2 &amp; "'!$B:$B"), "")&lt;&gt;"", "✓", "✗"), "✗")
)</f>
        <v/>
      </c>
      <c r="AB89">
        <f t="array" ref="AB89">IF(
    ISNUMBER(VALUE(LEFT($A89, 1))),
    "",
    IFERROR(IF(_xlfn.XLOOKUP($A89, INDIRECT("'" &amp; AB$2 &amp; "'!$A:$A"), INDIRECT("'" &amp; AB$2 &amp; "'!$B:$B"), "")&lt;&gt;"", "✓", "✗"), "✗")
)</f>
        <v/>
      </c>
      <c r="AC89">
        <f t="array" ref="AC89">IF(
    ISNUMBER(VALUE(LEFT($A89, 1))),
    "",
    IFERROR(IF(_xlfn.XLOOKUP($A89, INDIRECT("'" &amp; AC$2 &amp; "'!$A:$A"), INDIRECT("'" &amp; AC$2 &amp; "'!$B:$B"), "")&lt;&gt;"", "✓", "✗"), "✗")
)</f>
        <v/>
      </c>
      <c r="AD89">
        <f t="array" ref="AD89">IF(
    ISNUMBER(VALUE(LEFT($A89, 1))),
    "",
    IFERROR(IF(_xlfn.XLOOKUP($A89, INDIRECT("'" &amp; AD$2 &amp; "'!$A:$A"), INDIRECT("'" &amp; AD$2 &amp; "'!$B:$B"), "")&lt;&gt;"", "✓", "✗"), "✗")
)</f>
        <v/>
      </c>
      <c r="AE89">
        <f t="array" ref="AE89">IF(
    ISNUMBER(VALUE(LEFT($A89, 1))),
    "",
    IFERROR(IF(_xlfn.XLOOKUP($A89, INDIRECT("'" &amp; AE$2 &amp; "'!$A:$A"), INDIRECT("'" &amp; AE$2 &amp; "'!$B:$B"), "")&lt;&gt;"", "✓", "✗"), "✗")
)</f>
        <v/>
      </c>
      <c r="AF89">
        <f t="array" ref="AF89">IF(
    ISNUMBER(VALUE(LEFT($A89, 1))),
    "",
    IFERROR(IF(_xlfn.XLOOKUP($A89, INDIRECT("'" &amp; AF$2 &amp; "'!$A:$A"), INDIRECT("'" &amp; AF$2 &amp; "'!$B:$B"), "")&lt;&gt;"", "✓", "✗"), "✗")
)</f>
        <v/>
      </c>
      <c r="AG89">
        <f t="array" ref="AG89">IF(
    ISNUMBER(VALUE(LEFT($A89, 1))),
    "",
    IFERROR(IF(_xlfn.XLOOKUP($A89, INDIRECT("'" &amp; AG$2 &amp; "'!$A:$A"), INDIRECT("'" &amp; AG$2 &amp; "'!$B:$B"), "")&lt;&gt;"", "✓", "✗"), "✗")
)</f>
        <v/>
      </c>
    </row>
    <row r="90">
      <c r="A90" t="inlineStr">
        <is>
          <t>Privacy ID</t>
        </is>
      </c>
      <c r="B90">
        <f t="array" ref="B90">IF(
    ISNUMBER(VALUE(LEFT($A90, 1))),
    "",
    IFERROR(IF(_xlfn.XLOOKUP($A90, INDIRECT("'" &amp; B$2 &amp; "'!$A:$A"), INDIRECT("'" &amp; B$2 &amp; "'!$B:$B"), "")&lt;&gt;"", "✓", "✗"), "✗")
)</f>
        <v/>
      </c>
      <c r="C90">
        <f t="array" ref="C90">IF(
    ISNUMBER(VALUE(LEFT($A90, 1))),
    "",
    IFERROR(IF(_xlfn.XLOOKUP($A90, INDIRECT("'" &amp; C$2 &amp; "'!$A:$A"), INDIRECT("'" &amp; C$2 &amp; "'!$B:$B"), "")&lt;&gt;"", "✓", "✗"), "✗")
)</f>
        <v/>
      </c>
      <c r="D90">
        <f t="array" ref="D90">IF(
    ISNUMBER(VALUE(LEFT($A90, 1))),
    "",
    IFERROR(IF(_xlfn.XLOOKUP($A90, INDIRECT("'" &amp; D$2 &amp; "'!$A:$A"), INDIRECT("'" &amp; D$2 &amp; "'!$B:$B"), "")&lt;&gt;"", "✓", "✗"), "✗")
)</f>
        <v/>
      </c>
      <c r="E90">
        <f t="array" ref="E90">IF(
    ISNUMBER(VALUE(LEFT($A90, 1))),
    "",
    IFERROR(IF(_xlfn.XLOOKUP($A90, INDIRECT("'" &amp; E$2 &amp; "'!$A:$A"), INDIRECT("'" &amp; E$2 &amp; "'!$B:$B"), "")&lt;&gt;"", "✓", "✗"), "✗")
)</f>
        <v/>
      </c>
      <c r="F90">
        <f t="array" ref="F90">IF(
    ISNUMBER(VALUE(LEFT($A90, 1))),
    "",
    IFERROR(IF(_xlfn.XLOOKUP($A90, INDIRECT("'" &amp; F$2 &amp; "'!$A:$A"), INDIRECT("'" &amp; F$2 &amp; "'!$B:$B"), "")&lt;&gt;"", "✓", "✗"), "✗")
)</f>
        <v/>
      </c>
      <c r="G90">
        <f t="array" ref="G90">IF(
    ISNUMBER(VALUE(LEFT($A90, 1))),
    "",
    IFERROR(IF(_xlfn.XLOOKUP($A90, INDIRECT("'" &amp; G$2 &amp; "'!$A:$A"), INDIRECT("'" &amp; G$2 &amp; "'!$B:$B"), "")&lt;&gt;"", "✓", "✗"), "✗")
)</f>
        <v/>
      </c>
      <c r="H90">
        <f t="array" ref="H90">IF(
    ISNUMBER(VALUE(LEFT($A90, 1))),
    "",
    IFERROR(IF(_xlfn.XLOOKUP($A90, INDIRECT("'" &amp; H$2 &amp; "'!$A:$A"), INDIRECT("'" &amp; H$2 &amp; "'!$B:$B"), "")&lt;&gt;"", "✓", "✗"), "✗")
)</f>
        <v/>
      </c>
      <c r="I90">
        <f t="array" ref="I90">IF(
    ISNUMBER(VALUE(LEFT($A90, 1))),
    "",
    IFERROR(IF(_xlfn.XLOOKUP($A90, INDIRECT("'" &amp; I$2 &amp; "'!$A:$A"), INDIRECT("'" &amp; I$2 &amp; "'!$B:$B"), "")&lt;&gt;"", "✓", "✗"), "✗")
)</f>
        <v/>
      </c>
      <c r="J90">
        <f t="array" ref="J90">IF(
    ISNUMBER(VALUE(LEFT($A90, 1))),
    "",
    IFERROR(IF(_xlfn.XLOOKUP($A90, INDIRECT("'" &amp; J$2 &amp; "'!$A:$A"), INDIRECT("'" &amp; J$2 &amp; "'!$B:$B"), "")&lt;&gt;"", "✓", "✗"), "✗")
)</f>
        <v/>
      </c>
      <c r="K90">
        <f t="array" ref="K90">IF(
    ISNUMBER(VALUE(LEFT($A90, 1))),
    "",
    IFERROR(IF(_xlfn.XLOOKUP($A90, INDIRECT("'" &amp; K$2 &amp; "'!$A:$A"), INDIRECT("'" &amp; K$2 &amp; "'!$B:$B"), "")&lt;&gt;"", "✓", "✗"), "✗")
)</f>
        <v/>
      </c>
      <c r="L90">
        <f t="array" ref="L90">IF(
    ISNUMBER(VALUE(LEFT($A90, 1))),
    "",
    IFERROR(IF(_xlfn.XLOOKUP($A90, INDIRECT("'" &amp; L$2 &amp; "'!$A:$A"), INDIRECT("'" &amp; L$2 &amp; "'!$B:$B"), "")&lt;&gt;"", "✓", "✗"), "✗")
)</f>
        <v/>
      </c>
      <c r="M90">
        <f t="array" ref="M90">IF(
    ISNUMBER(VALUE(LEFT($A90, 1))),
    "",
    IFERROR(IF(_xlfn.XLOOKUP($A90, INDIRECT("'" &amp; M$2 &amp; "'!$A:$A"), INDIRECT("'" &amp; M$2 &amp; "'!$B:$B"), "")&lt;&gt;"", "✓", "✗"), "✗")
)</f>
        <v/>
      </c>
      <c r="N90">
        <f t="array" ref="N90">IF(
    ISNUMBER(VALUE(LEFT($A90, 1))),
    "",
    IFERROR(IF(_xlfn.XLOOKUP($A90, INDIRECT("'" &amp; N$2 &amp; "'!$A:$A"), INDIRECT("'" &amp; N$2 &amp; "'!$B:$B"), "")&lt;&gt;"", "✓", "✗"), "✗")
)</f>
        <v/>
      </c>
      <c r="O90">
        <f t="array" ref="O90">IF(
    ISNUMBER(VALUE(LEFT($A90, 1))),
    "",
    IFERROR(IF(_xlfn.XLOOKUP($A90, INDIRECT("'" &amp; O$2 &amp; "'!$A:$A"), INDIRECT("'" &amp; O$2 &amp; "'!$B:$B"), "")&lt;&gt;"", "✓", "✗"), "✗")
)</f>
        <v/>
      </c>
      <c r="P90">
        <f t="array" ref="P90">IF(
    ISNUMBER(VALUE(LEFT($A90, 1))),
    "",
    IFERROR(IF(_xlfn.XLOOKUP($A90, INDIRECT("'" &amp; P$2 &amp; "'!$A:$A"), INDIRECT("'" &amp; P$2 &amp; "'!$B:$B"), "")&lt;&gt;"", "✓", "✗"), "✗")
)</f>
        <v/>
      </c>
      <c r="Q90">
        <f t="array" ref="Q90">IF(
    ISNUMBER(VALUE(LEFT($A90, 1))),
    "",
    IFERROR(IF(_xlfn.XLOOKUP($A90, INDIRECT("'" &amp; Q$2 &amp; "'!$A:$A"), INDIRECT("'" &amp; Q$2 &amp; "'!$B:$B"), "")&lt;&gt;"", "✓", "✗"), "✗")
)</f>
        <v/>
      </c>
      <c r="R90">
        <f t="array" ref="R90">IF(
    ISNUMBER(VALUE(LEFT($A90, 1))),
    "",
    IFERROR(IF(_xlfn.XLOOKUP($A90, INDIRECT("'" &amp; R$2 &amp; "'!$A:$A"), INDIRECT("'" &amp; R$2 &amp; "'!$B:$B"), "")&lt;&gt;"", "✓", "✗"), "✗")
)</f>
        <v/>
      </c>
      <c r="S90">
        <f t="array" ref="S90">IF(
    ISNUMBER(VALUE(LEFT($A90, 1))),
    "",
    IFERROR(IF(_xlfn.XLOOKUP($A90, INDIRECT("'" &amp; S$2 &amp; "'!$A:$A"), INDIRECT("'" &amp; S$2 &amp; "'!$B:$B"), "")&lt;&gt;"", "✓", "✗"), "✗")
)</f>
        <v/>
      </c>
      <c r="T90">
        <f t="array" ref="T90">IF(
    ISNUMBER(VALUE(LEFT($A90, 1))),
    "",
    IFERROR(IF(_xlfn.XLOOKUP($A90, INDIRECT("'" &amp; T$2 &amp; "'!$A:$A"), INDIRECT("'" &amp; T$2 &amp; "'!$B:$B"), "")&lt;&gt;"", "✓", "✗"), "✗")
)</f>
        <v/>
      </c>
      <c r="U90">
        <f t="array" ref="U90">IF(
    ISNUMBER(VALUE(LEFT($A90, 1))),
    "",
    IFERROR(IF(_xlfn.XLOOKUP($A90, INDIRECT("'" &amp; U$2 &amp; "'!$A:$A"), INDIRECT("'" &amp; U$2 &amp; "'!$B:$B"), "")&lt;&gt;"", "✓", "✗"), "✗")
)</f>
        <v/>
      </c>
      <c r="V90">
        <f t="array" ref="V90">IF(
    ISNUMBER(VALUE(LEFT($A90, 1))),
    "",
    IFERROR(IF(_xlfn.XLOOKUP($A90, INDIRECT("'" &amp; V$2 &amp; "'!$A:$A"), INDIRECT("'" &amp; V$2 &amp; "'!$B:$B"), "")&lt;&gt;"", "✓", "✗"), "✗")
)</f>
        <v/>
      </c>
      <c r="W90">
        <f t="array" ref="W90">IF(
    ISNUMBER(VALUE(LEFT($A90, 1))),
    "",
    IFERROR(IF(_xlfn.XLOOKUP($A90, INDIRECT("'" &amp; W$2 &amp; "'!$A:$A"), INDIRECT("'" &amp; W$2 &amp; "'!$B:$B"), "")&lt;&gt;"", "✓", "✗"), "✗")
)</f>
        <v/>
      </c>
      <c r="X90">
        <f t="array" ref="X90">IF(
    ISNUMBER(VALUE(LEFT($A90, 1))),
    "",
    IFERROR(IF(_xlfn.XLOOKUP($A90, INDIRECT("'" &amp; X$2 &amp; "'!$A:$A"), INDIRECT("'" &amp; X$2 &amp; "'!$B:$B"), "")&lt;&gt;"", "✓", "✗"), "✗")
)</f>
        <v/>
      </c>
      <c r="Y90">
        <f t="array" ref="Y90">IF(
    ISNUMBER(VALUE(LEFT($A90, 1))),
    "",
    IFERROR(IF(_xlfn.XLOOKUP($A90, INDIRECT("'" &amp; Y$2 &amp; "'!$A:$A"), INDIRECT("'" &amp; Y$2 &amp; "'!$B:$B"), "")&lt;&gt;"", "✓", "✗"), "✗")
)</f>
        <v/>
      </c>
      <c r="Z90">
        <f t="array" ref="Z90">IF(
    ISNUMBER(VALUE(LEFT($A90, 1))),
    "",
    IFERROR(IF(_xlfn.XLOOKUP($A90, INDIRECT("'" &amp; Z$2 &amp; "'!$A:$A"), INDIRECT("'" &amp; Z$2 &amp; "'!$B:$B"), "")&lt;&gt;"", "✓", "✗"), "✗")
)</f>
        <v/>
      </c>
      <c r="AA90">
        <f t="array" ref="AA90">IF(
    ISNUMBER(VALUE(LEFT($A90, 1))),
    "",
    IFERROR(IF(_xlfn.XLOOKUP($A90, INDIRECT("'" &amp; AA$2 &amp; "'!$A:$A"), INDIRECT("'" &amp; AA$2 &amp; "'!$B:$B"), "")&lt;&gt;"", "✓", "✗"), "✗")
)</f>
        <v/>
      </c>
      <c r="AB90">
        <f t="array" ref="AB90">IF(
    ISNUMBER(VALUE(LEFT($A90, 1))),
    "",
    IFERROR(IF(_xlfn.XLOOKUP($A90, INDIRECT("'" &amp; AB$2 &amp; "'!$A:$A"), INDIRECT("'" &amp; AB$2 &amp; "'!$B:$B"), "")&lt;&gt;"", "✓", "✗"), "✗")
)</f>
        <v/>
      </c>
      <c r="AC90">
        <f t="array" ref="AC90">IF(
    ISNUMBER(VALUE(LEFT($A90, 1))),
    "",
    IFERROR(IF(_xlfn.XLOOKUP($A90, INDIRECT("'" &amp; AC$2 &amp; "'!$A:$A"), INDIRECT("'" &amp; AC$2 &amp; "'!$B:$B"), "")&lt;&gt;"", "✓", "✗"), "✗")
)</f>
        <v/>
      </c>
      <c r="AD90">
        <f t="array" ref="AD90">IF(
    ISNUMBER(VALUE(LEFT($A90, 1))),
    "",
    IFERROR(IF(_xlfn.XLOOKUP($A90, INDIRECT("'" &amp; AD$2 &amp; "'!$A:$A"), INDIRECT("'" &amp; AD$2 &amp; "'!$B:$B"), "")&lt;&gt;"", "✓", "✗"), "✗")
)</f>
        <v/>
      </c>
      <c r="AE90">
        <f t="array" ref="AE90">IF(
    ISNUMBER(VALUE(LEFT($A90, 1))),
    "",
    IFERROR(IF(_xlfn.XLOOKUP($A90, INDIRECT("'" &amp; AE$2 &amp; "'!$A:$A"), INDIRECT("'" &amp; AE$2 &amp; "'!$B:$B"), "")&lt;&gt;"", "✓", "✗"), "✗")
)</f>
        <v/>
      </c>
      <c r="AF90">
        <f t="array" ref="AF90">IF(
    ISNUMBER(VALUE(LEFT($A90, 1))),
    "",
    IFERROR(IF(_xlfn.XLOOKUP($A90, INDIRECT("'" &amp; AF$2 &amp; "'!$A:$A"), INDIRECT("'" &amp; AF$2 &amp; "'!$B:$B"), "")&lt;&gt;"", "✓", "✗"), "✗")
)</f>
        <v/>
      </c>
      <c r="AG90">
        <f t="array" ref="AG90">IF(
    ISNUMBER(VALUE(LEFT($A90, 1))),
    "",
    IFERROR(IF(_xlfn.XLOOKUP($A90, INDIRECT("'" &amp; AG$2 &amp; "'!$A:$A"), INDIRECT("'" &amp; AG$2 &amp; "'!$B:$B"), "")&lt;&gt;"", "✓", "✗"), "✗")
)</f>
        <v/>
      </c>
    </row>
    <row r="91">
      <c r="A91" t="inlineStr">
        <is>
          <t>Category</t>
        </is>
      </c>
      <c r="B91">
        <f t="array" ref="B91">IF(
    ISNUMBER(VALUE(LEFT($A91, 1))),
    "",
    IFERROR(IF(_xlfn.XLOOKUP($A91, INDIRECT("'" &amp; B$2 &amp; "'!$A:$A"), INDIRECT("'" &amp; B$2 &amp; "'!$B:$B"), "")&lt;&gt;"", "✓", "✗"), "✗")
)</f>
        <v/>
      </c>
      <c r="C91">
        <f t="array" ref="C91">IF(
    ISNUMBER(VALUE(LEFT($A91, 1))),
    "",
    IFERROR(IF(_xlfn.XLOOKUP($A91, INDIRECT("'" &amp; C$2 &amp; "'!$A:$A"), INDIRECT("'" &amp; C$2 &amp; "'!$B:$B"), "")&lt;&gt;"", "✓", "✗"), "✗")
)</f>
        <v/>
      </c>
      <c r="D91">
        <f t="array" ref="D91">IF(
    ISNUMBER(VALUE(LEFT($A91, 1))),
    "",
    IFERROR(IF(_xlfn.XLOOKUP($A91, INDIRECT("'" &amp; D$2 &amp; "'!$A:$A"), INDIRECT("'" &amp; D$2 &amp; "'!$B:$B"), "")&lt;&gt;"", "✓", "✗"), "✗")
)</f>
        <v/>
      </c>
      <c r="E91">
        <f t="array" ref="E91">IF(
    ISNUMBER(VALUE(LEFT($A91, 1))),
    "",
    IFERROR(IF(_xlfn.XLOOKUP($A91, INDIRECT("'" &amp; E$2 &amp; "'!$A:$A"), INDIRECT("'" &amp; E$2 &amp; "'!$B:$B"), "")&lt;&gt;"", "✓", "✗"), "✗")
)</f>
        <v/>
      </c>
      <c r="F91">
        <f t="array" ref="F91">IF(
    ISNUMBER(VALUE(LEFT($A91, 1))),
    "",
    IFERROR(IF(_xlfn.XLOOKUP($A91, INDIRECT("'" &amp; F$2 &amp; "'!$A:$A"), INDIRECT("'" &amp; F$2 &amp; "'!$B:$B"), "")&lt;&gt;"", "✓", "✗"), "✗")
)</f>
        <v/>
      </c>
      <c r="G91">
        <f t="array" ref="G91">IF(
    ISNUMBER(VALUE(LEFT($A91, 1))),
    "",
    IFERROR(IF(_xlfn.XLOOKUP($A91, INDIRECT("'" &amp; G$2 &amp; "'!$A:$A"), INDIRECT("'" &amp; G$2 &amp; "'!$B:$B"), "")&lt;&gt;"", "✓", "✗"), "✗")
)</f>
        <v/>
      </c>
      <c r="H91">
        <f t="array" ref="H91">IF(
    ISNUMBER(VALUE(LEFT($A91, 1))),
    "",
    IFERROR(IF(_xlfn.XLOOKUP($A91, INDIRECT("'" &amp; H$2 &amp; "'!$A:$A"), INDIRECT("'" &amp; H$2 &amp; "'!$B:$B"), "")&lt;&gt;"", "✓", "✗"), "✗")
)</f>
        <v/>
      </c>
      <c r="I91">
        <f t="array" ref="I91">IF(
    ISNUMBER(VALUE(LEFT($A91, 1))),
    "",
    IFERROR(IF(_xlfn.XLOOKUP($A91, INDIRECT("'" &amp; I$2 &amp; "'!$A:$A"), INDIRECT("'" &amp; I$2 &amp; "'!$B:$B"), "")&lt;&gt;"", "✓", "✗"), "✗")
)</f>
        <v/>
      </c>
      <c r="J91">
        <f t="array" ref="J91">IF(
    ISNUMBER(VALUE(LEFT($A91, 1))),
    "",
    IFERROR(IF(_xlfn.XLOOKUP($A91, INDIRECT("'" &amp; J$2 &amp; "'!$A:$A"), INDIRECT("'" &amp; J$2 &amp; "'!$B:$B"), "")&lt;&gt;"", "✓", "✗"), "✗")
)</f>
        <v/>
      </c>
      <c r="K91">
        <f t="array" ref="K91">IF(
    ISNUMBER(VALUE(LEFT($A91, 1))),
    "",
    IFERROR(IF(_xlfn.XLOOKUP($A91, INDIRECT("'" &amp; K$2 &amp; "'!$A:$A"), INDIRECT("'" &amp; K$2 &amp; "'!$B:$B"), "")&lt;&gt;"", "✓", "✗"), "✗")
)</f>
        <v/>
      </c>
      <c r="L91">
        <f t="array" ref="L91">IF(
    ISNUMBER(VALUE(LEFT($A91, 1))),
    "",
    IFERROR(IF(_xlfn.XLOOKUP($A91, INDIRECT("'" &amp; L$2 &amp; "'!$A:$A"), INDIRECT("'" &amp; L$2 &amp; "'!$B:$B"), "")&lt;&gt;"", "✓", "✗"), "✗")
)</f>
        <v/>
      </c>
      <c r="M91">
        <f t="array" ref="M91">IF(
    ISNUMBER(VALUE(LEFT($A91, 1))),
    "",
    IFERROR(IF(_xlfn.XLOOKUP($A91, INDIRECT("'" &amp; M$2 &amp; "'!$A:$A"), INDIRECT("'" &amp; M$2 &amp; "'!$B:$B"), "")&lt;&gt;"", "✓", "✗"), "✗")
)</f>
        <v/>
      </c>
      <c r="N91">
        <f t="array" ref="N91">IF(
    ISNUMBER(VALUE(LEFT($A91, 1))),
    "",
    IFERROR(IF(_xlfn.XLOOKUP($A91, INDIRECT("'" &amp; N$2 &amp; "'!$A:$A"), INDIRECT("'" &amp; N$2 &amp; "'!$B:$B"), "")&lt;&gt;"", "✓", "✗"), "✗")
)</f>
        <v/>
      </c>
      <c r="O91">
        <f t="array" ref="O91">IF(
    ISNUMBER(VALUE(LEFT($A91, 1))),
    "",
    IFERROR(IF(_xlfn.XLOOKUP($A91, INDIRECT("'" &amp; O$2 &amp; "'!$A:$A"), INDIRECT("'" &amp; O$2 &amp; "'!$B:$B"), "")&lt;&gt;"", "✓", "✗"), "✗")
)</f>
        <v/>
      </c>
      <c r="P91">
        <f t="array" ref="P91">IF(
    ISNUMBER(VALUE(LEFT($A91, 1))),
    "",
    IFERROR(IF(_xlfn.XLOOKUP($A91, INDIRECT("'" &amp; P$2 &amp; "'!$A:$A"), INDIRECT("'" &amp; P$2 &amp; "'!$B:$B"), "")&lt;&gt;"", "✓", "✗"), "✗")
)</f>
        <v/>
      </c>
      <c r="Q91">
        <f t="array" ref="Q91">IF(
    ISNUMBER(VALUE(LEFT($A91, 1))),
    "",
    IFERROR(IF(_xlfn.XLOOKUP($A91, INDIRECT("'" &amp; Q$2 &amp; "'!$A:$A"), INDIRECT("'" &amp; Q$2 &amp; "'!$B:$B"), "")&lt;&gt;"", "✓", "✗"), "✗")
)</f>
        <v/>
      </c>
      <c r="R91">
        <f t="array" ref="R91">IF(
    ISNUMBER(VALUE(LEFT($A91, 1))),
    "",
    IFERROR(IF(_xlfn.XLOOKUP($A91, INDIRECT("'" &amp; R$2 &amp; "'!$A:$A"), INDIRECT("'" &amp; R$2 &amp; "'!$B:$B"), "")&lt;&gt;"", "✓", "✗"), "✗")
)</f>
        <v/>
      </c>
      <c r="S91">
        <f t="array" ref="S91">IF(
    ISNUMBER(VALUE(LEFT($A91, 1))),
    "",
    IFERROR(IF(_xlfn.XLOOKUP($A91, INDIRECT("'" &amp; S$2 &amp; "'!$A:$A"), INDIRECT("'" &amp; S$2 &amp; "'!$B:$B"), "")&lt;&gt;"", "✓", "✗"), "✗")
)</f>
        <v/>
      </c>
      <c r="T91">
        <f t="array" ref="T91">IF(
    ISNUMBER(VALUE(LEFT($A91, 1))),
    "",
    IFERROR(IF(_xlfn.XLOOKUP($A91, INDIRECT("'" &amp; T$2 &amp; "'!$A:$A"), INDIRECT("'" &amp; T$2 &amp; "'!$B:$B"), "")&lt;&gt;"", "✓", "✗"), "✗")
)</f>
        <v/>
      </c>
      <c r="U91">
        <f t="array" ref="U91">IF(
    ISNUMBER(VALUE(LEFT($A91, 1))),
    "",
    IFERROR(IF(_xlfn.XLOOKUP($A91, INDIRECT("'" &amp; U$2 &amp; "'!$A:$A"), INDIRECT("'" &amp; U$2 &amp; "'!$B:$B"), "")&lt;&gt;"", "✓", "✗"), "✗")
)</f>
        <v/>
      </c>
      <c r="V91">
        <f t="array" ref="V91">IF(
    ISNUMBER(VALUE(LEFT($A91, 1))),
    "",
    IFERROR(IF(_xlfn.XLOOKUP($A91, INDIRECT("'" &amp; V$2 &amp; "'!$A:$A"), INDIRECT("'" &amp; V$2 &amp; "'!$B:$B"), "")&lt;&gt;"", "✓", "✗"), "✗")
)</f>
        <v/>
      </c>
      <c r="W91">
        <f t="array" ref="W91">IF(
    ISNUMBER(VALUE(LEFT($A91, 1))),
    "",
    IFERROR(IF(_xlfn.XLOOKUP($A91, INDIRECT("'" &amp; W$2 &amp; "'!$A:$A"), INDIRECT("'" &amp; W$2 &amp; "'!$B:$B"), "")&lt;&gt;"", "✓", "✗"), "✗")
)</f>
        <v/>
      </c>
      <c r="X91">
        <f t="array" ref="X91">IF(
    ISNUMBER(VALUE(LEFT($A91, 1))),
    "",
    IFERROR(IF(_xlfn.XLOOKUP($A91, INDIRECT("'" &amp; X$2 &amp; "'!$A:$A"), INDIRECT("'" &amp; X$2 &amp; "'!$B:$B"), "")&lt;&gt;"", "✓", "✗"), "✗")
)</f>
        <v/>
      </c>
      <c r="Y91">
        <f t="array" ref="Y91">IF(
    ISNUMBER(VALUE(LEFT($A91, 1))),
    "",
    IFERROR(IF(_xlfn.XLOOKUP($A91, INDIRECT("'" &amp; Y$2 &amp; "'!$A:$A"), INDIRECT("'" &amp; Y$2 &amp; "'!$B:$B"), "")&lt;&gt;"", "✓", "✗"), "✗")
)</f>
        <v/>
      </c>
      <c r="Z91">
        <f t="array" ref="Z91">IF(
    ISNUMBER(VALUE(LEFT($A91, 1))),
    "",
    IFERROR(IF(_xlfn.XLOOKUP($A91, INDIRECT("'" &amp; Z$2 &amp; "'!$A:$A"), INDIRECT("'" &amp; Z$2 &amp; "'!$B:$B"), "")&lt;&gt;"", "✓", "✗"), "✗")
)</f>
        <v/>
      </c>
      <c r="AA91">
        <f t="array" ref="AA91">IF(
    ISNUMBER(VALUE(LEFT($A91, 1))),
    "",
    IFERROR(IF(_xlfn.XLOOKUP($A91, INDIRECT("'" &amp; AA$2 &amp; "'!$A:$A"), INDIRECT("'" &amp; AA$2 &amp; "'!$B:$B"), "")&lt;&gt;"", "✓", "✗"), "✗")
)</f>
        <v/>
      </c>
      <c r="AB91">
        <f t="array" ref="AB91">IF(
    ISNUMBER(VALUE(LEFT($A91, 1))),
    "",
    IFERROR(IF(_xlfn.XLOOKUP($A91, INDIRECT("'" &amp; AB$2 &amp; "'!$A:$A"), INDIRECT("'" &amp; AB$2 &amp; "'!$B:$B"), "")&lt;&gt;"", "✓", "✗"), "✗")
)</f>
        <v/>
      </c>
      <c r="AC91">
        <f t="array" ref="AC91">IF(
    ISNUMBER(VALUE(LEFT($A91, 1))),
    "",
    IFERROR(IF(_xlfn.XLOOKUP($A91, INDIRECT("'" &amp; AC$2 &amp; "'!$A:$A"), INDIRECT("'" &amp; AC$2 &amp; "'!$B:$B"), "")&lt;&gt;"", "✓", "✗"), "✗")
)</f>
        <v/>
      </c>
      <c r="AD91">
        <f t="array" ref="AD91">IF(
    ISNUMBER(VALUE(LEFT($A91, 1))),
    "",
    IFERROR(IF(_xlfn.XLOOKUP($A91, INDIRECT("'" &amp; AD$2 &amp; "'!$A:$A"), INDIRECT("'" &amp; AD$2 &amp; "'!$B:$B"), "")&lt;&gt;"", "✓", "✗"), "✗")
)</f>
        <v/>
      </c>
      <c r="AE91">
        <f t="array" ref="AE91">IF(
    ISNUMBER(VALUE(LEFT($A91, 1))),
    "",
    IFERROR(IF(_xlfn.XLOOKUP($A91, INDIRECT("'" &amp; AE$2 &amp; "'!$A:$A"), INDIRECT("'" &amp; AE$2 &amp; "'!$B:$B"), "")&lt;&gt;"", "✓", "✗"), "✗")
)</f>
        <v/>
      </c>
      <c r="AF91">
        <f t="array" ref="AF91">IF(
    ISNUMBER(VALUE(LEFT($A91, 1))),
    "",
    IFERROR(IF(_xlfn.XLOOKUP($A91, INDIRECT("'" &amp; AF$2 &amp; "'!$A:$A"), INDIRECT("'" &amp; AF$2 &amp; "'!$B:$B"), "")&lt;&gt;"", "✓", "✗"), "✗")
)</f>
        <v/>
      </c>
      <c r="AG91">
        <f t="array" ref="AG91">IF(
    ISNUMBER(VALUE(LEFT($A91, 1))),
    "",
    IFERROR(IF(_xlfn.XLOOKUP($A91, INDIRECT("'" &amp; AG$2 &amp; "'!$A:$A"), INDIRECT("'" &amp; AG$2 &amp; "'!$B:$B"), "")&lt;&gt;"", "✓", "✗"), "✗")
)</f>
        <v/>
      </c>
    </row>
    <row r="158">
      <c r="B158">
        <f>COUNTIF(B$3:B$157, "✓")</f>
        <v/>
      </c>
      <c r="C158">
        <f>COUNTIF(C$3:C$157, "✓")</f>
        <v/>
      </c>
      <c r="D158">
        <f>COUNTIF(D$3:D$157, "✓")</f>
        <v/>
      </c>
      <c r="E158">
        <f>COUNTIF(E$3:E$157, "✓")</f>
        <v/>
      </c>
      <c r="F158">
        <f>COUNTIF(F$3:F$157, "✓")</f>
        <v/>
      </c>
      <c r="G158">
        <f>COUNTIF(G$3:G$157, "✓")</f>
        <v/>
      </c>
      <c r="H158">
        <f>COUNTIF(H$3:H$157, "✓")</f>
        <v/>
      </c>
      <c r="I158">
        <f>COUNTIF(I$3:I$157, "✓")</f>
        <v/>
      </c>
      <c r="J158">
        <f>COUNTIF(J$3:J$157, "✓")</f>
        <v/>
      </c>
      <c r="K158">
        <f>COUNTIF(K$3:K$157, "✓")</f>
        <v/>
      </c>
      <c r="L158">
        <f>COUNTIF(L$3:L$157, "✓")</f>
        <v/>
      </c>
      <c r="M158">
        <f>COUNTIF(M$3:M$157, "✓")</f>
        <v/>
      </c>
      <c r="N158">
        <f>COUNTIF(N$3:N$157, "✓")</f>
        <v/>
      </c>
      <c r="O158">
        <f>COUNTIF(O$3:O$157, "✓")</f>
        <v/>
      </c>
      <c r="P158">
        <f>COUNTIF(P$3:P$157, "✓")</f>
        <v/>
      </c>
      <c r="Q158">
        <f>COUNTIF(Q$3:Q$157, "✓")</f>
        <v/>
      </c>
      <c r="R158">
        <f>COUNTIF(R$3:R$157, "✓")</f>
        <v/>
      </c>
      <c r="S158">
        <f>COUNTIF(S$3:S$157, "✓")</f>
        <v/>
      </c>
      <c r="T158">
        <f>COUNTIF(T$3:T$157, "✓")</f>
        <v/>
      </c>
      <c r="U158">
        <f>COUNTIF(U$3:U$157, "✓")</f>
        <v/>
      </c>
      <c r="V158">
        <f>COUNTIF(V$3:V$157, "✓")</f>
        <v/>
      </c>
      <c r="W158">
        <f>COUNTIF(W$3:W$157, "✓")</f>
        <v/>
      </c>
      <c r="X158">
        <f>COUNTIF(X$3:X$157, "✓")</f>
        <v/>
      </c>
      <c r="Y158">
        <f>COUNTIF(Y$3:Y$157, "✓")</f>
        <v/>
      </c>
      <c r="Z158">
        <f>COUNTIF(Z$3:Z$157, "✓")</f>
        <v/>
      </c>
      <c r="AA158">
        <f>COUNTIF(AA$3:AA$157, "✓")</f>
        <v/>
      </c>
      <c r="AB158">
        <f>COUNTIF(AB$3:AB$157, "✓")</f>
        <v/>
      </c>
      <c r="AC158">
        <f>COUNTIF(AC$3:AC$157, "✓")</f>
        <v/>
      </c>
      <c r="AD158">
        <f>COUNTIF(AD$3:AD$157, "✓")</f>
        <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23"/>
  <sheetViews>
    <sheetView workbookViewId="0">
      <selection activeCell="A15" sqref="A15"/>
    </sheetView>
  </sheetViews>
  <sheetFormatPr baseColWidth="8" defaultRowHeight="14.25"/>
  <cols>
    <col width="70" bestFit="1" customWidth="1" style="7" min="1" max="1"/>
    <col width="25.33203125" bestFit="1" customWidth="1" style="7" min="2" max="2"/>
  </cols>
  <sheetData>
    <row r="1">
      <c r="A1" t="inlineStr">
        <is>
          <t>Data Element</t>
        </is>
      </c>
      <c r="B1" t="inlineStr">
        <is>
          <t>Category</t>
        </is>
      </c>
      <c r="F1" t="inlineStr">
        <is>
          <t>Category</t>
        </is>
      </c>
      <c r="I1" t="inlineStr">
        <is>
          <t>✓</t>
        </is>
      </c>
    </row>
    <row r="2">
      <c r="A2">
        <f t="array" ref="A2:B123">_xlfn.LET(
    _xlpm.RawData, _xlfn.VSTACK(
'UC01 Content Syndication Attend'!$A$7:$A$100,
'UC02 Content Syndication Form S'!$A$7:$A$100,
'UC03 Content Syndication Attend'!$A$7:$A$100,
'UC04 Content Syndication Form S'!$A$7:$A$100,
'UC05 1st Party Events Follow-Up'!$A$7:$A$100,
'UC06 3rd Party Events Follow-Up'!$A$7:$A$100,
'UC07 Paid Leads Follow-Up Reque'!$A$7:$A$100,
'UC08 Webinars Follow-Up Request'!$A$7:$A$100,
'UC09 1st Party Events Attended '!$A$7:$A$100,
'UC10 1st Party Events Attended '!$A$7:$A$100,
'UC11 1st Party Events Attended '!$A$7:$A$100,
'UC12 1st Party Events Booth Sca'!$A$7:$A$100,
'UC13 1st Party Events Registere'!$A$7:$A$100,
'UC14 3rd Party Events Attended '!$A$7:$A$100,
'UC15 3rd Party Events Attended '!$A$7:$A$100,
'UC16 3rd Party Events Attended '!$A$7:$A$100,
'UC17 3rd Party Events Booth Sca'!$A$7:$A$100,
'UC18 3rd Party Events Contact R'!$A$7:$A$100,
'UC19 Event Sponsorships Attende'!$A$7:$A$100,
'UC20 Event Sponsorships Attende'!$A$7:$A$100,
'UC21 Event Sponsorships Registe'!$A$7:$A$100,
'UC22 Webinars Attended Live Vir'!$A$7:$A$100,
'UC23 Webinars Attended On-Deman'!$A$7:$A$100,
'UC24 Webinars Registered'!$A$7:$A$100,
'UC25 Offers - Contact Us Form S'!$A$7:$A$100,
'UC26 Offers - Demo Form Submit'!$A$7:$A$100,
'UC27 Offers - Offer Form Submit'!$A$7:$A$100,
'UC28 Offers - Other Form Submit'!$A$7:$A$100,
'UC29 Offers - Others Form Submi'!$A$7:$A$100,
'UC30 Offers - Promotion Form Su'!$A$7:$A$100,
'UC31 Offers - Trial Form Submit'!$A$7:$A$100,
'UC32 Offers - Trials Form Submi'!$A$7:$A$100
    ),
    _xlpm.CleanData, _xlfn._xlws.FILTER(_xlpm.RawData, (_xlpm.RawData&lt;&gt;"") * (_xlpm.RawData&lt;&gt;0) * (_xlpm.RawData&lt;&gt;"Data Element")),
    _xlpm.MappedSections, _xlfn.SCAN("", _xlpm.CleanData, _xlfn.LAMBDA(_xlpm.prev,_xlpm.curr,
        IF(ISNUMBER(VALUE(LEFT(_xlpm.curr, 1))), _xlpm.curr, _xlpm.prev)
    )),
    _xlpm.CombinedGrid, _xlfn.HSTACK(_xlpm.CleanData, _xlpm.MappedSections),
    _xlpm.FinalOutput, _xlfn._xlws.FILTER(_xlpm.CombinedGrid, ISERROR(VALUE(LEFT(INDEX(_xlpm.CombinedGrid, , 1), 1)))),
    _xlfn.UNIQUE(_xlpm.FinalOutput)
)</f>
        <v/>
      </c>
      <c r="B2" t="inlineStr">
        <is>
          <t>1 - System Classification</t>
        </is>
      </c>
      <c r="F2" t="inlineStr">
        <is>
          <t>1 - System Classification</t>
        </is>
      </c>
      <c r="I2" t="inlineStr">
        <is>
          <t>✗</t>
        </is>
      </c>
    </row>
    <row r="3">
      <c r="A3" t="inlineStr">
        <is>
          <t>Use Case</t>
        </is>
      </c>
      <c r="B3" t="inlineStr">
        <is>
          <t>1 - System Classification</t>
        </is>
      </c>
      <c r="F3" t="inlineStr">
        <is>
          <t>2 - Contact Identity</t>
        </is>
      </c>
    </row>
    <row r="4">
      <c r="A4" t="inlineStr">
        <is>
          <t>Lead Category</t>
        </is>
      </c>
      <c r="B4" t="inlineStr">
        <is>
          <t>1 - System Classification</t>
        </is>
      </c>
      <c r="F4" t="inlineStr">
        <is>
          <t>3 - Account Identity</t>
        </is>
      </c>
    </row>
    <row r="5">
      <c r="A5" t="inlineStr">
        <is>
          <t>Sales Routing Trigger</t>
        </is>
      </c>
      <c r="B5" t="inlineStr">
        <is>
          <t>1 - System Classification</t>
        </is>
      </c>
      <c r="F5" t="inlineStr">
        <is>
          <t>4 - Compliance / Permissions</t>
        </is>
      </c>
    </row>
    <row r="6">
      <c r="A6" t="inlineStr">
        <is>
          <t>Person Party ID</t>
        </is>
      </c>
      <c r="B6" t="inlineStr">
        <is>
          <t>2 - Contact Identity</t>
        </is>
      </c>
      <c r="F6" t="inlineStr">
        <is>
          <t>5 - Legacy Tracking Parameters</t>
        </is>
      </c>
    </row>
    <row r="7">
      <c r="A7" t="inlineStr">
        <is>
          <t>UUID</t>
        </is>
      </c>
      <c r="B7" t="inlineStr">
        <is>
          <t>2 - Contact Identity</t>
        </is>
      </c>
      <c r="F7" t="inlineStr">
        <is>
          <t>6 - Future Tracking Parameters</t>
        </is>
      </c>
    </row>
    <row r="8">
      <c r="A8" t="inlineStr">
        <is>
          <t>Marketing Automation Tool Contact ID</t>
        </is>
      </c>
      <c r="B8" t="inlineStr">
        <is>
          <t>2 - Contact Identity</t>
        </is>
      </c>
      <c r="F8" t="inlineStr">
        <is>
          <t>7 - Event Tracking Parameters</t>
        </is>
      </c>
    </row>
    <row r="9">
      <c r="A9" t="inlineStr">
        <is>
          <t>First Name</t>
        </is>
      </c>
      <c r="B9" t="inlineStr">
        <is>
          <t>2 - Contact Identity</t>
        </is>
      </c>
      <c r="F9" t="inlineStr">
        <is>
          <t>8 - Activity Detail</t>
        </is>
      </c>
    </row>
    <row r="10">
      <c r="A10" t="inlineStr">
        <is>
          <t>Last Name</t>
        </is>
      </c>
      <c r="B10" t="inlineStr">
        <is>
          <t>2 - Contact Identity</t>
        </is>
      </c>
    </row>
    <row r="11">
      <c r="A11" t="inlineStr">
        <is>
          <t>Job Title</t>
        </is>
      </c>
      <c r="B11" t="inlineStr">
        <is>
          <t>2 - Contact Identity</t>
        </is>
      </c>
    </row>
    <row r="12">
      <c r="A12" t="inlineStr">
        <is>
          <t>Job Level</t>
        </is>
      </c>
      <c r="B12" t="inlineStr">
        <is>
          <t>2 - Contact Identity</t>
        </is>
      </c>
    </row>
    <row r="13">
      <c r="A13" t="inlineStr">
        <is>
          <t>Job Department</t>
        </is>
      </c>
      <c r="B13" t="inlineStr">
        <is>
          <t>2 - Contact Identity</t>
        </is>
      </c>
    </row>
    <row r="14">
      <c r="A14" t="inlineStr">
        <is>
          <t>Email</t>
        </is>
      </c>
      <c r="B14" t="inlineStr">
        <is>
          <t>2 - Contact Identity</t>
        </is>
      </c>
    </row>
    <row r="15">
      <c r="A15" t="inlineStr">
        <is>
          <t>Email Status</t>
        </is>
      </c>
      <c r="B15" t="inlineStr">
        <is>
          <t>2 - Contact Identity</t>
        </is>
      </c>
    </row>
    <row r="16">
      <c r="A16" t="inlineStr">
        <is>
          <t>OK to Email</t>
        </is>
      </c>
      <c r="B16" t="inlineStr">
        <is>
          <t>2 - Contact Identity</t>
        </is>
      </c>
    </row>
    <row r="17">
      <c r="A17" t="inlineStr">
        <is>
          <t>Phone Status</t>
        </is>
      </c>
      <c r="B17" t="inlineStr">
        <is>
          <t>2 - Contact Identity</t>
        </is>
      </c>
    </row>
    <row r="18">
      <c r="A18" t="inlineStr">
        <is>
          <t>OK to Call</t>
        </is>
      </c>
      <c r="B18" t="inlineStr">
        <is>
          <t>2 - Contact Identity</t>
        </is>
      </c>
    </row>
    <row r="19">
      <c r="A19" t="inlineStr">
        <is>
          <t>Partner Flag</t>
        </is>
      </c>
      <c r="B19" t="inlineStr">
        <is>
          <t>2 - Contact Identity</t>
        </is>
      </c>
    </row>
    <row r="20">
      <c r="A20" t="inlineStr">
        <is>
          <t>Student Flag</t>
        </is>
      </c>
      <c r="B20" t="inlineStr">
        <is>
          <t>2 - Contact Identity</t>
        </is>
      </c>
    </row>
    <row r="21">
      <c r="A21" t="inlineStr">
        <is>
          <t>Decision Maker Type</t>
        </is>
      </c>
      <c r="B21" t="inlineStr">
        <is>
          <t>2 - Contact Identity</t>
        </is>
      </c>
    </row>
    <row r="22">
      <c r="A22" t="inlineStr">
        <is>
          <t>Company Name</t>
        </is>
      </c>
      <c r="B22" t="inlineStr">
        <is>
          <t>2 - Contact Identity</t>
        </is>
      </c>
    </row>
    <row r="23">
      <c r="A23" t="inlineStr">
        <is>
          <t xml:space="preserve">Region </t>
        </is>
      </c>
      <c r="B23" t="inlineStr">
        <is>
          <t>2 - Contact Identity</t>
        </is>
      </c>
    </row>
    <row r="24">
      <c r="A24" t="inlineStr">
        <is>
          <t>CR Party ID</t>
        </is>
      </c>
      <c r="B24" t="inlineStr">
        <is>
          <t>3 - Account Identity</t>
        </is>
      </c>
    </row>
    <row r="25">
      <c r="A25" t="inlineStr">
        <is>
          <t>ORG Party ID</t>
        </is>
      </c>
      <c r="B25" t="inlineStr">
        <is>
          <t>3 - Account Identity</t>
        </is>
      </c>
    </row>
    <row r="26">
      <c r="A26" t="inlineStr">
        <is>
          <t>Address Line 1</t>
        </is>
      </c>
      <c r="B26" t="inlineStr">
        <is>
          <t>3 - Account Identity</t>
        </is>
      </c>
    </row>
    <row r="27">
      <c r="A27" t="inlineStr">
        <is>
          <t>City</t>
        </is>
      </c>
      <c r="B27" t="inlineStr">
        <is>
          <t>3 - Account Identity</t>
        </is>
      </c>
    </row>
    <row r="28">
      <c r="A28" t="inlineStr">
        <is>
          <t>State/County</t>
        </is>
      </c>
      <c r="B28" t="inlineStr">
        <is>
          <t>3 - Account Identity</t>
        </is>
      </c>
    </row>
    <row r="29">
      <c r="A29" t="inlineStr">
        <is>
          <t>Postal/Zip Code</t>
        </is>
      </c>
      <c r="B29" t="inlineStr">
        <is>
          <t>3 - Account Identity</t>
        </is>
      </c>
    </row>
    <row r="30">
      <c r="A30" t="inlineStr">
        <is>
          <t>Country</t>
        </is>
      </c>
      <c r="B30" t="inlineStr">
        <is>
          <t>3 - Account Identity</t>
        </is>
      </c>
    </row>
    <row r="31">
      <c r="A31" t="inlineStr">
        <is>
          <t>Named Account Flag</t>
        </is>
      </c>
      <c r="B31" t="inlineStr">
        <is>
          <t>3 - Account Identity</t>
        </is>
      </c>
    </row>
    <row r="32">
      <c r="A32" t="inlineStr">
        <is>
          <t>Number of Employees</t>
        </is>
      </c>
      <c r="B32" t="inlineStr">
        <is>
          <t>3 - Account Identity</t>
        </is>
      </c>
    </row>
    <row r="33">
      <c r="A33" t="inlineStr">
        <is>
          <t>SAVM Account Manager Email</t>
        </is>
      </c>
      <c r="B33" t="inlineStr">
        <is>
          <t>3 - Account Identity</t>
        </is>
      </c>
    </row>
    <row r="34">
      <c r="A34" t="inlineStr">
        <is>
          <t>SAVM Sales Coverage Code</t>
        </is>
      </c>
      <c r="B34" t="inlineStr">
        <is>
          <t>3 - Account Identity</t>
        </is>
      </c>
    </row>
    <row r="35">
      <c r="A35" t="inlineStr">
        <is>
          <t>SAVM Sales Level 1</t>
        </is>
      </c>
      <c r="B35" t="inlineStr">
        <is>
          <t>3 - Account Identity</t>
        </is>
      </c>
    </row>
    <row r="36">
      <c r="A36" t="inlineStr">
        <is>
          <t>SAVM Sales Level 2</t>
        </is>
      </c>
      <c r="B36" t="inlineStr">
        <is>
          <t>3 - Account Identity</t>
        </is>
      </c>
    </row>
    <row r="37">
      <c r="A37" t="inlineStr">
        <is>
          <t>SFDC Account ID</t>
        </is>
      </c>
      <c r="B37" t="inlineStr">
        <is>
          <t>3 - Account Identity</t>
        </is>
      </c>
    </row>
    <row r="38">
      <c r="A38" t="inlineStr">
        <is>
          <t>Vertical Market</t>
        </is>
      </c>
      <c r="B38" t="inlineStr">
        <is>
          <t>3 - Account Identity</t>
        </is>
      </c>
    </row>
    <row r="39">
      <c r="A39" t="inlineStr">
        <is>
          <t>Website URL</t>
        </is>
      </c>
      <c r="B39" t="inlineStr">
        <is>
          <t>3 - Account Identity</t>
        </is>
      </c>
    </row>
    <row r="40">
      <c r="A40" t="inlineStr">
        <is>
          <t>Phone Extension</t>
        </is>
      </c>
      <c r="B40" t="inlineStr">
        <is>
          <t>3 - Account Identity</t>
        </is>
      </c>
    </row>
    <row r="41">
      <c r="A41" t="inlineStr">
        <is>
          <t>Primary Phone Number</t>
        </is>
      </c>
      <c r="B41" t="inlineStr">
        <is>
          <t>3 - Account Identity</t>
        </is>
      </c>
    </row>
    <row r="42">
      <c r="A42" t="inlineStr">
        <is>
          <t>Email Opt-In Permission</t>
        </is>
      </c>
      <c r="B42" t="inlineStr">
        <is>
          <t>4 - Compliance / Permissions</t>
        </is>
      </c>
    </row>
    <row r="43">
      <c r="A43" t="inlineStr">
        <is>
          <t>Primary Phone Opt-In Permission</t>
        </is>
      </c>
      <c r="B43" t="inlineStr">
        <is>
          <t>4 - Compliance / Permissions</t>
        </is>
      </c>
    </row>
    <row r="44">
      <c r="A44" t="inlineStr">
        <is>
          <t>Cross Border Storage (China Hand Raisers and Responses Only)</t>
        </is>
      </c>
      <c r="B44" t="inlineStr">
        <is>
          <t>4 - Compliance / Permissions</t>
        </is>
      </c>
    </row>
    <row r="45">
      <c r="A45" t="inlineStr">
        <is>
          <t>Korea and Vietnam Combined Consent</t>
        </is>
      </c>
      <c r="B45" t="inlineStr">
        <is>
          <t>4 - Compliance / Permissions</t>
        </is>
      </c>
    </row>
    <row r="46">
      <c r="A46" t="inlineStr">
        <is>
          <t>Share Data with Cisco Affiliates and Suppliers (China Hand Raisers and Responses Only)</t>
        </is>
      </c>
      <c r="B46" t="inlineStr">
        <is>
          <t>4 - Compliance / Permissions</t>
        </is>
      </c>
    </row>
    <row r="47">
      <c r="A47" t="inlineStr">
        <is>
          <t>Campaign Name</t>
        </is>
      </c>
      <c r="B47" t="inlineStr">
        <is>
          <t>5 - Legacy Tracking Parameters</t>
        </is>
      </c>
    </row>
    <row r="48">
      <c r="A48" t="inlineStr">
        <is>
          <t>Program Name</t>
        </is>
      </c>
      <c r="B48" t="inlineStr">
        <is>
          <t>5 - Legacy Tracking Parameters</t>
        </is>
      </c>
    </row>
    <row r="49">
      <c r="A49" t="inlineStr">
        <is>
          <t>Activity ID</t>
        </is>
      </c>
      <c r="B49" t="inlineStr">
        <is>
          <t>5 - Legacy Tracking Parameters</t>
        </is>
      </c>
    </row>
    <row r="50">
      <c r="A50" t="inlineStr">
        <is>
          <t>Activity Name</t>
        </is>
      </c>
      <c r="B50" t="inlineStr">
        <is>
          <t>5 - Legacy Tracking Parameters</t>
        </is>
      </c>
    </row>
    <row r="51">
      <c r="A51" t="inlineStr">
        <is>
          <t>Activity Description</t>
        </is>
      </c>
      <c r="B51" t="inlineStr">
        <is>
          <t>5 - Legacy Tracking Parameters</t>
        </is>
      </c>
    </row>
    <row r="52">
      <c r="A52" t="inlineStr">
        <is>
          <t>Drive To ID</t>
        </is>
      </c>
      <c r="B52" t="inlineStr">
        <is>
          <t>5 - Legacy Tracking Parameters</t>
        </is>
      </c>
    </row>
    <row r="53">
      <c r="A53" t="inlineStr">
        <is>
          <t>DTID Reporting Channel</t>
        </is>
      </c>
      <c r="B53" t="inlineStr">
        <is>
          <t>5 - Legacy Tracking Parameters</t>
        </is>
      </c>
    </row>
    <row r="54">
      <c r="A54" t="inlineStr">
        <is>
          <t>Vehicle</t>
        </is>
      </c>
      <c r="B54" t="inlineStr">
        <is>
          <t>5 - Legacy Tracking Parameters</t>
        </is>
      </c>
    </row>
    <row r="55">
      <c r="A55" t="inlineStr">
        <is>
          <t>Offer ID</t>
        </is>
      </c>
      <c r="B55" t="inlineStr">
        <is>
          <t>5 - Legacy Tracking Parameters</t>
        </is>
      </c>
    </row>
    <row r="56">
      <c r="A56" t="inlineStr">
        <is>
          <t>Offer Name</t>
        </is>
      </c>
      <c r="B56" t="inlineStr">
        <is>
          <t>5 - Legacy Tracking Parameters</t>
        </is>
      </c>
    </row>
    <row r="57">
      <c r="A57" t="inlineStr">
        <is>
          <t>Offer Description</t>
        </is>
      </c>
      <c r="B57" t="inlineStr">
        <is>
          <t>5 - Legacy Tracking Parameters</t>
        </is>
      </c>
    </row>
    <row r="58">
      <c r="A58" t="inlineStr">
        <is>
          <t>Offer Type</t>
        </is>
      </c>
      <c r="B58" t="inlineStr">
        <is>
          <t>5 - Legacy Tracking Parameters</t>
        </is>
      </c>
    </row>
    <row r="59">
      <c r="A59" t="inlineStr">
        <is>
          <t>Workfront Channel ID</t>
        </is>
      </c>
      <c r="B59" t="inlineStr">
        <is>
          <t>6 - Future Tracking Parameters</t>
        </is>
      </c>
    </row>
    <row r="60">
      <c r="A60" t="inlineStr">
        <is>
          <t>Primary Technology</t>
        </is>
      </c>
      <c r="B60" t="inlineStr">
        <is>
          <t>6 - Future Tracking Parameters</t>
        </is>
      </c>
    </row>
    <row r="61">
      <c r="A61" t="inlineStr">
        <is>
          <t>Campaign</t>
        </is>
      </c>
      <c r="B61" t="inlineStr">
        <is>
          <t>6 - Future Tracking Parameters</t>
        </is>
      </c>
    </row>
    <row r="62">
      <c r="A62" t="inlineStr">
        <is>
          <t>Program</t>
        </is>
      </c>
      <c r="B62" t="inlineStr">
        <is>
          <t>6 - Future Tracking Parameters</t>
        </is>
      </c>
    </row>
    <row r="63">
      <c r="A63" t="inlineStr">
        <is>
          <t>Channel Type</t>
        </is>
      </c>
      <c r="B63" t="inlineStr">
        <is>
          <t>6 - Future Tracking Parameters</t>
        </is>
      </c>
    </row>
    <row r="64">
      <c r="A64" t="inlineStr">
        <is>
          <t>Channel Source</t>
        </is>
      </c>
      <c r="B64" t="inlineStr">
        <is>
          <t>6 - Future Tracking Parameters</t>
        </is>
      </c>
    </row>
    <row r="65">
      <c r="A65" t="inlineStr">
        <is>
          <t>Funnel Stage</t>
        </is>
      </c>
      <c r="B65" t="inlineStr">
        <is>
          <t>6 - Future Tracking Parameters</t>
        </is>
      </c>
    </row>
    <row r="66">
      <c r="A66" t="inlineStr">
        <is>
          <t>Workfront Content ID</t>
        </is>
      </c>
      <c r="B66" t="inlineStr">
        <is>
          <t>6 - Future Tracking Parameters</t>
        </is>
      </c>
    </row>
    <row r="67">
      <c r="A67" t="inlineStr">
        <is>
          <t>Content Type</t>
        </is>
      </c>
      <c r="B67" t="inlineStr">
        <is>
          <t>6 - Future Tracking Parameters</t>
        </is>
      </c>
    </row>
    <row r="68">
      <c r="A68" t="inlineStr">
        <is>
          <t>Form Submit Date</t>
        </is>
      </c>
      <c r="B68" t="inlineStr">
        <is>
          <t>8 - Activity Detail</t>
        </is>
      </c>
    </row>
    <row r="69">
      <c r="A69" t="inlineStr">
        <is>
          <t>Integrate Source ID</t>
        </is>
      </c>
      <c r="B69" t="inlineStr">
        <is>
          <t>8 - Activity Detail</t>
        </is>
      </c>
    </row>
    <row r="70">
      <c r="A70" t="inlineStr">
        <is>
          <t>Contact Source Original</t>
        </is>
      </c>
      <c r="B70" t="inlineStr">
        <is>
          <t>8 - Activity Detail</t>
        </is>
      </c>
    </row>
    <row r="71">
      <c r="A71" t="inlineStr">
        <is>
          <t>Additional Enquiry Details</t>
        </is>
      </c>
      <c r="B71" t="inlineStr">
        <is>
          <t>8 - Activity Detail</t>
        </is>
      </c>
    </row>
    <row r="72">
      <c r="A72" t="inlineStr">
        <is>
          <t>Contact Provided Permission</t>
        </is>
      </c>
      <c r="B72" t="inlineStr">
        <is>
          <t>4 - Compliance / Permissions</t>
        </is>
      </c>
    </row>
    <row r="73">
      <c r="A73" t="inlineStr">
        <is>
          <t>Consent / Permission Status</t>
        </is>
      </c>
      <c r="B73" t="inlineStr">
        <is>
          <t>4 - Compliance / Permissions</t>
        </is>
      </c>
    </row>
    <row r="74">
      <c r="A74" t="inlineStr">
        <is>
          <t>Vendor</t>
        </is>
      </c>
      <c r="B74" t="inlineStr">
        <is>
          <t>6 - Future Tracking Parameters</t>
        </is>
      </c>
    </row>
    <row r="75">
      <c r="A75" t="inlineStr">
        <is>
          <t>Event ID / EID</t>
        </is>
      </c>
      <c r="B75" t="inlineStr">
        <is>
          <t>7 - Event Tracking Parameters</t>
        </is>
      </c>
    </row>
    <row r="76">
      <c r="A76" t="inlineStr">
        <is>
          <t>Event Name</t>
        </is>
      </c>
      <c r="B76" t="inlineStr">
        <is>
          <t>7 - Event Tracking Parameters</t>
        </is>
      </c>
    </row>
    <row r="77">
      <c r="A77" t="inlineStr">
        <is>
          <t>Event Start Date</t>
        </is>
      </c>
      <c r="B77" t="inlineStr">
        <is>
          <t>7 - Event Tracking Parameters</t>
        </is>
      </c>
    </row>
    <row r="78">
      <c r="A78" t="inlineStr">
        <is>
          <t>Event End Date</t>
        </is>
      </c>
      <c r="B78" t="inlineStr">
        <is>
          <t>7 - Event Tracking Parameters</t>
        </is>
      </c>
    </row>
    <row r="79">
      <c r="A79" t="inlineStr">
        <is>
          <t>Customer Comments</t>
        </is>
      </c>
      <c r="B79" t="inlineStr">
        <is>
          <t>7 - Event Tracking Parameters</t>
        </is>
      </c>
    </row>
    <row r="80">
      <c r="A80" t="inlineStr">
        <is>
          <t>Transaction Date</t>
        </is>
      </c>
      <c r="B80" t="inlineStr">
        <is>
          <t>7 - Event Tracking Parameters</t>
        </is>
      </c>
    </row>
    <row r="81">
      <c r="A81" t="inlineStr">
        <is>
          <t>Privacy ID</t>
        </is>
      </c>
      <c r="B81" t="inlineStr">
        <is>
          <t>8 - Activity Detail</t>
        </is>
      </c>
    </row>
    <row r="82">
      <c r="A82" t="inlineStr">
        <is>
          <t>Customer Comments</t>
        </is>
      </c>
      <c r="B82" t="inlineStr">
        <is>
          <t>8 - Activity Detail</t>
        </is>
      </c>
    </row>
    <row r="83">
      <c r="A83" t="inlineStr">
        <is>
          <t>Event Attended</t>
        </is>
      </c>
      <c r="B83" t="inlineStr">
        <is>
          <t>7 - Event Tracking Parameters</t>
        </is>
      </c>
    </row>
    <row r="84">
      <c r="A84" t="inlineStr">
        <is>
          <t>Attendance Date</t>
        </is>
      </c>
      <c r="B84" t="inlineStr">
        <is>
          <t>7 - Event Tracking Parameters</t>
        </is>
      </c>
    </row>
    <row r="85">
      <c r="A85" t="inlineStr">
        <is>
          <t>Session Name</t>
        </is>
      </c>
      <c r="B85" t="inlineStr">
        <is>
          <t>7 - Event Tracking Parameters</t>
        </is>
      </c>
    </row>
    <row r="86">
      <c r="A86" t="inlineStr">
        <is>
          <t>Session Topic / Track</t>
        </is>
      </c>
      <c r="B86" t="inlineStr">
        <is>
          <t>7 - Event Tracking Parameters</t>
        </is>
      </c>
    </row>
    <row r="87">
      <c r="A87" t="inlineStr">
        <is>
          <t>Session Attendance Date</t>
        </is>
      </c>
      <c r="B87" t="inlineStr">
        <is>
          <t>7 - Event Tracking Parameters</t>
        </is>
      </c>
    </row>
    <row r="88">
      <c r="A88" t="inlineStr">
        <is>
          <t>Booth Name / Location</t>
        </is>
      </c>
      <c r="B88" t="inlineStr">
        <is>
          <t>7 - Event Tracking Parameters</t>
        </is>
      </c>
    </row>
    <row r="89">
      <c r="A89" t="inlineStr">
        <is>
          <t>Booth Scan Date</t>
        </is>
      </c>
      <c r="B89" t="inlineStr">
        <is>
          <t>7 - Event Tracking Parameters</t>
        </is>
      </c>
    </row>
    <row r="90">
      <c r="A90" t="inlineStr">
        <is>
          <t>Registration Date</t>
        </is>
      </c>
      <c r="B90" t="inlineStr">
        <is>
          <t>7 - Event Tracking Parameters</t>
        </is>
      </c>
    </row>
    <row r="91">
      <c r="A91" t="inlineStr">
        <is>
          <t>CXO / Executive Indicator</t>
        </is>
      </c>
      <c r="B91" t="inlineStr">
        <is>
          <t>7 - Event Tracking Parameters</t>
        </is>
      </c>
    </row>
    <row r="92">
      <c r="A92" t="inlineStr">
        <is>
          <t>CXO Event Attendance Date</t>
        </is>
      </c>
      <c r="B92" t="inlineStr">
        <is>
          <t>7 - Event Tracking Parameters</t>
        </is>
      </c>
    </row>
    <row r="93">
      <c r="A93" t="inlineStr">
        <is>
          <t>Meeting Type</t>
        </is>
      </c>
      <c r="B93" t="inlineStr">
        <is>
          <t>7 - Event Tracking Parameters</t>
        </is>
      </c>
    </row>
    <row r="94">
      <c r="A94" t="inlineStr">
        <is>
          <t>Meeting Owner</t>
        </is>
      </c>
      <c r="B94" t="inlineStr">
        <is>
          <t>7 - Event Tracking Parameters</t>
        </is>
      </c>
    </row>
    <row r="95">
      <c r="A95" t="inlineStr">
        <is>
          <t>Meeting Date</t>
        </is>
      </c>
      <c r="B95" t="inlineStr">
        <is>
          <t>7 - Event Tracking Parameters</t>
        </is>
      </c>
    </row>
    <row r="96">
      <c r="A96" t="inlineStr">
        <is>
          <t>Sponsored Session Name</t>
        </is>
      </c>
      <c r="B96" t="inlineStr">
        <is>
          <t>7 - Event Tracking Parameters</t>
        </is>
      </c>
    </row>
    <row r="97">
      <c r="A97" t="inlineStr">
        <is>
          <t>Live Attendance Date</t>
        </is>
      </c>
      <c r="B97" t="inlineStr">
        <is>
          <t>7 - Event Tracking Parameters</t>
        </is>
      </c>
    </row>
    <row r="98">
      <c r="A98" t="inlineStr">
        <is>
          <t>Webinar Date</t>
        </is>
      </c>
      <c r="B98" t="inlineStr">
        <is>
          <t>8 - Activity Detail</t>
        </is>
      </c>
    </row>
    <row r="99">
      <c r="A99" t="inlineStr">
        <is>
          <t>Transaction Date</t>
        </is>
      </c>
      <c r="B99" t="inlineStr">
        <is>
          <t>8 - Activity Detail</t>
        </is>
      </c>
    </row>
    <row r="100">
      <c r="A100" t="inlineStr">
        <is>
          <t>On-Demand View Date</t>
        </is>
      </c>
      <c r="B100" t="inlineStr">
        <is>
          <t>8 - Activity Detail</t>
        </is>
      </c>
    </row>
    <row r="101">
      <c r="A101" t="inlineStr">
        <is>
          <t>Registration Date</t>
        </is>
      </c>
      <c r="B101" t="inlineStr">
        <is>
          <t>8 - Activity Detail</t>
        </is>
      </c>
    </row>
    <row r="102">
      <c r="A102" t="inlineStr">
        <is>
          <t>C_ECID</t>
        </is>
      </c>
      <c r="B102" t="inlineStr">
        <is>
          <t>6 - Future Tracking Parameters</t>
        </is>
      </c>
    </row>
    <row r="103">
      <c r="A103" t="inlineStr">
        <is>
          <t>C_FPID</t>
        </is>
      </c>
      <c r="B103" t="inlineStr">
        <is>
          <t>6 - Future Tracking Parameters</t>
        </is>
      </c>
    </row>
    <row r="104">
      <c r="A104" t="inlineStr">
        <is>
          <t>Call to Action URL</t>
        </is>
      </c>
      <c r="B104" t="inlineStr">
        <is>
          <t>6 - Future Tracking Parameters</t>
        </is>
      </c>
    </row>
    <row r="105">
      <c r="A105" t="inlineStr">
        <is>
          <t>CP_GUTC</t>
        </is>
      </c>
      <c r="B105" t="inlineStr">
        <is>
          <t>6 - Future Tracking Parameters</t>
        </is>
      </c>
    </row>
    <row r="106">
      <c r="A106" t="inlineStr">
        <is>
          <t>Entry URL</t>
        </is>
      </c>
      <c r="B106" t="inlineStr">
        <is>
          <t>6 - Future Tracking Parameters</t>
        </is>
      </c>
    </row>
    <row r="107">
      <c r="A107" t="inlineStr">
        <is>
          <t>Gated Page URL</t>
        </is>
      </c>
      <c r="B107" t="inlineStr">
        <is>
          <t>6 - Future Tracking Parameters</t>
        </is>
      </c>
    </row>
    <row r="108">
      <c r="A108" t="inlineStr">
        <is>
          <t>Google Click ID</t>
        </is>
      </c>
      <c r="B108" t="inlineStr">
        <is>
          <t>6 - Future Tracking Parameters</t>
        </is>
      </c>
    </row>
    <row r="109">
      <c r="A109" t="inlineStr">
        <is>
          <t>Link Click ID</t>
        </is>
      </c>
      <c r="B109" t="inlineStr">
        <is>
          <t>6 - Future Tracking Parameters</t>
        </is>
      </c>
    </row>
    <row r="110">
      <c r="A110" t="inlineStr">
        <is>
          <t>Source Domain</t>
        </is>
      </c>
      <c r="B110" t="inlineStr">
        <is>
          <t>6 - Future Tracking Parameters</t>
        </is>
      </c>
    </row>
    <row r="111">
      <c r="A111" t="inlineStr">
        <is>
          <t>utm_campaign</t>
        </is>
      </c>
      <c r="B111" t="inlineStr">
        <is>
          <t>6 - Future Tracking Parameters</t>
        </is>
      </c>
    </row>
    <row r="112">
      <c r="A112" t="inlineStr">
        <is>
          <t>utm_content</t>
        </is>
      </c>
      <c r="B112" t="inlineStr">
        <is>
          <t>6 - Future Tracking Parameters</t>
        </is>
      </c>
    </row>
    <row r="113">
      <c r="A113" t="inlineStr">
        <is>
          <t>utm_creative</t>
        </is>
      </c>
      <c r="B113" t="inlineStr">
        <is>
          <t>6 - Future Tracking Parameters</t>
        </is>
      </c>
    </row>
    <row r="114">
      <c r="A114" t="inlineStr">
        <is>
          <t>utm_medium</t>
        </is>
      </c>
      <c r="B114" t="inlineStr">
        <is>
          <t>6 - Future Tracking Parameters</t>
        </is>
      </c>
    </row>
    <row r="115">
      <c r="A115" t="inlineStr">
        <is>
          <t>utm_source</t>
        </is>
      </c>
      <c r="B115" t="inlineStr">
        <is>
          <t>6 - Future Tracking Parameters</t>
        </is>
      </c>
    </row>
    <row r="116">
      <c r="A116" t="inlineStr">
        <is>
          <t>utm_term</t>
        </is>
      </c>
      <c r="B116" t="inlineStr">
        <is>
          <t>6 - Future Tracking Parameters</t>
        </is>
      </c>
    </row>
    <row r="117">
      <c r="A117" t="inlineStr">
        <is>
          <t>Enquiry Type</t>
        </is>
      </c>
      <c r="B117" t="inlineStr">
        <is>
          <t>8 - Activity Detail</t>
        </is>
      </c>
    </row>
    <row r="118">
      <c r="A118" t="inlineStr">
        <is>
          <t>Language</t>
        </is>
      </c>
      <c r="B118" t="inlineStr">
        <is>
          <t>8 - Activity Detail</t>
        </is>
      </c>
    </row>
    <row r="119">
      <c r="A119" t="inlineStr">
        <is>
          <t>Sales Conversation Interest</t>
        </is>
      </c>
      <c r="B119" t="inlineStr">
        <is>
          <t>8 - Activity Detail</t>
        </is>
      </c>
    </row>
    <row r="120">
      <c r="A120" t="inlineStr">
        <is>
          <t>Funnel Stage</t>
        </is>
      </c>
      <c r="B120" t="inlineStr">
        <is>
          <t>8 - Activity Detail</t>
        </is>
      </c>
    </row>
    <row r="121">
      <c r="A121" t="inlineStr">
        <is>
          <t>Marketing Automation Tool Form ID</t>
        </is>
      </c>
      <c r="B121" t="inlineStr">
        <is>
          <t>8 - Activity Detail</t>
        </is>
      </c>
    </row>
    <row r="122">
      <c r="A122" t="inlineStr">
        <is>
          <t>Marketing Automation Tool Email ID</t>
        </is>
      </c>
      <c r="B122" t="inlineStr">
        <is>
          <t>8 - Activity Detail</t>
        </is>
      </c>
    </row>
    <row r="123">
      <c r="A123" t="inlineStr">
        <is>
          <t>Marketing Automation Tool Landing Page ID</t>
        </is>
      </c>
      <c r="B123" t="inlineStr">
        <is>
          <t>8 - Activity Detail</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G4" sqref="G4"/>
    </sheetView>
  </sheetViews>
  <sheetFormatPr baseColWidth="8" defaultRowHeight="14.25"/>
  <cols>
    <col width="13" customWidth="1" style="7" min="1" max="1"/>
    <col width="33" customWidth="1" style="7" min="2" max="2"/>
    <col width="21" customWidth="1" style="7" min="3" max="3"/>
    <col width="17" customWidth="1" style="7" min="4" max="4"/>
    <col width="21" customWidth="1" style="7" min="5" max="5"/>
    <col width="25" customWidth="1" style="7" min="6" max="6"/>
    <col width="20" customWidth="1" style="7" min="7" max="7"/>
    <col width="22" customWidth="1" style="7" min="8" max="8"/>
  </cols>
  <sheetData>
    <row r="1">
      <c r="A1" s="3" t="inlineStr">
        <is>
          <t>Use Case ID</t>
        </is>
      </c>
      <c r="B1" s="11" t="inlineStr">
        <is>
          <t>Sheet Name</t>
        </is>
      </c>
      <c r="C1" s="3" t="inlineStr">
        <is>
          <t>Process</t>
        </is>
      </c>
      <c r="D1" s="3" t="inlineStr">
        <is>
          <t>Lead Category</t>
        </is>
      </c>
      <c r="E1" s="3" t="inlineStr">
        <is>
          <t>Use Case</t>
        </is>
      </c>
      <c r="F1" s="3" t="inlineStr">
        <is>
          <t>Activity Type</t>
        </is>
      </c>
      <c r="G1" s="3" t="inlineStr">
        <is>
          <t>Data Element Count</t>
        </is>
      </c>
      <c r="H1" s="3" t="inlineStr">
        <is>
          <t>Open Questions Count</t>
        </is>
      </c>
    </row>
    <row r="2">
      <c r="A2" t="inlineStr">
        <is>
          <t>UC01</t>
        </is>
      </c>
      <c r="B2" s="14">
        <f t="array" ref="B2">_xlfn.TEXTAFTER(CELL("filename", 'UC01 Content Syndication Attend'!$A$1), "]")</f>
        <v/>
      </c>
      <c r="C2" t="inlineStr">
        <is>
          <t>Content Syndication</t>
        </is>
      </c>
      <c r="D2" t="inlineStr">
        <is>
          <t>Hand Raiser</t>
        </is>
      </c>
      <c r="E2" t="inlineStr">
        <is>
          <t>Content Syndication</t>
        </is>
      </c>
      <c r="F2" t="inlineStr">
        <is>
          <t>Attended on Demand</t>
        </is>
      </c>
      <c r="G2">
        <f>COUNTIF(OFFSET('Data Element Matrix'!$B$4:$B$520, 0, ROW() - 2), "✓")</f>
        <v/>
      </c>
      <c r="H2" t="n">
        <v>6</v>
      </c>
    </row>
    <row r="3">
      <c r="A3" t="inlineStr">
        <is>
          <t>UC02</t>
        </is>
      </c>
      <c r="B3" s="14">
        <f t="array" ref="B3">_xlfn.TEXTAFTER(CELL("filename", 'UC02 Content Syndication Form S'!$A$1), "]")</f>
        <v/>
      </c>
      <c r="C3" t="inlineStr">
        <is>
          <t>Content Syndication</t>
        </is>
      </c>
      <c r="D3" t="inlineStr">
        <is>
          <t>Hand Raiser</t>
        </is>
      </c>
      <c r="E3" t="inlineStr">
        <is>
          <t>Content Syndication</t>
        </is>
      </c>
      <c r="F3" t="inlineStr">
        <is>
          <t>Form Submit</t>
        </is>
      </c>
      <c r="G3">
        <f>COUNTIF(OFFSET('Data Element Matrix'!$B$4:$B$520, 0, ROW() - 2), "✓")</f>
        <v/>
      </c>
      <c r="H3" t="n">
        <v>6</v>
      </c>
    </row>
    <row r="4">
      <c r="A4" t="inlineStr">
        <is>
          <t>UC03</t>
        </is>
      </c>
      <c r="B4" s="14">
        <f t="array" ref="B4">_xlfn.TEXTAFTER(CELL("filename", 'UC03 Content Syndication Attend'!$A$1), "]")</f>
        <v/>
      </c>
      <c r="C4" t="inlineStr">
        <is>
          <t>Content Syndication</t>
        </is>
      </c>
      <c r="D4" t="inlineStr">
        <is>
          <t>Non-Hand Raiser</t>
        </is>
      </c>
      <c r="E4" t="inlineStr">
        <is>
          <t>Content Syndication</t>
        </is>
      </c>
      <c r="F4" t="inlineStr">
        <is>
          <t>Attended on Demand</t>
        </is>
      </c>
      <c r="G4">
        <f>COUNTIF(OFFSET('Data Element Matrix'!$B$4:$B$520, 0, ROW() - 2), "✓")</f>
        <v/>
      </c>
      <c r="H4" t="n">
        <v>6</v>
      </c>
    </row>
    <row r="5">
      <c r="A5" t="inlineStr">
        <is>
          <t>UC04</t>
        </is>
      </c>
      <c r="B5" s="14">
        <f t="array" ref="B5">_xlfn.TEXTAFTER(CELL("filename", 'UC04 Content Syndication Form S'!$A$1), "]")</f>
        <v/>
      </c>
      <c r="C5" t="inlineStr">
        <is>
          <t>Content Syndication</t>
        </is>
      </c>
      <c r="D5" t="inlineStr">
        <is>
          <t>Non-Hand Raiser</t>
        </is>
      </c>
      <c r="E5" t="inlineStr">
        <is>
          <t>Content Syndication</t>
        </is>
      </c>
      <c r="F5" t="inlineStr">
        <is>
          <t>Form Submit</t>
        </is>
      </c>
      <c r="G5">
        <f>COUNTIF(OFFSET('Data Element Matrix'!$B$4:$B$520, 0, ROW() - 2), "✓")</f>
        <v/>
      </c>
      <c r="H5" t="n">
        <v>6</v>
      </c>
    </row>
    <row r="6">
      <c r="A6" t="inlineStr">
        <is>
          <t>UC05</t>
        </is>
      </c>
      <c r="B6" s="14">
        <f t="array" ref="B6">_xlfn.TEXTAFTER(CELL("filename", 'UC05 1st Party Events Follow-Up'!$A$1), "]")</f>
        <v/>
      </c>
      <c r="C6" t="inlineStr">
        <is>
          <t>Manual Uploads</t>
        </is>
      </c>
      <c r="D6" t="inlineStr">
        <is>
          <t>Hand Raiser</t>
        </is>
      </c>
      <c r="E6" t="inlineStr">
        <is>
          <t>1st Party Events</t>
        </is>
      </c>
      <c r="F6" t="inlineStr">
        <is>
          <t>Follow-Up Requested</t>
        </is>
      </c>
      <c r="G6">
        <f>COUNTIF(OFFSET('Data Element Matrix'!$B$4:$B$520, 0, ROW() - 2), "✓")</f>
        <v/>
      </c>
      <c r="H6" t="n">
        <v>15</v>
      </c>
    </row>
    <row r="7">
      <c r="A7" t="inlineStr">
        <is>
          <t>UC06</t>
        </is>
      </c>
      <c r="B7" s="14">
        <f t="array" ref="B7">_xlfn.TEXTAFTER(CELL("filename", 'UC06 3rd Party Events Follow-Up'!$A$1), "]")</f>
        <v/>
      </c>
      <c r="C7" t="inlineStr">
        <is>
          <t>Manual Uploads</t>
        </is>
      </c>
      <c r="D7" t="inlineStr">
        <is>
          <t>Hand Raiser</t>
        </is>
      </c>
      <c r="E7" t="inlineStr">
        <is>
          <t>3rd Party Events</t>
        </is>
      </c>
      <c r="F7" t="inlineStr">
        <is>
          <t>Follow-Up Requested</t>
        </is>
      </c>
      <c r="G7">
        <f>COUNTIF(OFFSET('Data Element Matrix'!$B$4:$B$520, 0, ROW() - 2), "✓")</f>
        <v/>
      </c>
      <c r="H7" t="n">
        <v>15</v>
      </c>
    </row>
    <row r="8">
      <c r="A8" t="inlineStr">
        <is>
          <t>UC07</t>
        </is>
      </c>
      <c r="B8" s="14">
        <f t="array" ref="B8">_xlfn.TEXTAFTER(CELL("filename", 'UC07 Paid Leads Follow-Up Reque'!$A$1), "]")</f>
        <v/>
      </c>
      <c r="C8" t="inlineStr">
        <is>
          <t>Manual Uploads</t>
        </is>
      </c>
      <c r="D8" t="inlineStr">
        <is>
          <t>Hand Raiser</t>
        </is>
      </c>
      <c r="E8" t="inlineStr">
        <is>
          <t>Paid Leads</t>
        </is>
      </c>
      <c r="F8" t="inlineStr">
        <is>
          <t>Follow-Up Requested</t>
        </is>
      </c>
      <c r="G8">
        <f>COUNTIF(OFFSET('Data Element Matrix'!$B$4:$B$520, 0, ROW() - 2), "✓")</f>
        <v/>
      </c>
      <c r="H8" t="n">
        <v>14</v>
      </c>
    </row>
    <row r="9">
      <c r="A9" t="inlineStr">
        <is>
          <t>UC08</t>
        </is>
      </c>
      <c r="B9" s="14">
        <f t="array" ref="B9">_xlfn.TEXTAFTER(CELL("filename", 'UC08 Webinars Follow-Up Request'!$A$1), "]")</f>
        <v/>
      </c>
      <c r="C9" t="inlineStr">
        <is>
          <t>Manual Uploads</t>
        </is>
      </c>
      <c r="D9" t="inlineStr">
        <is>
          <t>Hand Raiser</t>
        </is>
      </c>
      <c r="E9" t="inlineStr">
        <is>
          <t>Webinars</t>
        </is>
      </c>
      <c r="F9" t="inlineStr">
        <is>
          <t>Follow-Up Requested</t>
        </is>
      </c>
      <c r="G9">
        <f>COUNTIF(OFFSET('Data Element Matrix'!$B$4:$B$520, 0, ROW() - 2), "✓")</f>
        <v/>
      </c>
      <c r="H9" t="n">
        <v>14</v>
      </c>
    </row>
    <row r="10">
      <c r="A10" t="inlineStr">
        <is>
          <t>UC09</t>
        </is>
      </c>
      <c r="B10" s="14">
        <f t="array" ref="B10">_xlfn.TEXTAFTER(CELL("filename", 'UC09 1st Party Events Attended '!$A$1), "]")</f>
        <v/>
      </c>
      <c r="C10" t="inlineStr">
        <is>
          <t>Manual Uploads</t>
        </is>
      </c>
      <c r="D10" t="inlineStr">
        <is>
          <t>Non-Hand Raiser</t>
        </is>
      </c>
      <c r="E10" t="inlineStr">
        <is>
          <t>1st Party Events</t>
        </is>
      </c>
      <c r="F10" t="inlineStr">
        <is>
          <t>Attended Live In-Person</t>
        </is>
      </c>
      <c r="G10">
        <f>COUNTIF(OFFSET('Data Element Matrix'!$B$4:$B$520, 0, ROW() - 2), "✓")</f>
        <v/>
      </c>
      <c r="H10" t="n">
        <v>17</v>
      </c>
    </row>
    <row r="11">
      <c r="A11" t="inlineStr">
        <is>
          <t>UC10</t>
        </is>
      </c>
      <c r="B11" s="14">
        <f t="array" ref="B11">_xlfn.TEXTAFTER(CELL("filename", 'UC10 1st Party Events Attended '!$A$1), "]")</f>
        <v/>
      </c>
      <c r="C11" t="inlineStr">
        <is>
          <t>Manual Uploads</t>
        </is>
      </c>
      <c r="D11" t="inlineStr">
        <is>
          <t>Non-Hand Raiser</t>
        </is>
      </c>
      <c r="E11" t="inlineStr">
        <is>
          <t>1st Party Events</t>
        </is>
      </c>
      <c r="F11" t="inlineStr">
        <is>
          <t>Attended Live Virtual</t>
        </is>
      </c>
      <c r="G11">
        <f>COUNTIF(OFFSET('Data Element Matrix'!$B$4:$B$520, 0, ROW() - 2), "✓")</f>
        <v/>
      </c>
      <c r="H11" t="n">
        <v>17</v>
      </c>
    </row>
    <row r="12">
      <c r="A12" t="inlineStr">
        <is>
          <t>UC11</t>
        </is>
      </c>
      <c r="B12" s="14">
        <f t="array" ref="B12">_xlfn.TEXTAFTER(CELL("filename", 'UC11 1st Party Events Attended '!$A$1), "]")</f>
        <v/>
      </c>
      <c r="C12" t="inlineStr">
        <is>
          <t>Manual Uploads</t>
        </is>
      </c>
      <c r="D12" t="inlineStr">
        <is>
          <t>Non-Hand Raiser</t>
        </is>
      </c>
      <c r="E12" t="inlineStr">
        <is>
          <t>1st Party Events</t>
        </is>
      </c>
      <c r="F12" t="inlineStr">
        <is>
          <t>Attended Session</t>
        </is>
      </c>
      <c r="G12">
        <f>COUNTIF(OFFSET('Data Element Matrix'!$B$4:$B$520, 0, ROW() - 2), "✓")</f>
        <v/>
      </c>
      <c r="H12" t="n">
        <v>18</v>
      </c>
    </row>
    <row r="13">
      <c r="A13" t="inlineStr">
        <is>
          <t>UC12</t>
        </is>
      </c>
      <c r="B13" s="14">
        <f t="array" ref="B13">_xlfn.TEXTAFTER(CELL("filename", 'UC12 1st Party Events Booth Sca'!$A$1), "]")</f>
        <v/>
      </c>
      <c r="C13" t="inlineStr">
        <is>
          <t>Manual Uploads</t>
        </is>
      </c>
      <c r="D13" t="inlineStr">
        <is>
          <t>Non-Hand Raiser</t>
        </is>
      </c>
      <c r="E13" t="inlineStr">
        <is>
          <t>1st Party Events</t>
        </is>
      </c>
      <c r="F13" t="inlineStr">
        <is>
          <t>Booth Scan</t>
        </is>
      </c>
      <c r="G13">
        <f>COUNTIF(OFFSET('Data Element Matrix'!$B$4:$B$520, 0, ROW() - 2), "✓")</f>
        <v/>
      </c>
      <c r="H13" t="n">
        <v>18</v>
      </c>
    </row>
    <row r="14">
      <c r="A14" t="inlineStr">
        <is>
          <t>UC13</t>
        </is>
      </c>
      <c r="B14" s="14">
        <f t="array" ref="B14">_xlfn.TEXTAFTER(CELL("filename", 'UC13 1st Party Events Registere'!$A$1), "]")</f>
        <v/>
      </c>
      <c r="C14" t="inlineStr">
        <is>
          <t>Manual Uploads</t>
        </is>
      </c>
      <c r="D14" t="inlineStr">
        <is>
          <t>Non-Hand Raiser</t>
        </is>
      </c>
      <c r="E14" t="inlineStr">
        <is>
          <t>1st Party Events</t>
        </is>
      </c>
      <c r="F14" t="inlineStr">
        <is>
          <t>Registered</t>
        </is>
      </c>
      <c r="G14">
        <f>COUNTIF(OFFSET('Data Element Matrix'!$B$4:$B$520, 0, ROW() - 2), "✓")</f>
        <v/>
      </c>
      <c r="H14" t="n">
        <v>16</v>
      </c>
    </row>
    <row r="15">
      <c r="A15" t="inlineStr">
        <is>
          <t>UC14</t>
        </is>
      </c>
      <c r="B15" s="14">
        <f t="array" ref="B15">_xlfn.TEXTAFTER(CELL("filename", 'UC14 3rd Party Events Attended '!$A$1), "]")</f>
        <v/>
      </c>
      <c r="C15" t="inlineStr">
        <is>
          <t>Manual Uploads</t>
        </is>
      </c>
      <c r="D15" t="inlineStr">
        <is>
          <t>Non-Hand Raiser</t>
        </is>
      </c>
      <c r="E15" t="inlineStr">
        <is>
          <t>3rd Party Events</t>
        </is>
      </c>
      <c r="F15" t="inlineStr">
        <is>
          <t>Attended CXO Event</t>
        </is>
      </c>
      <c r="G15">
        <f>COUNTIF(OFFSET('Data Element Matrix'!$B$4:$B$520, 0, ROW() - 2), "✓")</f>
        <v/>
      </c>
      <c r="H15" t="n">
        <v>17</v>
      </c>
    </row>
    <row r="16">
      <c r="A16" t="inlineStr">
        <is>
          <t>UC15</t>
        </is>
      </c>
      <c r="B16" s="14">
        <f t="array" ref="B16">_xlfn.TEXTAFTER(CELL("filename", 'UC15 3rd Party Events Attended '!$A$1), "]")</f>
        <v/>
      </c>
      <c r="C16" t="inlineStr">
        <is>
          <t>Manual Uploads</t>
        </is>
      </c>
      <c r="D16" t="inlineStr">
        <is>
          <t>Non-Hand Raiser</t>
        </is>
      </c>
      <c r="E16" t="inlineStr">
        <is>
          <t>3rd Party Events</t>
        </is>
      </c>
      <c r="F16" t="inlineStr">
        <is>
          <t>Attended Meeting</t>
        </is>
      </c>
      <c r="G16">
        <f>COUNTIF(OFFSET('Data Element Matrix'!$B$4:$B$520, 0, ROW() - 2), "✓")</f>
        <v/>
      </c>
      <c r="H16" t="n">
        <v>19</v>
      </c>
    </row>
    <row r="17">
      <c r="A17" t="inlineStr">
        <is>
          <t>UC16</t>
        </is>
      </c>
      <c r="B17" s="14">
        <f t="array" ref="B17">_xlfn.TEXTAFTER(CELL("filename", 'UC16 3rd Party Events Attended '!$A$1), "]")</f>
        <v/>
      </c>
      <c r="C17" t="inlineStr">
        <is>
          <t>Manual Uploads</t>
        </is>
      </c>
      <c r="D17" t="inlineStr">
        <is>
          <t>Non-Hand Raiser</t>
        </is>
      </c>
      <c r="E17" t="inlineStr">
        <is>
          <t>3rd Party Events</t>
        </is>
      </c>
      <c r="F17" t="inlineStr">
        <is>
          <t>Attended Session</t>
        </is>
      </c>
      <c r="G17">
        <f>COUNTIF(OFFSET('Data Element Matrix'!$B$4:$B$520, 0, ROW() - 2), "✓")</f>
        <v/>
      </c>
      <c r="H17" t="n">
        <v>17</v>
      </c>
    </row>
    <row r="18">
      <c r="A18" t="inlineStr">
        <is>
          <t>UC17</t>
        </is>
      </c>
      <c r="B18" s="14">
        <f t="array" ref="B18">_xlfn.TEXTAFTER(CELL("filename", 'UC17 3rd Party Events Booth Sca'!$A$1), "]")</f>
        <v/>
      </c>
      <c r="C18" t="inlineStr">
        <is>
          <t>Manual Uploads</t>
        </is>
      </c>
      <c r="D18" t="inlineStr">
        <is>
          <t>Non-Hand Raiser</t>
        </is>
      </c>
      <c r="E18" t="inlineStr">
        <is>
          <t>3rd Party Events</t>
        </is>
      </c>
      <c r="F18" t="inlineStr">
        <is>
          <t>Booth Scan</t>
        </is>
      </c>
      <c r="G18">
        <f>COUNTIF(OFFSET('Data Element Matrix'!$B$4:$B$520, 0, ROW() - 2), "✓")</f>
        <v/>
      </c>
      <c r="H18" t="n">
        <v>18</v>
      </c>
    </row>
    <row r="19">
      <c r="A19" t="inlineStr">
        <is>
          <t>UC18</t>
        </is>
      </c>
      <c r="B19" s="14">
        <f t="array" ref="B19">_xlfn.TEXTAFTER(CELL("filename", 'UC18 3rd Party Events Contact R'!$A$1), "]")</f>
        <v/>
      </c>
      <c r="C19" t="inlineStr">
        <is>
          <t>Manual Uploads</t>
        </is>
      </c>
      <c r="D19" t="inlineStr">
        <is>
          <t>Non-Hand Raiser</t>
        </is>
      </c>
      <c r="E19" t="inlineStr">
        <is>
          <t>3rd Party Events</t>
        </is>
      </c>
      <c r="F19" t="inlineStr">
        <is>
          <t>Contact Registered</t>
        </is>
      </c>
      <c r="G19">
        <f>COUNTIF(OFFSET('Data Element Matrix'!$B$4:$B$520, 0, ROW() - 2), "✓")</f>
        <v/>
      </c>
      <c r="H19" t="n">
        <v>16</v>
      </c>
    </row>
    <row r="20">
      <c r="A20" t="inlineStr">
        <is>
          <t>UC19</t>
        </is>
      </c>
      <c r="B20" s="14">
        <f t="array" ref="B20">_xlfn.TEXTAFTER(CELL("filename", 'UC19 Event Sponsorships Attende'!$A$1), "]")</f>
        <v/>
      </c>
      <c r="C20" t="inlineStr">
        <is>
          <t>Manual Uploads</t>
        </is>
      </c>
      <c r="D20" t="inlineStr">
        <is>
          <t>Non-Hand Raiser</t>
        </is>
      </c>
      <c r="E20" t="inlineStr">
        <is>
          <t>Event Sponsorships</t>
        </is>
      </c>
      <c r="F20" t="inlineStr">
        <is>
          <t>Attended Live In-Person</t>
        </is>
      </c>
      <c r="G20">
        <f>COUNTIF(OFFSET('Data Element Matrix'!$B$4:$B$520, 0, ROW() - 2), "✓")</f>
        <v/>
      </c>
      <c r="H20" t="n">
        <v>17</v>
      </c>
    </row>
    <row r="21">
      <c r="A21" t="inlineStr">
        <is>
          <t>UC20</t>
        </is>
      </c>
      <c r="B21" s="14">
        <f t="array" ref="B21">_xlfn.TEXTAFTER(CELL("filename", 'UC20 Event Sponsorships Attende'!$A$1), "]")</f>
        <v/>
      </c>
      <c r="C21" t="inlineStr">
        <is>
          <t>Manual Uploads</t>
        </is>
      </c>
      <c r="D21" t="inlineStr">
        <is>
          <t>Non-Hand Raiser</t>
        </is>
      </c>
      <c r="E21" t="inlineStr">
        <is>
          <t>Event Sponsorships</t>
        </is>
      </c>
      <c r="F21" t="inlineStr">
        <is>
          <t>Attended Session</t>
        </is>
      </c>
      <c r="G21">
        <f>COUNTIF(OFFSET('Data Element Matrix'!$B$4:$B$520, 0, ROW() - 2), "✓")</f>
        <v/>
      </c>
      <c r="H21" t="n">
        <v>19</v>
      </c>
    </row>
    <row r="22">
      <c r="A22" t="inlineStr">
        <is>
          <t>UC21</t>
        </is>
      </c>
      <c r="B22" s="14">
        <f t="array" ref="B22">_xlfn.TEXTAFTER(CELL("filename", 'UC21 Event Sponsorships Registe'!$A$1), "]")</f>
        <v/>
      </c>
      <c r="C22" t="inlineStr">
        <is>
          <t>Manual Uploads</t>
        </is>
      </c>
      <c r="D22" t="inlineStr">
        <is>
          <t>Non-Hand Raiser</t>
        </is>
      </c>
      <c r="E22" t="inlineStr">
        <is>
          <t>Event Sponsorships</t>
        </is>
      </c>
      <c r="F22" t="inlineStr">
        <is>
          <t>Registered</t>
        </is>
      </c>
      <c r="G22">
        <f>COUNTIF(OFFSET('Data Element Matrix'!$B$4:$B$520, 0, ROW() - 2), "✓")</f>
        <v/>
      </c>
      <c r="H22" t="n">
        <v>16</v>
      </c>
    </row>
    <row r="23">
      <c r="A23" t="inlineStr">
        <is>
          <t>UC22</t>
        </is>
      </c>
      <c r="B23" s="14">
        <f t="array" ref="B23">_xlfn.TEXTAFTER(CELL("filename", 'UC22 Webinars Attended Live Vir'!$A$1), "]")</f>
        <v/>
      </c>
      <c r="C23" t="inlineStr">
        <is>
          <t>Manual Uploads</t>
        </is>
      </c>
      <c r="D23" t="inlineStr">
        <is>
          <t>Non-Hand Raiser</t>
        </is>
      </c>
      <c r="E23" t="inlineStr">
        <is>
          <t>Webinars</t>
        </is>
      </c>
      <c r="F23" t="inlineStr">
        <is>
          <t>Attended Live Virtual</t>
        </is>
      </c>
      <c r="G23">
        <f>COUNTIF(OFFSET('Data Element Matrix'!$B$4:$B$520, 0, ROW() - 2), "✓")</f>
        <v/>
      </c>
      <c r="H23" t="n">
        <v>19</v>
      </c>
    </row>
    <row r="24">
      <c r="A24" t="inlineStr">
        <is>
          <t>UC23</t>
        </is>
      </c>
      <c r="B24" s="14">
        <f t="array" ref="B24">_xlfn.TEXTAFTER(CELL("filename", 'UC23 Webinars Attended On-Deman'!$A$1), "]")</f>
        <v/>
      </c>
      <c r="C24" t="inlineStr">
        <is>
          <t>Manual Uploads</t>
        </is>
      </c>
      <c r="D24" t="inlineStr">
        <is>
          <t>Non-Hand Raiser</t>
        </is>
      </c>
      <c r="E24" t="inlineStr">
        <is>
          <t>Webinars</t>
        </is>
      </c>
      <c r="F24" t="inlineStr">
        <is>
          <t>Attended On-Demand</t>
        </is>
      </c>
      <c r="G24">
        <f>COUNTIF(OFFSET('Data Element Matrix'!$B$4:$B$520, 0, ROW() - 2), "✓")</f>
        <v/>
      </c>
      <c r="H24" t="n">
        <v>18</v>
      </c>
    </row>
    <row r="25">
      <c r="A25" t="inlineStr">
        <is>
          <t>UC24</t>
        </is>
      </c>
      <c r="B25" s="14">
        <f t="array" ref="B25">_xlfn.TEXTAFTER(CELL("filename", 'UC24 Webinars Registered'!$A$1), "]")</f>
        <v/>
      </c>
      <c r="C25" t="inlineStr">
        <is>
          <t>Manual Uploads</t>
        </is>
      </c>
      <c r="D25" t="inlineStr">
        <is>
          <t>Non-Hand Raiser</t>
        </is>
      </c>
      <c r="E25" t="inlineStr">
        <is>
          <t>Webinars</t>
        </is>
      </c>
      <c r="F25" t="inlineStr">
        <is>
          <t>Registered</t>
        </is>
      </c>
      <c r="G25">
        <f>COUNTIF(OFFSET('Data Element Matrix'!$B$4:$B$520, 0, ROW() - 2), "✓")</f>
        <v/>
      </c>
      <c r="H25" t="n">
        <v>15</v>
      </c>
    </row>
    <row r="26">
      <c r="A26" t="inlineStr">
        <is>
          <t>UC25</t>
        </is>
      </c>
      <c r="B26" s="14">
        <f t="array" ref="B26">_xlfn.TEXTAFTER(CELL("filename", 'UC25 Offers - Contact Us Form S'!$A$1), "]")</f>
        <v/>
      </c>
      <c r="C26" t="inlineStr">
        <is>
          <t>Online Forms</t>
        </is>
      </c>
      <c r="D26" t="inlineStr">
        <is>
          <t>Hand Raiser</t>
        </is>
      </c>
      <c r="E26" t="inlineStr">
        <is>
          <t>Offers - Contact Us</t>
        </is>
      </c>
      <c r="F26" t="inlineStr">
        <is>
          <t>Form Submit</t>
        </is>
      </c>
      <c r="G26">
        <f>COUNTIF(OFFSET('Data Element Matrix'!$B$4:$B$520, 0, ROW() - 2), "✓")</f>
        <v/>
      </c>
      <c r="H26" t="n">
        <v>6</v>
      </c>
    </row>
    <row r="27">
      <c r="A27" t="inlineStr">
        <is>
          <t>UC26</t>
        </is>
      </c>
      <c r="B27" s="14">
        <f t="array" ref="B27">_xlfn.TEXTAFTER(CELL("filename", 'UC26 Offers - Demo Form Submit'!$A$1), "]")</f>
        <v/>
      </c>
      <c r="C27" t="inlineStr">
        <is>
          <t>Online Forms</t>
        </is>
      </c>
      <c r="D27" t="inlineStr">
        <is>
          <t>Hand Raiser</t>
        </is>
      </c>
      <c r="E27" t="inlineStr">
        <is>
          <t>Offers - Demo</t>
        </is>
      </c>
      <c r="F27" t="inlineStr">
        <is>
          <t>Form Submit</t>
        </is>
      </c>
      <c r="G27">
        <f>COUNTIF(OFFSET('Data Element Matrix'!$B$4:$B$520, 0, ROW() - 2), "✓")</f>
        <v/>
      </c>
      <c r="H27" t="n">
        <v>5</v>
      </c>
    </row>
    <row r="28">
      <c r="A28" t="inlineStr">
        <is>
          <t>UC27</t>
        </is>
      </c>
      <c r="B28" s="14">
        <f t="array" ref="B28">_xlfn.TEXTAFTER(CELL("filename", 'UC27 Offers - Offer Form Submit'!$A$1), "]")</f>
        <v/>
      </c>
      <c r="C28" t="inlineStr">
        <is>
          <t>Online Forms</t>
        </is>
      </c>
      <c r="D28" t="inlineStr">
        <is>
          <t>Hand Raiser</t>
        </is>
      </c>
      <c r="E28" t="inlineStr">
        <is>
          <t>Offers - Offer</t>
        </is>
      </c>
      <c r="F28" t="inlineStr">
        <is>
          <t>Form Submit</t>
        </is>
      </c>
      <c r="G28">
        <f>COUNTIF(OFFSET('Data Element Matrix'!$B$4:$B$520, 0, ROW() - 2), "✓")</f>
        <v/>
      </c>
      <c r="H28" t="n">
        <v>0</v>
      </c>
    </row>
    <row r="29">
      <c r="A29" t="inlineStr">
        <is>
          <t>UC28</t>
        </is>
      </c>
      <c r="B29" s="14">
        <f t="array" ref="B29">_xlfn.TEXTAFTER(CELL("filename", 'UC28 Offers - Other Form Submit'!$A$1), "]")</f>
        <v/>
      </c>
      <c r="C29" t="inlineStr">
        <is>
          <t>Online Forms</t>
        </is>
      </c>
      <c r="D29" t="inlineStr">
        <is>
          <t>Hand Raiser</t>
        </is>
      </c>
      <c r="E29" t="inlineStr">
        <is>
          <t>Offers - Other</t>
        </is>
      </c>
      <c r="F29" t="inlineStr">
        <is>
          <t>Form Submit</t>
        </is>
      </c>
      <c r="G29">
        <f>COUNTIF(OFFSET('Data Element Matrix'!$B$4:$B$520, 0, ROW() - 2), "✓")</f>
        <v/>
      </c>
      <c r="H29" t="n">
        <v>1</v>
      </c>
    </row>
    <row r="30">
      <c r="A30" t="inlineStr">
        <is>
          <t>UC29</t>
        </is>
      </c>
      <c r="B30" s="14">
        <f t="array" ref="B30">_xlfn.TEXTAFTER(CELL("filename", 'UC29 Offers - Others Form Submi'!$A$1), "]")</f>
        <v/>
      </c>
      <c r="C30" t="inlineStr">
        <is>
          <t>Online Forms</t>
        </is>
      </c>
      <c r="D30" t="inlineStr">
        <is>
          <t>Hand Raiser</t>
        </is>
      </c>
      <c r="E30" t="inlineStr">
        <is>
          <t>Offers - Others</t>
        </is>
      </c>
      <c r="F30" t="inlineStr">
        <is>
          <t>Form Submit</t>
        </is>
      </c>
      <c r="G30">
        <f>COUNTIF(OFFSET('Data Element Matrix'!$B$4:$B$520, 0, ROW() - 2), "✓")</f>
        <v/>
      </c>
      <c r="H30" t="n">
        <v>4</v>
      </c>
    </row>
    <row r="31">
      <c r="A31" t="inlineStr">
        <is>
          <t>UC30</t>
        </is>
      </c>
      <c r="B31" s="14">
        <f t="array" ref="B31">_xlfn.TEXTAFTER(CELL("filename", 'UC30 Offers - Promotion Form Su'!$A$1), "]")</f>
        <v/>
      </c>
      <c r="C31" t="inlineStr">
        <is>
          <t>Online Forms</t>
        </is>
      </c>
      <c r="D31" t="inlineStr">
        <is>
          <t>Hand Raiser</t>
        </is>
      </c>
      <c r="E31" t="inlineStr">
        <is>
          <t>Offers - Promotion</t>
        </is>
      </c>
      <c r="F31" t="inlineStr">
        <is>
          <t>Form Submit</t>
        </is>
      </c>
      <c r="G31">
        <f>COUNTIF(OFFSET('Data Element Matrix'!$B$4:$B$520, 0, ROW() - 2), "✓")</f>
        <v/>
      </c>
      <c r="H31" t="n">
        <v>5</v>
      </c>
    </row>
    <row r="32">
      <c r="A32" t="inlineStr">
        <is>
          <t>UC31</t>
        </is>
      </c>
      <c r="B32" s="14">
        <f t="array" ref="B32">_xlfn.TEXTAFTER(CELL("filename", 'UC31 Offers - Trial Form Submit'!$A$1), "]")</f>
        <v/>
      </c>
      <c r="C32" t="inlineStr">
        <is>
          <t>Online Forms</t>
        </is>
      </c>
      <c r="D32" t="inlineStr">
        <is>
          <t>Hand Raiser</t>
        </is>
      </c>
      <c r="E32" t="inlineStr">
        <is>
          <t>Offers - Trial</t>
        </is>
      </c>
      <c r="F32" t="inlineStr">
        <is>
          <t>Form Submit</t>
        </is>
      </c>
      <c r="G32">
        <f>COUNTIF(OFFSET('Data Element Matrix'!$B$4:$B$520, 0, ROW() - 2), "✓")</f>
        <v/>
      </c>
      <c r="H32" t="n">
        <v>4</v>
      </c>
    </row>
    <row r="33">
      <c r="A33" t="inlineStr">
        <is>
          <t>UC32</t>
        </is>
      </c>
      <c r="B33" s="14">
        <f t="array" ref="B33">_xlfn.TEXTAFTER(CELL("filename", 'UC32 Offers - Trials Form Submi'!$A$1), "]")</f>
        <v/>
      </c>
      <c r="C33" t="inlineStr">
        <is>
          <t>Online Forms</t>
        </is>
      </c>
      <c r="D33" t="inlineStr">
        <is>
          <t>Hand Raiser</t>
        </is>
      </c>
      <c r="E33" t="inlineStr">
        <is>
          <t>Offers - Trials</t>
        </is>
      </c>
      <c r="F33" t="inlineStr">
        <is>
          <t>Form Submit</t>
        </is>
      </c>
      <c r="G33">
        <f>COUNTIF(OFFSET('Data Element Matrix'!$B$4:$B$520, 0, ROW() - 2), "✓")</f>
        <v/>
      </c>
      <c r="H33" t="n">
        <v>1</v>
      </c>
    </row>
  </sheetData>
  <autoFilter ref="A1:H33"/>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s>
  <pageMargins left="0.75" right="0.75" top="1" bottom="1" header="0.5" footer="0.5"/>
  <headerFooter>
    <oddHeader/>
    <oddFooter>&amp;R&amp;"Aptos"&amp;8 &amp;K000000_x000d_# Cisco Confidential</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Q84"/>
  <sheetViews>
    <sheetView workbookViewId="0">
      <pane ySplit="6" topLeftCell="A7" activePane="bottomLeft" state="frozen"/>
      <selection pane="bottomLeft" activeCell="C19" sqref="C19"/>
    </sheetView>
  </sheetViews>
  <sheetFormatPr baseColWidth="8" defaultRowHeight="14.25"/>
  <cols>
    <col width="50" customWidth="1" style="7" min="1" max="1"/>
    <col width="21" customWidth="1" style="7" min="2" max="2"/>
    <col width="50" customWidth="1" style="7" min="3" max="6"/>
    <col width="15"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UC01 — Content Syndication | Hand Raiser | Content Syndication | Attended on Demand</t>
        </is>
      </c>
    </row>
    <row r="2">
      <c r="A2" s="14" t="inlineStr">
        <is>
          <t>← Use Case Index</t>
        </is>
      </c>
      <c r="Q2" s="14" t="inlineStr">
        <is>
          <t>Data Element Matrix →</t>
        </is>
      </c>
    </row>
    <row r="3">
      <c r="A3" s="4" t="inlineStr">
        <is>
          <t>Process</t>
        </is>
      </c>
      <c r="B3" t="inlineStr">
        <is>
          <t>Content Syndication</t>
        </is>
      </c>
    </row>
    <row r="4">
      <c r="A4" s="4" t="inlineStr">
        <is>
          <t>Lead Category</t>
        </is>
      </c>
      <c r="B4" t="inlineStr">
        <is>
          <t>Hand Raiser</t>
        </is>
      </c>
    </row>
    <row r="5">
      <c r="A5" s="4" t="inlineStr">
        <is>
          <t>Use Case</t>
        </is>
      </c>
      <c r="B5" t="inlineStr">
        <is>
          <t>Content Syndication</t>
        </is>
      </c>
    </row>
    <row r="6">
      <c r="A6" s="4" t="inlineStr">
        <is>
          <t>Activity Type</t>
        </is>
      </c>
      <c r="B6" t="inlineStr">
        <is>
          <t>Attended on Demand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10" t="inlineStr">
        <is>
          <t>1 - System Classification</t>
        </is>
      </c>
    </row>
    <row r="9">
      <c r="A9" t="inlineStr">
        <is>
          <t>Activity Type</t>
        </is>
      </c>
      <c r="B9" t="inlineStr">
        <is>
          <t>Required</t>
        </is>
      </c>
      <c r="C9" t="inlineStr">
        <is>
          <t>To be able to align to lead scoring and attribution models</t>
        </is>
      </c>
      <c r="D9" t="inlineStr">
        <is>
          <t>Tray.io derived</t>
        </is>
      </c>
      <c r="E9" t="inlineStr">
        <is>
          <t>Set by Tray.io on receipt of submission from Integrate.</t>
        </is>
      </c>
      <c r="F9" t="inlineStr">
        <is>
          <t>What is the Activity we are aligning attribution to?</t>
        </is>
      </c>
      <c r="G9" t="inlineStr">
        <is>
          <t>Text</t>
        </is>
      </c>
      <c r="I9" t="inlineStr">
        <is>
          <t>Yes</t>
        </is>
      </c>
      <c r="J9" t="inlineStr">
        <is>
          <t>Yes</t>
        </is>
      </c>
      <c r="K9" t="inlineStr">
        <is>
          <t>Yes</t>
        </is>
      </c>
      <c r="M9" t="inlineStr">
        <is>
          <t>Yes</t>
        </is>
      </c>
    </row>
    <row r="10">
      <c r="A10" s="5" t="inlineStr">
        <is>
          <t>Use Case</t>
        </is>
      </c>
      <c r="B10" s="5" t="inlineStr">
        <is>
          <t>Derived</t>
        </is>
      </c>
      <c r="C10" s="5" t="inlineStr">
        <is>
          <t>Separated the type of Content Syndication for Attribution models to score separately</t>
        </is>
      </c>
      <c r="D10" s="5" t="inlineStr">
        <is>
          <t>Integrate Defined</t>
        </is>
      </c>
      <c r="E10" s="5" t="inlineStr">
        <is>
          <t>Set by Integrate</t>
        </is>
      </c>
      <c r="F10" s="5" t="inlineStr">
        <is>
          <t>What type of Content Syndication is this?</t>
        </is>
      </c>
      <c r="G10" s="5" t="inlineStr">
        <is>
          <t>Picklist/Text</t>
        </is>
      </c>
      <c r="H10" s="5" t="n"/>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10"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Marketing Automation ID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Customer Input</t>
        </is>
      </c>
      <c r="E17" s="5" t="inlineStr">
        <is>
          <t>Provided by Integrate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Customer Input</t>
        </is>
      </c>
      <c r="E18" t="inlineStr">
        <is>
          <t>Provided by Integrate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Customer Input</t>
        </is>
      </c>
      <c r="E19" s="5" t="inlineStr">
        <is>
          <t>Provided by Integrate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Derived</t>
        </is>
      </c>
      <c r="C20" t="inlineStr">
        <is>
          <t>Supports contact matching, enrichment, routing, and lead scoring</t>
        </is>
      </c>
      <c r="D20" t="inlineStr">
        <is>
          <t>Tray.io / Contact Database derived</t>
        </is>
      </c>
      <c r="E20" t="inlineStr">
        <is>
          <t>Tray.io appends from Contact Database or derived from Job Title when available.</t>
        </is>
      </c>
      <c r="F20" t="inlineStr">
        <is>
          <t>N/A - appended by Tray.io after upload</t>
        </is>
      </c>
      <c r="G20" t="inlineStr">
        <is>
          <t>System lookup</t>
        </is>
      </c>
      <c r="K20" t="inlineStr">
        <is>
          <t>Yes</t>
        </is>
      </c>
      <c r="L20" t="inlineStr">
        <is>
          <t>Yes</t>
        </is>
      </c>
      <c r="M20" t="inlineStr">
        <is>
          <t>Yes</t>
        </is>
      </c>
    </row>
    <row r="21">
      <c r="A21" s="5" t="inlineStr">
        <is>
          <t>Job Department</t>
        </is>
      </c>
      <c r="B21" s="5" t="inlineStr">
        <is>
          <t>Derived</t>
        </is>
      </c>
      <c r="C21" s="5" t="inlineStr">
        <is>
          <t>Supports contact matching, enrichment, routing, and lead scoring</t>
        </is>
      </c>
      <c r="D21" s="5" t="inlineStr">
        <is>
          <t>Tray.io / Contact Database derived</t>
        </is>
      </c>
      <c r="E21" s="5" t="inlineStr">
        <is>
          <t>Tray.io appends from Contact Database or derived from Job Title when available.</t>
        </is>
      </c>
      <c r="F21" s="5" t="inlineStr">
        <is>
          <t>N/A - appended by Tray.io after upload</t>
        </is>
      </c>
      <c r="G21" s="5" t="inlineStr">
        <is>
          <t>System lookup</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Customer Input</t>
        </is>
      </c>
      <c r="E22" t="inlineStr">
        <is>
          <t>Provided by Integrate</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Customer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10"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Integrate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Integrate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Integrate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Integrate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Integrate Input</t>
        </is>
      </c>
      <c r="E39" t="inlineStr">
        <is>
          <t>Provided by Integrate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inlineStr">
        <is>
          <t>Yes</t>
        </is>
      </c>
      <c r="M48" s="5" t="inlineStr">
        <is>
          <t>Yes</t>
        </is>
      </c>
      <c r="Q48" s="5" t="n"/>
    </row>
    <row r="49">
      <c r="A49" t="inlineStr">
        <is>
          <t>Phone Extension</t>
        </is>
      </c>
      <c r="B49" t="inlineStr">
        <is>
          <t>Optional</t>
        </is>
      </c>
      <c r="C49" t="inlineStr">
        <is>
          <t>Excluded from standard performance reporting</t>
        </is>
      </c>
      <c r="D49" t="inlineStr">
        <is>
          <t>Integrate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10" t="inlineStr">
        <is>
          <t>4 - Compliance / Permissions</t>
        </is>
      </c>
    </row>
    <row r="52">
      <c r="A52" t="inlineStr">
        <is>
          <t>Email Opt-In Permission</t>
        </is>
      </c>
      <c r="B52" t="inlineStr">
        <is>
          <t>Optional</t>
        </is>
      </c>
      <c r="C52" t="inlineStr">
        <is>
          <t>Supports consent, privacy, and compliance checks for manual-upload processing.</t>
        </is>
      </c>
      <c r="D52" t="inlineStr">
        <is>
          <t>Customer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Customer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n"/>
      <c r="I53" s="5" t="n"/>
      <c r="J53" s="5" t="n"/>
      <c r="K53" s="5" t="n"/>
      <c r="L53" s="5" t="inlineStr">
        <is>
          <t>Yes</t>
        </is>
      </c>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Customer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L54" t="inlineStr">
        <is>
          <t>Yes</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Customer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inlineStr">
        <is>
          <t>Yes</t>
        </is>
      </c>
      <c r="M55" s="5" t="inlineStr">
        <is>
          <t>Yes</t>
        </is>
      </c>
      <c r="Q55" s="5" t="n"/>
    </row>
    <row r="56">
      <c r="A56" t="inlineStr">
        <is>
          <t>Share Data with Cisco Affiliates and Suppliers (China Hand Raisers and Responses Only)</t>
        </is>
      </c>
    </row>
    <row r="57">
      <c r="A57" s="10"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inlineStr">
        <is>
          <t>Yes</t>
        </is>
      </c>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L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Integrate Input</t>
        </is>
      </c>
      <c r="E60" s="5" t="inlineStr">
        <is>
          <t>Mandatory Value from Integrate</t>
        </is>
      </c>
      <c r="F60" s="5" t="inlineStr">
        <is>
          <t>What is the  Activity ID for this activity?</t>
        </is>
      </c>
      <c r="G60" s="5" t="inlineStr">
        <is>
          <t>Text</t>
        </is>
      </c>
      <c r="H60" s="5" t="n"/>
      <c r="I60" s="5" t="inlineStr">
        <is>
          <t>Yes</t>
        </is>
      </c>
      <c r="J60" s="5" t="inlineStr">
        <is>
          <t>Yes</t>
        </is>
      </c>
      <c r="K60" s="5" t="inlineStr">
        <is>
          <t>Yes</t>
        </is>
      </c>
      <c r="L60" s="5" t="inlineStr">
        <is>
          <t>Yes</t>
        </is>
      </c>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L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inlineStr">
        <is>
          <t>Yes</t>
        </is>
      </c>
      <c r="M62" s="5" t="inlineStr">
        <is>
          <t>Yes</t>
        </is>
      </c>
      <c r="Q62" s="5" t="n"/>
    </row>
    <row r="63">
      <c r="A63" t="inlineStr">
        <is>
          <t>Drive To ID</t>
        </is>
      </c>
      <c r="B63" t="inlineStr">
        <is>
          <t>To Review</t>
        </is>
      </c>
      <c r="C63" t="inlineStr">
        <is>
          <t>Maintains legacy destination and drive-to reporting alignment during transition.</t>
        </is>
      </c>
      <c r="D63" t="inlineStr">
        <is>
          <t>Integrate Input</t>
        </is>
      </c>
      <c r="E63" t="inlineStr">
        <is>
          <t>Mandatory Value from Integrate</t>
        </is>
      </c>
      <c r="F63" t="inlineStr">
        <is>
          <t>What is the Drive To ID?</t>
        </is>
      </c>
      <c r="G63" t="inlineStr">
        <is>
          <t>Text</t>
        </is>
      </c>
      <c r="H63" t="inlineStr">
        <is>
          <t>We should be able to get the drive to information from the Channel ID - I think we can retire DTID for Content Syndication</t>
        </is>
      </c>
      <c r="I63" t="inlineStr">
        <is>
          <t>Yes</t>
        </is>
      </c>
      <c r="J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Optional</t>
        </is>
      </c>
      <c r="C66" s="5" t="inlineStr">
        <is>
          <t>Maintains legacy offer identification for attribution, campaign reporting, and operational alignment during transition.</t>
        </is>
      </c>
      <c r="D66" s="5" t="inlineStr">
        <is>
          <t>Integrate Input</t>
        </is>
      </c>
      <c r="E66" s="5" t="inlineStr">
        <is>
          <t>Mandatory Value from Integrate</t>
        </is>
      </c>
      <c r="F66" s="5" t="inlineStr">
        <is>
          <t>What is the Offer ID?</t>
        </is>
      </c>
      <c r="G66" s="5" t="inlineStr">
        <is>
          <t>Text</t>
        </is>
      </c>
      <c r="H66" s="5" t="n"/>
      <c r="I66" s="5" t="inlineStr">
        <is>
          <t>Yes</t>
        </is>
      </c>
      <c r="J66" s="5" t="inlineStr">
        <is>
          <t>Yes</t>
        </is>
      </c>
      <c r="K66" s="5" t="n"/>
      <c r="L66" s="5" t="inlineStr">
        <is>
          <t>Yes</t>
        </is>
      </c>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t>
        </is>
      </c>
      <c r="G67" t="inlineStr">
        <is>
          <t>System lookup</t>
        </is>
      </c>
      <c r="L67" t="inlineStr">
        <is>
          <t>Yes</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t>
        </is>
      </c>
      <c r="G68" s="5" t="inlineStr">
        <is>
          <t>System lookup</t>
        </is>
      </c>
      <c r="H68" s="5" t="n"/>
      <c r="I68" s="5" t="n"/>
      <c r="J68" s="5" t="n"/>
      <c r="K68" s="5" t="n"/>
      <c r="L68" s="5" t="inlineStr">
        <is>
          <t>Yes</t>
        </is>
      </c>
      <c r="M68" s="5" t="inlineStr">
        <is>
          <t>Yes</t>
        </is>
      </c>
      <c r="Q68" s="5" t="n"/>
    </row>
    <row r="69">
      <c r="A69" t="inlineStr">
        <is>
          <t>Offer Type</t>
        </is>
      </c>
    </row>
    <row r="70">
      <c r="A70" s="10" t="inlineStr">
        <is>
          <t>6 - Future Tracking Parameters</t>
        </is>
      </c>
    </row>
    <row r="71">
      <c r="A71" s="5" t="inlineStr">
        <is>
          <t>Workfront Channel ID</t>
        </is>
      </c>
      <c r="B71" s="5" t="inlineStr">
        <is>
          <t>Required</t>
        </is>
      </c>
      <c r="C71" s="5" t="inlineStr">
        <is>
          <t>Connects the upload to the Workfront channel taxonomy for durable operational and attribution alignment.</t>
        </is>
      </c>
      <c r="D71" s="5" t="inlineStr">
        <is>
          <t>Integrate Input</t>
        </is>
      </c>
      <c r="E71" s="5" t="inlineStr">
        <is>
          <t>Channel ID used appended by Integrate</t>
        </is>
      </c>
      <c r="F71" s="5" t="inlineStr">
        <is>
          <t>Integrate Input</t>
        </is>
      </c>
      <c r="G71" s="5" t="inlineStr">
        <is>
          <t>Text</t>
        </is>
      </c>
      <c r="H71" s="5" t="n"/>
      <c r="I71" s="5" t="inlineStr">
        <is>
          <t>Yes</t>
        </is>
      </c>
      <c r="J71" s="5" t="inlineStr">
        <is>
          <t>Yes</t>
        </is>
      </c>
      <c r="K71" s="5" t="n"/>
      <c r="L71" s="5" t="inlineStr">
        <is>
          <t>Yes</t>
        </is>
      </c>
      <c r="M71" s="5" t="inlineStr">
        <is>
          <t>Yes</t>
        </is>
      </c>
      <c r="Q71" s="5" t="n"/>
    </row>
    <row r="72">
      <c r="A72" t="inlineStr">
        <is>
          <t>Primary Technology</t>
        </is>
      </c>
      <c r="B72" t="inlineStr">
        <is>
          <t>Derived</t>
        </is>
      </c>
      <c r="C72" t="inlineStr">
        <is>
          <t>Identifies the primary technology associated with the content for future attribution, operational, and seller enablement reporting.</t>
        </is>
      </c>
      <c r="D72" t="inlineStr">
        <is>
          <t>Tray.io / Workfront derived</t>
        </is>
      </c>
      <c r="E72" t="inlineStr">
        <is>
          <t>Tray.io derives Primary Technology from Workfront Content ID and Workfront Channel ID alignment.</t>
        </is>
      </c>
      <c r="F72" t="inlineStr">
        <is>
          <t>N/A - appended by Tray.io after upload</t>
        </is>
      </c>
      <c r="G72" t="inlineStr">
        <is>
          <t>System lookup</t>
        </is>
      </c>
      <c r="I72" t="inlineStr">
        <is>
          <t>Yes</t>
        </is>
      </c>
      <c r="J72" t="inlineStr">
        <is>
          <t>Yes</t>
        </is>
      </c>
      <c r="L72" t="inlineStr">
        <is>
          <t>Yes</t>
        </is>
      </c>
      <c r="M72" t="inlineStr">
        <is>
          <t>Yes</t>
        </is>
      </c>
    </row>
    <row r="73">
      <c r="A73" s="5" t="inlineStr">
        <is>
          <t>Campaign</t>
        </is>
      </c>
      <c r="B73" s="5" t="inlineStr">
        <is>
          <t>Derived</t>
        </is>
      </c>
      <c r="C73" s="5" t="inlineStr">
        <is>
          <t>Connects the touchpoint to campaign-level attribution and marketing sourced pipeline reporting aligned to Workfront Content ID and Channel ID.</t>
        </is>
      </c>
      <c r="D73" s="5" t="inlineStr">
        <is>
          <t>Tray.io / Workfront derived</t>
        </is>
      </c>
      <c r="E73" s="5" t="inlineStr">
        <is>
          <t>Tray.io derives Campaign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inlineStr">
        <is>
          <t>Yes</t>
        </is>
      </c>
      <c r="M73" s="5" t="inlineStr">
        <is>
          <t>Yes</t>
        </is>
      </c>
      <c r="Q73" s="5" t="n"/>
    </row>
    <row r="74">
      <c r="A74" t="inlineStr">
        <is>
          <t>Program</t>
        </is>
      </c>
      <c r="B74" t="inlineStr">
        <is>
          <t>Derived</t>
        </is>
      </c>
      <c r="C74" t="inlineStr">
        <is>
          <t>Connects the touchpoint to program-level attribution and marketing sourced pipeline reporting aligned to Workfront Content ID and Channel ID.</t>
        </is>
      </c>
      <c r="D74" t="inlineStr">
        <is>
          <t>Tray.io / Workfront derived</t>
        </is>
      </c>
      <c r="E74" t="inlineStr">
        <is>
          <t>Tray.io derives Program from Workfront Content ID and Workfront Channel ID alignment.</t>
        </is>
      </c>
      <c r="F74" t="inlineStr">
        <is>
          <t>N/A - appended by Tray.io after upload</t>
        </is>
      </c>
      <c r="G74" t="inlineStr">
        <is>
          <t>System lookup</t>
        </is>
      </c>
      <c r="I74" t="inlineStr">
        <is>
          <t>Yes</t>
        </is>
      </c>
      <c r="J74" t="inlineStr">
        <is>
          <t>Yes</t>
        </is>
      </c>
      <c r="L74" t="inlineStr">
        <is>
          <t>Yes</t>
        </is>
      </c>
      <c r="M74" t="inlineStr">
        <is>
          <t>Yes</t>
        </is>
      </c>
    </row>
    <row r="75">
      <c r="A75" s="5" t="inlineStr">
        <is>
          <t>Channel Type</t>
        </is>
      </c>
      <c r="B75" s="5" t="inlineStr">
        <is>
          <t>Derived</t>
        </is>
      </c>
      <c r="C75" s="5" t="inlineStr">
        <is>
          <t>Identifies the driving channel for future attribution, operational, and funnel reporting after legacy IDs are decommissioned.</t>
        </is>
      </c>
      <c r="D75" s="5" t="inlineStr">
        <is>
          <t>Tray.io derived</t>
        </is>
      </c>
      <c r="E75" s="5" t="inlineStr">
        <is>
          <t>Tray.io appends from Workfront Channel ID in the Workfront Data tables</t>
        </is>
      </c>
      <c r="F75" s="5" t="inlineStr">
        <is>
          <t>N/A - appended by Tray.io after upload</t>
        </is>
      </c>
      <c r="G75" s="5" t="inlineStr">
        <is>
          <t>Text</t>
        </is>
      </c>
      <c r="H75" s="5" t="n"/>
      <c r="I75" s="5" t="inlineStr">
        <is>
          <t>Yes</t>
        </is>
      </c>
      <c r="J75" s="5" t="inlineStr">
        <is>
          <t>Yes</t>
        </is>
      </c>
      <c r="K75" s="5" t="n"/>
      <c r="L75" s="5" t="inlineStr">
        <is>
          <t>Yes</t>
        </is>
      </c>
      <c r="M75" s="5" t="inlineStr">
        <is>
          <t>Yes</t>
        </is>
      </c>
      <c r="Q75" s="5" t="n"/>
    </row>
    <row r="76">
      <c r="A76" t="inlineStr">
        <is>
          <t>Channel Source</t>
        </is>
      </c>
      <c r="B76" t="inlineStr">
        <is>
          <t>Derived</t>
        </is>
      </c>
      <c r="C76" t="inlineStr">
        <is>
          <t>Identifies platform/vendor source for future attribution, operational, and funnel reporting.</t>
        </is>
      </c>
      <c r="D76" t="inlineStr">
        <is>
          <t>Tray.io derived</t>
        </is>
      </c>
      <c r="E76" t="inlineStr">
        <is>
          <t>Tray.io appends from Workfront Channel ID in the Workfront Data tables</t>
        </is>
      </c>
      <c r="F76" t="inlineStr">
        <is>
          <t>N/A - appended by Tray.io after upload</t>
        </is>
      </c>
      <c r="G76" t="inlineStr">
        <is>
          <t>Text</t>
        </is>
      </c>
      <c r="I76" t="inlineStr">
        <is>
          <t>Yes</t>
        </is>
      </c>
      <c r="J76" t="inlineStr">
        <is>
          <t>Yes</t>
        </is>
      </c>
      <c r="L76" t="inlineStr">
        <is>
          <t>Yes</t>
        </is>
      </c>
      <c r="M76" t="inlineStr">
        <is>
          <t>Yes</t>
        </is>
      </c>
    </row>
    <row r="77">
      <c r="A77" s="5" t="inlineStr">
        <is>
          <t>Funnel Stage</t>
        </is>
      </c>
      <c r="B77" s="5" t="inlineStr">
        <is>
          <t>Derived</t>
        </is>
      </c>
      <c r="C77" s="5" t="inlineStr">
        <is>
          <t>Supports funnel-based routing, lead scoring, and operational reporting aligned to Workfront Content ID and Channel ID.</t>
        </is>
      </c>
      <c r="D77" s="5" t="inlineStr">
        <is>
          <t>Tray.io / Workfront derived</t>
        </is>
      </c>
      <c r="E77" s="5" t="inlineStr">
        <is>
          <t>Tray.io derives Funnel Stage from Workfront Content ID and Workfront Channel ID alignment.</t>
        </is>
      </c>
      <c r="F77" s="5" t="inlineStr">
        <is>
          <t>N/A - appended by Tray.io after upload</t>
        </is>
      </c>
      <c r="G77" s="5" t="inlineStr">
        <is>
          <t>System lookup</t>
        </is>
      </c>
      <c r="H77" s="5" t="n"/>
      <c r="I77" s="5" t="inlineStr">
        <is>
          <t>Yes</t>
        </is>
      </c>
      <c r="J77" s="5" t="inlineStr">
        <is>
          <t>Yes</t>
        </is>
      </c>
      <c r="K77" s="5" t="n"/>
      <c r="L77" s="5" t="n"/>
      <c r="M77" s="5" t="inlineStr">
        <is>
          <t>Yes</t>
        </is>
      </c>
      <c r="Q77" s="5" t="n"/>
    </row>
    <row r="78">
      <c r="A78" t="inlineStr">
        <is>
          <t>Workfront Content ID</t>
        </is>
      </c>
      <c r="B78" t="inlineStr">
        <is>
          <t>Optional</t>
        </is>
      </c>
      <c r="C78" t="inlineStr">
        <is>
          <t>Connects the upload to the Workfront Content taxonomy for durable operational and attribution alignment.</t>
        </is>
      </c>
      <c r="D78" t="inlineStr">
        <is>
          <t>Integrate Input</t>
        </is>
      </c>
      <c r="E78" t="inlineStr">
        <is>
          <t>Content ID used appended by Integrate</t>
        </is>
      </c>
      <c r="F78" t="inlineStr">
        <is>
          <t>Integrate Input</t>
        </is>
      </c>
      <c r="G78" t="inlineStr">
        <is>
          <t>Text</t>
        </is>
      </c>
      <c r="I78" t="inlineStr">
        <is>
          <t>Yes</t>
        </is>
      </c>
      <c r="J78" t="inlineStr">
        <is>
          <t>Yes</t>
        </is>
      </c>
      <c r="L78" t="inlineStr">
        <is>
          <t>Yes</t>
        </is>
      </c>
      <c r="M78" t="inlineStr">
        <is>
          <t>Yes</t>
        </is>
      </c>
    </row>
    <row r="79">
      <c r="A79" s="5" t="inlineStr">
        <is>
          <t>Content Type</t>
        </is>
      </c>
    </row>
    <row r="80">
      <c r="A80" s="10" t="inlineStr">
        <is>
          <t>8 - Activity Detail</t>
        </is>
      </c>
    </row>
    <row r="81">
      <c r="A81" t="inlineStr">
        <is>
          <t>Form Submit Date</t>
        </is>
      </c>
      <c r="B81" t="inlineStr">
        <is>
          <t>Derived</t>
        </is>
      </c>
      <c r="C81" t="inlineStr">
        <is>
          <t>Supports submission timing analysis and operational reporting.</t>
        </is>
      </c>
      <c r="D81" t="inlineStr">
        <is>
          <t>Integrate Input</t>
        </is>
      </c>
      <c r="E81" t="inlineStr">
        <is>
          <t>System-captured form submission date passed from Integrate.</t>
        </is>
      </c>
      <c r="F81" t="inlineStr">
        <is>
          <t>What is the date we received the lead from Integrate?</t>
        </is>
      </c>
      <c r="G81" t="inlineStr">
        <is>
          <t>Date/Time</t>
        </is>
      </c>
      <c r="J81" t="inlineStr">
        <is>
          <t>Yes</t>
        </is>
      </c>
      <c r="K81" t="inlineStr">
        <is>
          <t>Yes</t>
        </is>
      </c>
      <c r="M81" t="inlineStr">
        <is>
          <t>Yes</t>
        </is>
      </c>
    </row>
    <row r="82">
      <c r="A82" s="5" t="inlineStr">
        <is>
          <t>Integrate Source ID</t>
        </is>
      </c>
      <c r="B82" s="5" t="inlineStr">
        <is>
          <t>Required</t>
        </is>
      </c>
      <c r="C82" s="5" t="inlineStr">
        <is>
          <t>Connects the submission to Integrate source taxonomy for attribution and operational reporting.</t>
        </is>
      </c>
      <c r="D82" s="5" t="inlineStr">
        <is>
          <t>Integrate Input</t>
        </is>
      </c>
      <c r="E82" s="5" t="inlineStr">
        <is>
          <t>Mandatory source identifier captured from Integrate for attribution and source lineage tracking.</t>
        </is>
      </c>
      <c r="F82" s="5" t="inlineStr">
        <is>
          <t>What is the Integrate Unique Identifier?</t>
        </is>
      </c>
      <c r="G82" s="5" t="inlineStr">
        <is>
          <t>Text</t>
        </is>
      </c>
      <c r="H82" s="5" t="n"/>
      <c r="I82" s="5" t="n"/>
      <c r="J82" s="5" t="inlineStr">
        <is>
          <t>Yes</t>
        </is>
      </c>
      <c r="K82" s="5" t="n"/>
      <c r="L82" s="5" t="n"/>
      <c r="M82" s="5" t="inlineStr">
        <is>
          <t>Yes</t>
        </is>
      </c>
      <c r="Q82" s="5" t="n"/>
    </row>
    <row r="83">
      <c r="A83" t="inlineStr">
        <is>
          <t>Contact Source Original</t>
        </is>
      </c>
      <c r="B83" t="inlineStr">
        <is>
          <t>Derived</t>
        </is>
      </c>
      <c r="C83" t="inlineStr">
        <is>
          <t>Supports source lineage for attribution, operational reporting, and seller enablement.</t>
        </is>
      </c>
      <c r="D83" t="inlineStr">
        <is>
          <t>Integrate Input</t>
        </is>
      </c>
      <c r="E83" t="inlineStr">
        <is>
          <t>System-captured original source identifier (e.g., Integrate-Content Syndication).</t>
        </is>
      </c>
      <c r="F83" t="inlineStr">
        <is>
          <t>What is the original contact source for this submission?</t>
        </is>
      </c>
      <c r="G83" t="inlineStr">
        <is>
          <t>Text</t>
        </is>
      </c>
      <c r="J83" t="inlineStr">
        <is>
          <t>Yes</t>
        </is>
      </c>
      <c r="L83" t="inlineStr">
        <is>
          <t>Yes</t>
        </is>
      </c>
      <c r="M83" t="inlineStr">
        <is>
          <t>Yes</t>
        </is>
      </c>
    </row>
    <row r="84">
      <c r="A84" s="5" t="inlineStr">
        <is>
          <t>Additional Enquiry Details</t>
        </is>
      </c>
      <c r="B84" s="5" t="inlineStr">
        <is>
          <t>Required</t>
        </is>
      </c>
      <c r="C84" s="5" t="inlineStr">
        <is>
          <t>Provides qualitative enquiry context for seller enablement and operational review.</t>
        </is>
      </c>
      <c r="D84" s="5" t="inlineStr">
        <is>
          <t>Integrate Input</t>
        </is>
      </c>
      <c r="E84" s="5" t="inlineStr">
        <is>
          <t>Required free-text response captured from the customer by Integrate</t>
        </is>
      </c>
      <c r="F84" s="5" t="inlineStr">
        <is>
          <t>What additional details did the contact provide about their enquiry?</t>
        </is>
      </c>
      <c r="G84" s="5" t="inlineStr">
        <is>
          <t>Text</t>
        </is>
      </c>
      <c r="H84" s="5" t="n"/>
      <c r="I84" s="5" t="n"/>
      <c r="J84" s="5" t="n"/>
      <c r="K84" s="5" t="n"/>
      <c r="L84" s="5" t="inlineStr">
        <is>
          <t>Yes</t>
        </is>
      </c>
      <c r="M84" s="5" t="inlineStr">
        <is>
          <t>Yes</t>
        </is>
      </c>
      <c r="Q84" s="5" t="n"/>
    </row>
  </sheetData>
  <mergeCells count="10">
    <mergeCell ref="A31:Q31"/>
    <mergeCell ref="A56:Q56"/>
    <mergeCell ref="A12:Q12"/>
    <mergeCell ref="A50:Q50"/>
    <mergeCell ref="A1:Q1"/>
    <mergeCell ref="A79:Q79"/>
    <mergeCell ref="B5:Q5"/>
    <mergeCell ref="A69:Q69"/>
    <mergeCell ref="B4:Q4"/>
    <mergeCell ref="B3:Q3"/>
  </mergeCells>
  <dataValidations count="1">
    <dataValidation sqref="Q8:Q84"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Q84"/>
  <sheetViews>
    <sheetView tabSelected="1" workbookViewId="0">
      <pane ySplit="6" topLeftCell="A7" activePane="bottomLeft" state="frozen"/>
      <selection pane="bottomLeft" activeCell="A1" sqref="A1:N1"/>
    </sheetView>
  </sheetViews>
  <sheetFormatPr baseColWidth="8" defaultRowHeight="14.25"/>
  <cols>
    <col width="50" customWidth="1" style="7" min="1" max="1"/>
    <col width="21" customWidth="1" style="7" min="2" max="2"/>
    <col width="50" customWidth="1" style="7" min="3" max="6"/>
    <col width="15"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UC02 — Content Syndication | Hand Raiser | Content Syndication | Form Submit</t>
        </is>
      </c>
    </row>
    <row r="2">
      <c r="A2" s="14" t="inlineStr">
        <is>
          <t>← Use Case Index</t>
        </is>
      </c>
      <c r="Q2" s="14" t="inlineStr">
        <is>
          <t>Data Element Matrix →</t>
        </is>
      </c>
    </row>
    <row r="3">
      <c r="A3" s="4" t="inlineStr">
        <is>
          <t>Process</t>
        </is>
      </c>
      <c r="B3" t="inlineStr">
        <is>
          <t>Content Syndication</t>
        </is>
      </c>
    </row>
    <row r="4">
      <c r="A4" s="4" t="inlineStr">
        <is>
          <t>Lead Category</t>
        </is>
      </c>
      <c r="B4" t="inlineStr">
        <is>
          <t>Hand Raiser</t>
        </is>
      </c>
    </row>
    <row r="5">
      <c r="A5" s="4" t="inlineStr">
        <is>
          <t>Use Case</t>
        </is>
      </c>
      <c r="B5" t="inlineStr">
        <is>
          <t>Content Syndication</t>
        </is>
      </c>
    </row>
    <row r="6">
      <c r="A6" s="4" t="inlineStr">
        <is>
          <t>Activity Type</t>
        </is>
      </c>
      <c r="B6" t="inlineStr">
        <is>
          <t>Form Submit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Required</t>
        </is>
      </c>
      <c r="C9" t="inlineStr">
        <is>
          <t>To be able to align to lead scoring and attribution models</t>
        </is>
      </c>
      <c r="D9" t="inlineStr">
        <is>
          <t>Tray.io derived</t>
        </is>
      </c>
      <c r="E9" t="inlineStr">
        <is>
          <t>Set by Tray.io on receipt of submission from Integrate.</t>
        </is>
      </c>
      <c r="F9" t="inlineStr">
        <is>
          <t>What is the Activity we are aligning attribution to?</t>
        </is>
      </c>
      <c r="G9" t="inlineStr">
        <is>
          <t>Text</t>
        </is>
      </c>
      <c r="I9" t="inlineStr">
        <is>
          <t>Yes</t>
        </is>
      </c>
      <c r="J9" t="inlineStr">
        <is>
          <t>Yes</t>
        </is>
      </c>
      <c r="K9" t="inlineStr">
        <is>
          <t>Yes</t>
        </is>
      </c>
      <c r="M9" t="inlineStr">
        <is>
          <t>Yes</t>
        </is>
      </c>
    </row>
    <row r="10">
      <c r="A10" s="5" t="inlineStr">
        <is>
          <t>Use Case</t>
        </is>
      </c>
      <c r="B10" s="5" t="inlineStr">
        <is>
          <t>Derived</t>
        </is>
      </c>
      <c r="C10" s="5" t="inlineStr">
        <is>
          <t>Separated the type of Content Syndication for Attribution models to score separately</t>
        </is>
      </c>
      <c r="D10" s="5" t="inlineStr">
        <is>
          <t>Integrate Defined</t>
        </is>
      </c>
      <c r="E10" s="5" t="inlineStr">
        <is>
          <t>Set by Integrate</t>
        </is>
      </c>
      <c r="F10" s="5" t="inlineStr">
        <is>
          <t>What type of Content Syndication is this?</t>
        </is>
      </c>
      <c r="G10" s="5" t="inlineStr">
        <is>
          <t>Picklist/Text</t>
        </is>
      </c>
      <c r="H10" s="5" t="n"/>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Marketing Automation ID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Customer Input</t>
        </is>
      </c>
      <c r="E17" s="5" t="inlineStr">
        <is>
          <t>Provided by Integrate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Customer Input</t>
        </is>
      </c>
      <c r="E18" t="inlineStr">
        <is>
          <t>Provided by Integrate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Customer Input</t>
        </is>
      </c>
      <c r="E19" s="5" t="inlineStr">
        <is>
          <t>Provided by Integrate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Derived</t>
        </is>
      </c>
      <c r="C20" t="inlineStr">
        <is>
          <t>Supports contact matching, enrichment, routing, and lead scoring</t>
        </is>
      </c>
      <c r="D20" t="inlineStr">
        <is>
          <t>Tray.io / Contact Database derived</t>
        </is>
      </c>
      <c r="E20" t="inlineStr">
        <is>
          <t>Tray.io appends from Contact Database or derived from Job Title when available.</t>
        </is>
      </c>
      <c r="F20" t="inlineStr">
        <is>
          <t>N/A - appended by Tray.io after upload</t>
        </is>
      </c>
      <c r="G20" t="inlineStr">
        <is>
          <t>System lookup</t>
        </is>
      </c>
      <c r="K20" t="inlineStr">
        <is>
          <t>Yes</t>
        </is>
      </c>
      <c r="L20" t="inlineStr">
        <is>
          <t>Yes</t>
        </is>
      </c>
      <c r="M20" t="inlineStr">
        <is>
          <t>Yes</t>
        </is>
      </c>
    </row>
    <row r="21">
      <c r="A21" s="5" t="inlineStr">
        <is>
          <t>Job Department</t>
        </is>
      </c>
      <c r="B21" s="5" t="inlineStr">
        <is>
          <t>Derived</t>
        </is>
      </c>
      <c r="C21" s="5" t="inlineStr">
        <is>
          <t>Supports contact matching, enrichment, routing, and lead scoring</t>
        </is>
      </c>
      <c r="D21" s="5" t="inlineStr">
        <is>
          <t>Tray.io / Contact Database derived</t>
        </is>
      </c>
      <c r="E21" s="5" t="inlineStr">
        <is>
          <t>Tray.io appends from Contact Database or derived from Job Title when available.</t>
        </is>
      </c>
      <c r="F21" s="5" t="inlineStr">
        <is>
          <t>N/A - appended by Tray.io after upload</t>
        </is>
      </c>
      <c r="G21" s="5" t="inlineStr">
        <is>
          <t>System lookup</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Customer Input</t>
        </is>
      </c>
      <c r="E22" t="inlineStr">
        <is>
          <t>Provided by Integrate</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Customer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Integrate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Integrate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Integrate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Integrate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Integrate Input</t>
        </is>
      </c>
      <c r="E39" t="inlineStr">
        <is>
          <t>Provided by Integrate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inlineStr">
        <is>
          <t>Yes</t>
        </is>
      </c>
      <c r="M48" s="5" t="inlineStr">
        <is>
          <t>Yes</t>
        </is>
      </c>
      <c r="Q48" s="5" t="n"/>
    </row>
    <row r="49">
      <c r="A49" t="inlineStr">
        <is>
          <t>Phone Extension</t>
        </is>
      </c>
      <c r="B49" t="inlineStr">
        <is>
          <t>Optional</t>
        </is>
      </c>
      <c r="C49" t="inlineStr">
        <is>
          <t>Excluded from standard performance reporting</t>
        </is>
      </c>
      <c r="D49" t="inlineStr">
        <is>
          <t>Integrate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Customer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Customer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n"/>
      <c r="I53" s="5" t="n"/>
      <c r="J53" s="5" t="n"/>
      <c r="K53" s="5" t="n"/>
      <c r="L53" s="5" t="inlineStr">
        <is>
          <t>Yes</t>
        </is>
      </c>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Customer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L54" t="inlineStr">
        <is>
          <t>Yes</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Customer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inlineStr">
        <is>
          <t>Yes</t>
        </is>
      </c>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inlineStr">
        <is>
          <t>Yes</t>
        </is>
      </c>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L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Integrate Input</t>
        </is>
      </c>
      <c r="E60" s="5" t="inlineStr">
        <is>
          <t>Mandatory Value from Integrate</t>
        </is>
      </c>
      <c r="F60" s="5" t="inlineStr">
        <is>
          <t>What is the  Activity ID for this activity?</t>
        </is>
      </c>
      <c r="G60" s="5" t="inlineStr">
        <is>
          <t>Text</t>
        </is>
      </c>
      <c r="H60" s="5" t="n"/>
      <c r="I60" s="5" t="inlineStr">
        <is>
          <t>Yes</t>
        </is>
      </c>
      <c r="J60" s="5" t="inlineStr">
        <is>
          <t>Yes</t>
        </is>
      </c>
      <c r="K60" s="5" t="inlineStr">
        <is>
          <t>Yes</t>
        </is>
      </c>
      <c r="L60" s="5" t="inlineStr">
        <is>
          <t>Yes</t>
        </is>
      </c>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L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inlineStr">
        <is>
          <t>Yes</t>
        </is>
      </c>
      <c r="M62" s="5" t="inlineStr">
        <is>
          <t>Yes</t>
        </is>
      </c>
      <c r="Q62" s="5" t="n"/>
    </row>
    <row r="63">
      <c r="A63" t="inlineStr">
        <is>
          <t>Drive To ID</t>
        </is>
      </c>
      <c r="B63" t="inlineStr">
        <is>
          <t>To Review</t>
        </is>
      </c>
      <c r="C63" t="inlineStr">
        <is>
          <t>Maintains legacy destination and drive-to reporting alignment during transition.</t>
        </is>
      </c>
      <c r="D63" t="inlineStr">
        <is>
          <t>Integrate Input</t>
        </is>
      </c>
      <c r="E63" t="inlineStr">
        <is>
          <t>Mandatory Value from Integrate</t>
        </is>
      </c>
      <c r="F63" t="inlineStr">
        <is>
          <t>What is the Drive To ID?</t>
        </is>
      </c>
      <c r="G63" t="inlineStr">
        <is>
          <t>Text</t>
        </is>
      </c>
      <c r="H63" t="inlineStr">
        <is>
          <t>We should be able to get the drive to information from the Channel ID - I think we can retire DTID for Content Syndication</t>
        </is>
      </c>
      <c r="I63" t="inlineStr">
        <is>
          <t>Yes</t>
        </is>
      </c>
      <c r="J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Optional</t>
        </is>
      </c>
      <c r="C66" s="5" t="inlineStr">
        <is>
          <t>Maintains legacy offer identification for attribution, campaign reporting, and operational alignment during transition.</t>
        </is>
      </c>
      <c r="D66" s="5" t="inlineStr">
        <is>
          <t>Integrate Input</t>
        </is>
      </c>
      <c r="E66" s="5" t="inlineStr">
        <is>
          <t>Mandatory Value from Integrate</t>
        </is>
      </c>
      <c r="F66" s="5" t="inlineStr">
        <is>
          <t>What is the Offer ID?</t>
        </is>
      </c>
      <c r="G66" s="5" t="inlineStr">
        <is>
          <t>Text</t>
        </is>
      </c>
      <c r="H66" s="5" t="n"/>
      <c r="I66" s="5" t="inlineStr">
        <is>
          <t>Yes</t>
        </is>
      </c>
      <c r="J66" s="5" t="inlineStr">
        <is>
          <t>Yes</t>
        </is>
      </c>
      <c r="K66" s="5" t="n"/>
      <c r="L66" s="5" t="inlineStr">
        <is>
          <t>Yes</t>
        </is>
      </c>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t>
        </is>
      </c>
      <c r="G67" t="inlineStr">
        <is>
          <t>System lookup</t>
        </is>
      </c>
      <c r="L67" t="inlineStr">
        <is>
          <t>Yes</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t>
        </is>
      </c>
      <c r="G68" s="5" t="inlineStr">
        <is>
          <t>System lookup</t>
        </is>
      </c>
      <c r="H68" s="5" t="n"/>
      <c r="I68" s="5" t="n"/>
      <c r="J68" s="5" t="n"/>
      <c r="K68" s="5" t="n"/>
      <c r="L68" s="5" t="inlineStr">
        <is>
          <t>Yes</t>
        </is>
      </c>
      <c r="M68" s="5" t="inlineStr">
        <is>
          <t>Yes</t>
        </is>
      </c>
      <c r="Q68" s="5" t="n"/>
    </row>
    <row r="69">
      <c r="A69" t="inlineStr">
        <is>
          <t>Offer Type</t>
        </is>
      </c>
    </row>
    <row r="70">
      <c r="A70" s="6" t="inlineStr">
        <is>
          <t>6 - Future Tracking Parameters</t>
        </is>
      </c>
    </row>
    <row r="71">
      <c r="A71" s="5" t="inlineStr">
        <is>
          <t>Workfront Channel ID</t>
        </is>
      </c>
      <c r="B71" s="5" t="inlineStr">
        <is>
          <t>Required</t>
        </is>
      </c>
      <c r="C71" s="5" t="inlineStr">
        <is>
          <t>Connects the upload to the Workfront channel taxonomy for durable operational and attribution alignment.</t>
        </is>
      </c>
      <c r="D71" s="5" t="inlineStr">
        <is>
          <t>Integrate Input</t>
        </is>
      </c>
      <c r="E71" s="5" t="inlineStr">
        <is>
          <t>Channel ID used appended by Integrate</t>
        </is>
      </c>
      <c r="F71" s="5" t="inlineStr">
        <is>
          <t>Integrate Input</t>
        </is>
      </c>
      <c r="G71" s="5" t="inlineStr">
        <is>
          <t>Text</t>
        </is>
      </c>
      <c r="H71" s="5" t="n"/>
      <c r="I71" s="5" t="inlineStr">
        <is>
          <t>Yes</t>
        </is>
      </c>
      <c r="J71" s="5" t="inlineStr">
        <is>
          <t>Yes</t>
        </is>
      </c>
      <c r="K71" s="5" t="n"/>
      <c r="L71" s="5" t="inlineStr">
        <is>
          <t>Yes</t>
        </is>
      </c>
      <c r="M71" s="5" t="inlineStr">
        <is>
          <t>Yes</t>
        </is>
      </c>
      <c r="Q71" s="5" t="n"/>
    </row>
    <row r="72">
      <c r="A72" t="inlineStr">
        <is>
          <t>Primary Technology</t>
        </is>
      </c>
      <c r="B72" t="inlineStr">
        <is>
          <t>Derived</t>
        </is>
      </c>
      <c r="C72" t="inlineStr">
        <is>
          <t>Identifies the primary technology associated with the content for future attribution, operational, and seller enablement reporting.</t>
        </is>
      </c>
      <c r="D72" t="inlineStr">
        <is>
          <t>Tray.io / Workfront derived</t>
        </is>
      </c>
      <c r="E72" t="inlineStr">
        <is>
          <t>Tray.io derives Primary Technology from Workfront Content ID and Workfront Channel ID alignment.</t>
        </is>
      </c>
      <c r="F72" t="inlineStr">
        <is>
          <t>N/A - appended by Tray.io after upload</t>
        </is>
      </c>
      <c r="G72" t="inlineStr">
        <is>
          <t>System lookup</t>
        </is>
      </c>
      <c r="I72" t="inlineStr">
        <is>
          <t>Yes</t>
        </is>
      </c>
      <c r="J72" t="inlineStr">
        <is>
          <t>Yes</t>
        </is>
      </c>
      <c r="L72" t="inlineStr">
        <is>
          <t>Yes</t>
        </is>
      </c>
      <c r="M72" t="inlineStr">
        <is>
          <t>Yes</t>
        </is>
      </c>
    </row>
    <row r="73">
      <c r="A73" s="5" t="inlineStr">
        <is>
          <t>Campaign</t>
        </is>
      </c>
      <c r="B73" s="5" t="inlineStr">
        <is>
          <t>Derived</t>
        </is>
      </c>
      <c r="C73" s="5" t="inlineStr">
        <is>
          <t>Connects the touchpoint to campaign-level attribution and marketing sourced pipeline reporting aligned to Workfront Content ID and Channel ID.</t>
        </is>
      </c>
      <c r="D73" s="5" t="inlineStr">
        <is>
          <t>Tray.io / Workfront derived</t>
        </is>
      </c>
      <c r="E73" s="5" t="inlineStr">
        <is>
          <t>Tray.io derives Campaign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inlineStr">
        <is>
          <t>Yes</t>
        </is>
      </c>
      <c r="M73" s="5" t="inlineStr">
        <is>
          <t>Yes</t>
        </is>
      </c>
      <c r="Q73" s="5" t="n"/>
    </row>
    <row r="74">
      <c r="A74" t="inlineStr">
        <is>
          <t>Program</t>
        </is>
      </c>
      <c r="B74" t="inlineStr">
        <is>
          <t>Derived</t>
        </is>
      </c>
      <c r="C74" t="inlineStr">
        <is>
          <t>Connects the touchpoint to program-level attribution and marketing sourced pipeline reporting aligned to Workfront Content ID and Channel ID.</t>
        </is>
      </c>
      <c r="D74" t="inlineStr">
        <is>
          <t>Tray.io / Workfront derived</t>
        </is>
      </c>
      <c r="E74" t="inlineStr">
        <is>
          <t>Tray.io derives Program from Workfront Content ID and Workfront Channel ID alignment.</t>
        </is>
      </c>
      <c r="F74" t="inlineStr">
        <is>
          <t>N/A - appended by Tray.io after upload</t>
        </is>
      </c>
      <c r="G74" t="inlineStr">
        <is>
          <t>System lookup</t>
        </is>
      </c>
      <c r="I74" t="inlineStr">
        <is>
          <t>Yes</t>
        </is>
      </c>
      <c r="J74" t="inlineStr">
        <is>
          <t>Yes</t>
        </is>
      </c>
      <c r="L74" t="inlineStr">
        <is>
          <t>Yes</t>
        </is>
      </c>
      <c r="M74" t="inlineStr">
        <is>
          <t>Yes</t>
        </is>
      </c>
    </row>
    <row r="75">
      <c r="A75" s="5" t="inlineStr">
        <is>
          <t>Channel Type</t>
        </is>
      </c>
      <c r="B75" s="5" t="inlineStr">
        <is>
          <t>Derived</t>
        </is>
      </c>
      <c r="C75" s="5" t="inlineStr">
        <is>
          <t>Identifies the driving channel for future attribution, operational, and funnel reporting after legacy IDs are decommissioned.</t>
        </is>
      </c>
      <c r="D75" s="5" t="inlineStr">
        <is>
          <t>Tray.io derived</t>
        </is>
      </c>
      <c r="E75" s="5" t="inlineStr">
        <is>
          <t>Tray.io appends from Workfront Channel ID in the Workfront Data tables</t>
        </is>
      </c>
      <c r="F75" s="5" t="inlineStr">
        <is>
          <t>N/A - appended by Tray.io after upload</t>
        </is>
      </c>
      <c r="G75" s="5" t="inlineStr">
        <is>
          <t>Text</t>
        </is>
      </c>
      <c r="H75" s="5" t="n"/>
      <c r="I75" s="5" t="inlineStr">
        <is>
          <t>Yes</t>
        </is>
      </c>
      <c r="J75" s="5" t="inlineStr">
        <is>
          <t>Yes</t>
        </is>
      </c>
      <c r="K75" s="5" t="n"/>
      <c r="L75" s="5" t="inlineStr">
        <is>
          <t>Yes</t>
        </is>
      </c>
      <c r="M75" s="5" t="inlineStr">
        <is>
          <t>Yes</t>
        </is>
      </c>
      <c r="Q75" s="5" t="n"/>
    </row>
    <row r="76">
      <c r="A76" t="inlineStr">
        <is>
          <t>Channel Source</t>
        </is>
      </c>
      <c r="B76" t="inlineStr">
        <is>
          <t>Derived</t>
        </is>
      </c>
      <c r="C76" t="inlineStr">
        <is>
          <t>Identifies platform/vendor source for future attribution, operational, and funnel reporting.</t>
        </is>
      </c>
      <c r="D76" t="inlineStr">
        <is>
          <t>Tray.io derived</t>
        </is>
      </c>
      <c r="E76" t="inlineStr">
        <is>
          <t>Tray.io appends from Workfront Channel ID in the Workfront Data tables</t>
        </is>
      </c>
      <c r="F76" t="inlineStr">
        <is>
          <t>N/A - appended by Tray.io after upload</t>
        </is>
      </c>
      <c r="G76" t="inlineStr">
        <is>
          <t>Text</t>
        </is>
      </c>
      <c r="I76" t="inlineStr">
        <is>
          <t>Yes</t>
        </is>
      </c>
      <c r="J76" t="inlineStr">
        <is>
          <t>Yes</t>
        </is>
      </c>
      <c r="L76" t="inlineStr">
        <is>
          <t>Yes</t>
        </is>
      </c>
      <c r="M76" t="inlineStr">
        <is>
          <t>Yes</t>
        </is>
      </c>
    </row>
    <row r="77">
      <c r="A77" s="5" t="inlineStr">
        <is>
          <t>Funnel Stage</t>
        </is>
      </c>
      <c r="B77" s="5" t="inlineStr">
        <is>
          <t>Derived</t>
        </is>
      </c>
      <c r="C77" s="5" t="inlineStr">
        <is>
          <t>Supports funnel-based routing, lead scoring, and operational reporting aligned to Workfront Content ID and Channel ID.</t>
        </is>
      </c>
      <c r="D77" s="5" t="inlineStr">
        <is>
          <t>Tray.io / Workfront derived</t>
        </is>
      </c>
      <c r="E77" s="5" t="inlineStr">
        <is>
          <t>Tray.io derives Funnel Stage from Workfront Content ID and Workfront Channel ID alignment.</t>
        </is>
      </c>
      <c r="F77" s="5" t="inlineStr">
        <is>
          <t>N/A - appended by Tray.io after upload</t>
        </is>
      </c>
      <c r="G77" s="5" t="inlineStr">
        <is>
          <t>System lookup</t>
        </is>
      </c>
      <c r="H77" s="5" t="n"/>
      <c r="I77" s="5" t="inlineStr">
        <is>
          <t>Yes</t>
        </is>
      </c>
      <c r="J77" s="5" t="inlineStr">
        <is>
          <t>Yes</t>
        </is>
      </c>
      <c r="K77" s="5" t="n"/>
      <c r="L77" s="5" t="n"/>
      <c r="M77" s="5" t="inlineStr">
        <is>
          <t>Yes</t>
        </is>
      </c>
      <c r="Q77" s="5" t="n"/>
    </row>
    <row r="78">
      <c r="A78" t="inlineStr">
        <is>
          <t>Workfront Content ID</t>
        </is>
      </c>
      <c r="B78" t="inlineStr">
        <is>
          <t>Optional</t>
        </is>
      </c>
      <c r="C78" t="inlineStr">
        <is>
          <t>Connects the upload to the Workfront Content taxonomy for durable operational and attribution alignment.</t>
        </is>
      </c>
      <c r="D78" t="inlineStr">
        <is>
          <t>Integrate Input</t>
        </is>
      </c>
      <c r="E78" t="inlineStr">
        <is>
          <t>Content ID used appended by Integrate</t>
        </is>
      </c>
      <c r="F78" t="inlineStr">
        <is>
          <t>Integrate Input</t>
        </is>
      </c>
      <c r="G78" t="inlineStr">
        <is>
          <t>Text</t>
        </is>
      </c>
      <c r="I78" t="inlineStr">
        <is>
          <t>Yes</t>
        </is>
      </c>
      <c r="J78" t="inlineStr">
        <is>
          <t>Yes</t>
        </is>
      </c>
      <c r="L78" t="inlineStr">
        <is>
          <t>Yes</t>
        </is>
      </c>
      <c r="M78" t="inlineStr">
        <is>
          <t>Yes</t>
        </is>
      </c>
    </row>
    <row r="79">
      <c r="A79" s="5" t="inlineStr">
        <is>
          <t>Content Type</t>
        </is>
      </c>
    </row>
    <row r="80">
      <c r="A80" s="6" t="inlineStr">
        <is>
          <t>8 - Activity Detail</t>
        </is>
      </c>
    </row>
    <row r="81">
      <c r="A81" t="inlineStr">
        <is>
          <t>Form Submit Date</t>
        </is>
      </c>
      <c r="B81" t="inlineStr">
        <is>
          <t>Derived</t>
        </is>
      </c>
      <c r="C81" t="inlineStr">
        <is>
          <t>Supports submission timing analysis and operational reporting.</t>
        </is>
      </c>
      <c r="D81" t="inlineStr">
        <is>
          <t>Integrate Input</t>
        </is>
      </c>
      <c r="E81" t="inlineStr">
        <is>
          <t>System-captured form submission date passed from Integrate.</t>
        </is>
      </c>
      <c r="F81" t="inlineStr">
        <is>
          <t>What is the date we received the lead from Integrate?</t>
        </is>
      </c>
      <c r="G81" t="inlineStr">
        <is>
          <t>Date/Time</t>
        </is>
      </c>
      <c r="J81" t="inlineStr">
        <is>
          <t>Yes</t>
        </is>
      </c>
      <c r="K81" t="inlineStr">
        <is>
          <t>Yes</t>
        </is>
      </c>
      <c r="M81" t="inlineStr">
        <is>
          <t>Yes</t>
        </is>
      </c>
    </row>
    <row r="82">
      <c r="A82" s="5" t="inlineStr">
        <is>
          <t>Integrate Source ID</t>
        </is>
      </c>
      <c r="B82" s="5" t="inlineStr">
        <is>
          <t>Required</t>
        </is>
      </c>
      <c r="C82" s="5" t="inlineStr">
        <is>
          <t>Connects the submission to Integrate source taxonomy for attribution and operational reporting.</t>
        </is>
      </c>
      <c r="D82" s="5" t="inlineStr">
        <is>
          <t>Integrate Input</t>
        </is>
      </c>
      <c r="E82" s="5" t="inlineStr">
        <is>
          <t>Mandatory source identifier captured from Integrate for attribution and source lineage tracking.</t>
        </is>
      </c>
      <c r="F82" s="5" t="inlineStr">
        <is>
          <t>What is the Integrate Unique Identifier?</t>
        </is>
      </c>
      <c r="G82" s="5" t="inlineStr">
        <is>
          <t>Text</t>
        </is>
      </c>
      <c r="H82" s="5" t="n"/>
      <c r="I82" s="5" t="n"/>
      <c r="J82" s="5" t="inlineStr">
        <is>
          <t>Yes</t>
        </is>
      </c>
      <c r="K82" s="5" t="n"/>
      <c r="L82" s="5" t="n"/>
      <c r="M82" s="5" t="inlineStr">
        <is>
          <t>Yes</t>
        </is>
      </c>
      <c r="Q82" s="5" t="n"/>
    </row>
    <row r="83">
      <c r="A83" t="inlineStr">
        <is>
          <t>Contact Source Original</t>
        </is>
      </c>
      <c r="B83" t="inlineStr">
        <is>
          <t>Derived</t>
        </is>
      </c>
      <c r="C83" t="inlineStr">
        <is>
          <t>Supports source lineage for attribution, operational reporting, and seller enablement.</t>
        </is>
      </c>
      <c r="D83" t="inlineStr">
        <is>
          <t>Integrate Input</t>
        </is>
      </c>
      <c r="E83" t="inlineStr">
        <is>
          <t>System-captured original source identifier (e.g., Integrate-Content Syndication).</t>
        </is>
      </c>
      <c r="F83" t="inlineStr">
        <is>
          <t>What is the original contact source for this submission?</t>
        </is>
      </c>
      <c r="G83" t="inlineStr">
        <is>
          <t>Text</t>
        </is>
      </c>
      <c r="J83" t="inlineStr">
        <is>
          <t>Yes</t>
        </is>
      </c>
      <c r="L83" t="inlineStr">
        <is>
          <t>Yes</t>
        </is>
      </c>
      <c r="M83" t="inlineStr">
        <is>
          <t>Yes</t>
        </is>
      </c>
    </row>
    <row r="84">
      <c r="A84" s="5" t="inlineStr">
        <is>
          <t>Additional Enquiry Details</t>
        </is>
      </c>
      <c r="B84" s="5" t="inlineStr">
        <is>
          <t>Required</t>
        </is>
      </c>
      <c r="C84" s="5" t="inlineStr">
        <is>
          <t>Provides qualitative enquiry context for seller enablement and operational review.</t>
        </is>
      </c>
      <c r="D84" s="5" t="inlineStr">
        <is>
          <t>Integrate Input</t>
        </is>
      </c>
      <c r="E84" s="5" t="inlineStr">
        <is>
          <t>Required free-text response captured from the customer by Integrate</t>
        </is>
      </c>
      <c r="F84" s="5" t="inlineStr">
        <is>
          <t>What additional details did the contact provide about their enquiry?</t>
        </is>
      </c>
      <c r="G84" s="5" t="inlineStr">
        <is>
          <t>Text</t>
        </is>
      </c>
      <c r="H84" s="5" t="n"/>
      <c r="I84" s="5" t="n"/>
      <c r="J84" s="5" t="n"/>
      <c r="K84" s="5" t="n"/>
      <c r="L84" s="5" t="inlineStr">
        <is>
          <t>Yes</t>
        </is>
      </c>
      <c r="M84" s="5" t="inlineStr">
        <is>
          <t>Yes</t>
        </is>
      </c>
      <c r="Q84" s="5" t="n"/>
    </row>
  </sheetData>
  <mergeCells count="10">
    <mergeCell ref="A31:Q31"/>
    <mergeCell ref="A56:Q56"/>
    <mergeCell ref="A12:Q12"/>
    <mergeCell ref="A50:Q50"/>
    <mergeCell ref="A1:Q1"/>
    <mergeCell ref="A79:Q79"/>
    <mergeCell ref="B5:Q5"/>
    <mergeCell ref="A69:Q69"/>
    <mergeCell ref="B4:Q4"/>
    <mergeCell ref="B3:Q3"/>
  </mergeCells>
  <dataValidations count="1">
    <dataValidation sqref="Q8:Q84"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Q84"/>
  <sheetViews>
    <sheetView workbookViewId="0">
      <pane ySplit="6" topLeftCell="A7" activePane="bottomLeft" state="frozen"/>
      <selection pane="bottomLeft" activeCell="A1" sqref="A1"/>
    </sheetView>
  </sheetViews>
  <sheetFormatPr baseColWidth="8" defaultRowHeight="14.25"/>
  <cols>
    <col width="50" customWidth="1" style="7" min="1" max="1"/>
    <col width="21" customWidth="1" style="7" min="2" max="2"/>
    <col width="50" customWidth="1" style="7" min="3" max="6"/>
    <col width="15"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UC03 — Content Syndication | Non-Hand Raiser | Content Syndication | Attended on Demand</t>
        </is>
      </c>
    </row>
    <row r="2">
      <c r="A2" s="14" t="inlineStr">
        <is>
          <t>← Use Case Index</t>
        </is>
      </c>
      <c r="Q2" s="14" t="inlineStr">
        <is>
          <t>Data Element Matrix →</t>
        </is>
      </c>
    </row>
    <row r="3">
      <c r="A3" s="4" t="inlineStr">
        <is>
          <t>Process</t>
        </is>
      </c>
      <c r="B3" t="inlineStr">
        <is>
          <t>Content Syndication</t>
        </is>
      </c>
    </row>
    <row r="4">
      <c r="A4" s="4" t="inlineStr">
        <is>
          <t>Lead Category</t>
        </is>
      </c>
      <c r="B4" t="inlineStr">
        <is>
          <t>Non-Hand Raiser</t>
        </is>
      </c>
    </row>
    <row r="5">
      <c r="A5" s="4" t="inlineStr">
        <is>
          <t>Use Case</t>
        </is>
      </c>
      <c r="B5" t="inlineStr">
        <is>
          <t>Content Syndication</t>
        </is>
      </c>
    </row>
    <row r="6">
      <c r="A6" s="4" t="inlineStr">
        <is>
          <t>Activity Type</t>
        </is>
      </c>
      <c r="B6" t="inlineStr">
        <is>
          <t>Attended on Demand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Required</t>
        </is>
      </c>
      <c r="C9" t="inlineStr">
        <is>
          <t>To be able to align to lead scoring and attribution models</t>
        </is>
      </c>
      <c r="D9" t="inlineStr">
        <is>
          <t>Tray.io derived</t>
        </is>
      </c>
      <c r="E9" t="inlineStr">
        <is>
          <t>Set by Tray.io on receipt of submission from Integrate.</t>
        </is>
      </c>
      <c r="F9" t="inlineStr">
        <is>
          <t>What is the Activity we are aligning attribution to?</t>
        </is>
      </c>
      <c r="G9" t="inlineStr">
        <is>
          <t>Text</t>
        </is>
      </c>
      <c r="I9" t="inlineStr">
        <is>
          <t>Yes</t>
        </is>
      </c>
      <c r="J9" t="inlineStr">
        <is>
          <t>Yes</t>
        </is>
      </c>
      <c r="K9" t="inlineStr">
        <is>
          <t>Yes</t>
        </is>
      </c>
      <c r="M9" t="inlineStr">
        <is>
          <t>Yes</t>
        </is>
      </c>
    </row>
    <row r="10">
      <c r="A10" s="5" t="inlineStr">
        <is>
          <t>Use Case</t>
        </is>
      </c>
      <c r="B10" s="5" t="inlineStr">
        <is>
          <t>Derived</t>
        </is>
      </c>
      <c r="C10" s="5" t="inlineStr">
        <is>
          <t>Separated the type of Content Syndication for Attribution models to score separately</t>
        </is>
      </c>
      <c r="D10" s="5" t="inlineStr">
        <is>
          <t>Integrate Defined</t>
        </is>
      </c>
      <c r="E10" s="5" t="inlineStr">
        <is>
          <t>Set by Integrate</t>
        </is>
      </c>
      <c r="F10" s="5" t="inlineStr">
        <is>
          <t>What type of Content Syndication is this?</t>
        </is>
      </c>
      <c r="G10" s="5" t="inlineStr">
        <is>
          <t>Picklist/Text</t>
        </is>
      </c>
      <c r="H10" s="5" t="n"/>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n"/>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Marketing Automation ID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Customer Input</t>
        </is>
      </c>
      <c r="E17" s="5" t="inlineStr">
        <is>
          <t>Provided by Integrate and enriched by Contact Database</t>
        </is>
      </c>
      <c r="F17" s="5" t="inlineStr">
        <is>
          <t>What is the contact first name?</t>
        </is>
      </c>
      <c r="G17" s="5" t="inlineStr">
        <is>
          <t>Text</t>
        </is>
      </c>
      <c r="H17" s="5" t="n"/>
      <c r="I17" s="5" t="n"/>
      <c r="J17" s="5" t="n"/>
      <c r="K17" s="5" t="n"/>
      <c r="L17" s="5" t="n"/>
      <c r="M17" s="5" t="inlineStr">
        <is>
          <t>Yes</t>
        </is>
      </c>
      <c r="Q17" s="5" t="n"/>
    </row>
    <row r="18">
      <c r="A18" t="inlineStr">
        <is>
          <t>Last Name</t>
        </is>
      </c>
      <c r="B18" t="inlineStr">
        <is>
          <t>Required</t>
        </is>
      </c>
      <c r="C18" t="inlineStr">
        <is>
          <t>Supports contact creation/update and personalization.</t>
        </is>
      </c>
      <c r="D18" t="inlineStr">
        <is>
          <t>Customer Input</t>
        </is>
      </c>
      <c r="E18" t="inlineStr">
        <is>
          <t>Provided by Integrate and enriched by Contact Database</t>
        </is>
      </c>
      <c r="F18" t="inlineStr">
        <is>
          <t>What is the contact last name?</t>
        </is>
      </c>
      <c r="G18" t="inlineStr">
        <is>
          <t>Text</t>
        </is>
      </c>
      <c r="M18" t="inlineStr">
        <is>
          <t>Yes</t>
        </is>
      </c>
    </row>
    <row r="19">
      <c r="A19" s="5" t="inlineStr">
        <is>
          <t>Job Title</t>
        </is>
      </c>
      <c r="B19" s="5" t="inlineStr">
        <is>
          <t>Recommended</t>
        </is>
      </c>
      <c r="C19" s="5" t="inlineStr">
        <is>
          <t xml:space="preserve">Supports persona reporting </t>
        </is>
      </c>
      <c r="D19" s="5" t="inlineStr">
        <is>
          <t>Customer Input</t>
        </is>
      </c>
      <c r="E19" s="5" t="inlineStr">
        <is>
          <t>Provided by Integrate when available and used to derive Job Level &amp; Department</t>
        </is>
      </c>
      <c r="F19" s="5" t="inlineStr">
        <is>
          <t>What is the contact job title?</t>
        </is>
      </c>
      <c r="G19" s="5" t="inlineStr">
        <is>
          <t>Text</t>
        </is>
      </c>
      <c r="H19" s="5" t="n"/>
      <c r="I19" s="5" t="n"/>
      <c r="J19" s="5" t="n"/>
      <c r="K19" s="5" t="n"/>
      <c r="L19" s="5" t="n"/>
      <c r="M19" s="5" t="inlineStr">
        <is>
          <t>Yes</t>
        </is>
      </c>
      <c r="Q19" s="5" t="n"/>
    </row>
    <row r="20">
      <c r="A20" t="inlineStr">
        <is>
          <t>Job Level</t>
        </is>
      </c>
      <c r="B20" t="inlineStr">
        <is>
          <t>Derived</t>
        </is>
      </c>
      <c r="C20" t="inlineStr">
        <is>
          <t>Supports contact matching, enrichment, routing, and lead scoring</t>
        </is>
      </c>
      <c r="D20" t="inlineStr">
        <is>
          <t>Tray.io / Contact Database derived</t>
        </is>
      </c>
      <c r="E20" t="inlineStr">
        <is>
          <t>Tray.io appends from Contact Database or derived from Job Title when available.</t>
        </is>
      </c>
      <c r="F20" t="inlineStr">
        <is>
          <t>N/A - appended by Tray.io after upload</t>
        </is>
      </c>
      <c r="G20" t="inlineStr">
        <is>
          <t>System lookup</t>
        </is>
      </c>
      <c r="K20" t="inlineStr">
        <is>
          <t>Yes</t>
        </is>
      </c>
      <c r="M20" t="inlineStr">
        <is>
          <t>Yes</t>
        </is>
      </c>
    </row>
    <row r="21">
      <c r="A21" s="5" t="inlineStr">
        <is>
          <t>Job Department</t>
        </is>
      </c>
      <c r="B21" s="5" t="inlineStr">
        <is>
          <t>Derived</t>
        </is>
      </c>
      <c r="C21" s="5" t="inlineStr">
        <is>
          <t>Supports contact matching, enrichment, routing, and lead scoring</t>
        </is>
      </c>
      <c r="D21" s="5" t="inlineStr">
        <is>
          <t>Tray.io / Contact Database derived</t>
        </is>
      </c>
      <c r="E21" s="5" t="inlineStr">
        <is>
          <t>Tray.io appends from Contact Database or derived from Job Title when available.</t>
        </is>
      </c>
      <c r="F21" s="5" t="inlineStr">
        <is>
          <t>N/A - appended by Tray.io after upload</t>
        </is>
      </c>
      <c r="G21" s="5" t="inlineStr">
        <is>
          <t>System lookup</t>
        </is>
      </c>
      <c r="H21" s="5" t="n"/>
      <c r="I21" s="5" t="n"/>
      <c r="J21" s="5" t="n"/>
      <c r="K21" s="5" t="inlineStr">
        <is>
          <t>Yes</t>
        </is>
      </c>
      <c r="L21" s="5" t="n"/>
      <c r="M21" s="5" t="inlineStr">
        <is>
          <t>Yes</t>
        </is>
      </c>
      <c r="Q21" s="5" t="n"/>
    </row>
    <row r="22">
      <c r="A22" t="inlineStr">
        <is>
          <t>Email</t>
        </is>
      </c>
      <c r="B22" t="inlineStr">
        <is>
          <t>Required</t>
        </is>
      </c>
      <c r="C22" t="inlineStr">
        <is>
          <t>Primary contact matching key for Eloqua/SFDC and deduplication.</t>
        </is>
      </c>
      <c r="D22" t="inlineStr">
        <is>
          <t>Customer Input</t>
        </is>
      </c>
      <c r="E22" t="inlineStr">
        <is>
          <t>Provided by Integrate</t>
        </is>
      </c>
      <c r="F22" t="inlineStr">
        <is>
          <t>What is the contact email address?</t>
        </is>
      </c>
      <c r="G22" t="inlineStr">
        <is>
          <t>Email</t>
        </is>
      </c>
      <c r="H22" t="inlineStr">
        <is>
          <t>Confirm whether business email is mandatory and personal email domains are allowed.</t>
        </is>
      </c>
      <c r="J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n"/>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n"/>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Customer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n"/>
      <c r="M34" s="5" t="inlineStr">
        <is>
          <t>Yes</t>
        </is>
      </c>
      <c r="Q34" s="5" t="n"/>
    </row>
    <row r="35">
      <c r="A35" t="inlineStr">
        <is>
          <t>Address Line 1</t>
        </is>
      </c>
      <c r="B35" t="inlineStr">
        <is>
          <t>Optional</t>
        </is>
      </c>
      <c r="C35" t="inlineStr">
        <is>
          <t>Supports account/contact matching and regional routing</t>
        </is>
      </c>
      <c r="D35" t="inlineStr">
        <is>
          <t>Integrate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M35" t="inlineStr">
        <is>
          <t>Yes</t>
        </is>
      </c>
    </row>
    <row r="36">
      <c r="A36" s="5" t="inlineStr">
        <is>
          <t>City</t>
        </is>
      </c>
      <c r="B36" s="5" t="inlineStr">
        <is>
          <t>Recommended</t>
        </is>
      </c>
      <c r="C36" s="5" t="inlineStr">
        <is>
          <t>Supports account/contact matching and regional routing</t>
        </is>
      </c>
      <c r="D36" s="5" t="inlineStr">
        <is>
          <t>Integrate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n"/>
      <c r="M36" s="5" t="inlineStr">
        <is>
          <t>Yes</t>
        </is>
      </c>
      <c r="Q36" s="5" t="n"/>
    </row>
    <row r="37">
      <c r="A37" t="inlineStr">
        <is>
          <t>State/County</t>
        </is>
      </c>
      <c r="B37" t="inlineStr">
        <is>
          <t>Recommended</t>
        </is>
      </c>
      <c r="C37" t="inlineStr">
        <is>
          <t>Supports account/contact matching and regional routing</t>
        </is>
      </c>
      <c r="D37" t="inlineStr">
        <is>
          <t>Integrate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M37" t="inlineStr">
        <is>
          <t>Yes</t>
        </is>
      </c>
    </row>
    <row r="38">
      <c r="A38" s="5" t="inlineStr">
        <is>
          <t>Postal/Zip Code</t>
        </is>
      </c>
      <c r="B38" s="5" t="inlineStr">
        <is>
          <t>Optional</t>
        </is>
      </c>
      <c r="C38" s="5" t="inlineStr">
        <is>
          <t>Supports account/contact matching and regional routing</t>
        </is>
      </c>
      <c r="D38" s="5" t="inlineStr">
        <is>
          <t>Integrate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n"/>
      <c r="M38" s="5" t="inlineStr">
        <is>
          <t>Yes</t>
        </is>
      </c>
      <c r="Q38" s="5" t="n"/>
    </row>
    <row r="39">
      <c r="A39" t="inlineStr">
        <is>
          <t>Country</t>
        </is>
      </c>
      <c r="B39" t="inlineStr">
        <is>
          <t>Required</t>
        </is>
      </c>
      <c r="C39" t="inlineStr">
        <is>
          <t>Supports routing, privacy/compliance handling, and regional reporting.</t>
        </is>
      </c>
      <c r="D39" t="inlineStr">
        <is>
          <t>Integrate Input</t>
        </is>
      </c>
      <c r="E39" t="inlineStr">
        <is>
          <t>Provided by Integrate when available.</t>
        </is>
      </c>
      <c r="F39" t="inlineStr">
        <is>
          <t>Where is the contact located?</t>
        </is>
      </c>
      <c r="G39" t="inlineStr">
        <is>
          <t>Picklist/Text</t>
        </is>
      </c>
      <c r="I39" t="inlineStr">
        <is>
          <t>Yes</t>
        </is>
      </c>
      <c r="J39" t="inlineStr">
        <is>
          <t>Yes</t>
        </is>
      </c>
      <c r="K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n"/>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n"/>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n"/>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n"/>
      <c r="M48" s="5" t="inlineStr">
        <is>
          <t>Yes</t>
        </is>
      </c>
      <c r="Q48" s="5" t="n"/>
    </row>
    <row r="49">
      <c r="A49" t="inlineStr">
        <is>
          <t>Phone Extension</t>
        </is>
      </c>
      <c r="B49" t="inlineStr">
        <is>
          <t>Optional</t>
        </is>
      </c>
      <c r="C49" t="inlineStr">
        <is>
          <t>Excluded from standard performance reporting</t>
        </is>
      </c>
      <c r="D49" t="inlineStr">
        <is>
          <t>Integrate Input</t>
        </is>
      </c>
      <c r="E49" t="inlineStr">
        <is>
          <t>Data not stored in CDF but helpful with Bucher and Suter</t>
        </is>
      </c>
      <c r="F49" t="inlineStr">
        <is>
          <t>What is the phone extension?</t>
        </is>
      </c>
      <c r="G49" t="inlineStr">
        <is>
          <t>Text</t>
        </is>
      </c>
      <c r="H49" t="inlineStr">
        <is>
          <t>Do we still need Extension for B&amp;S to auto dial?</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Customer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Customer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Customer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Customer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Integrate Input</t>
        </is>
      </c>
      <c r="E60" s="5" t="inlineStr">
        <is>
          <t>Mandatory Value from Integrate</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Integrate Input</t>
        </is>
      </c>
      <c r="E63" t="inlineStr">
        <is>
          <t>Mandatory Value from Integrate</t>
        </is>
      </c>
      <c r="F63" t="inlineStr">
        <is>
          <t>What is the Drive To ID?</t>
        </is>
      </c>
      <c r="G63" t="inlineStr">
        <is>
          <t>Text</t>
        </is>
      </c>
      <c r="H63" t="inlineStr">
        <is>
          <t>We should be able to get the drive to information from the Channel ID - I think we can retire DTID for Content Syndication</t>
        </is>
      </c>
      <c r="I63" t="inlineStr">
        <is>
          <t>Yes</t>
        </is>
      </c>
      <c r="J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Optional</t>
        </is>
      </c>
      <c r="C66" s="5" t="inlineStr">
        <is>
          <t>Maintains legacy offer identification for attribution, campaign reporting, and operational alignment during transition.</t>
        </is>
      </c>
      <c r="D66" s="5" t="inlineStr">
        <is>
          <t>Integrate Input</t>
        </is>
      </c>
      <c r="E66" s="5" t="inlineStr">
        <is>
          <t>Mandatory Value from Integrate</t>
        </is>
      </c>
      <c r="F66" s="5" t="inlineStr">
        <is>
          <t>What is the Offer ID?</t>
        </is>
      </c>
      <c r="G66" s="5" t="inlineStr">
        <is>
          <t>Text</t>
        </is>
      </c>
      <c r="H66" s="5" t="n"/>
      <c r="I66" s="5" t="inlineStr">
        <is>
          <t>Yes</t>
        </is>
      </c>
      <c r="J66" s="5" t="inlineStr">
        <is>
          <t>Yes</t>
        </is>
      </c>
      <c r="K66" s="5" t="n"/>
      <c r="L66" s="5" t="n"/>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t>
        </is>
      </c>
      <c r="G67" t="inlineStr">
        <is>
          <t>System lookup</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t>
        </is>
      </c>
      <c r="G68" s="5" t="inlineStr">
        <is>
          <t>System lookup</t>
        </is>
      </c>
      <c r="H68" s="5" t="n"/>
      <c r="I68" s="5" t="n"/>
      <c r="J68" s="5" t="n"/>
      <c r="K68" s="5" t="n"/>
      <c r="L68" s="5" t="n"/>
      <c r="M68" s="5" t="inlineStr">
        <is>
          <t>Yes</t>
        </is>
      </c>
      <c r="Q68" s="5" t="n"/>
    </row>
    <row r="69">
      <c r="A69" t="inlineStr">
        <is>
          <t>Offer Type</t>
        </is>
      </c>
    </row>
    <row r="70">
      <c r="A70" s="6" t="inlineStr">
        <is>
          <t>6 - Future Tracking Parameters</t>
        </is>
      </c>
    </row>
    <row r="71">
      <c r="A71" s="5" t="inlineStr">
        <is>
          <t>Workfront Channel ID</t>
        </is>
      </c>
      <c r="B71" s="5" t="inlineStr">
        <is>
          <t>Required</t>
        </is>
      </c>
      <c r="C71" s="5" t="inlineStr">
        <is>
          <t>Connects the upload to the Workfront channel taxonomy for durable operational and attribution alignment.</t>
        </is>
      </c>
      <c r="D71" s="5" t="inlineStr">
        <is>
          <t>Integrate Input</t>
        </is>
      </c>
      <c r="E71" s="5" t="inlineStr">
        <is>
          <t>Channel ID used appended by Integrate</t>
        </is>
      </c>
      <c r="F71" s="5" t="inlineStr">
        <is>
          <t>Integrate Input</t>
        </is>
      </c>
      <c r="G71" s="5" t="inlineStr">
        <is>
          <t>Text</t>
        </is>
      </c>
      <c r="H71" s="5" t="n"/>
      <c r="I71" s="5" t="inlineStr">
        <is>
          <t>Yes</t>
        </is>
      </c>
      <c r="J71" s="5" t="inlineStr">
        <is>
          <t>Yes</t>
        </is>
      </c>
      <c r="K71" s="5" t="n"/>
      <c r="L71" s="5" t="n"/>
      <c r="M71" s="5" t="inlineStr">
        <is>
          <t>Yes</t>
        </is>
      </c>
      <c r="Q71" s="5" t="n"/>
    </row>
    <row r="72">
      <c r="A72" t="inlineStr">
        <is>
          <t>Primary Technology</t>
        </is>
      </c>
      <c r="B72" t="inlineStr">
        <is>
          <t>Derived</t>
        </is>
      </c>
      <c r="C72" t="inlineStr">
        <is>
          <t>Identifies the primary technology associated with the content for future attribution, operational, and seller enablement reporting.</t>
        </is>
      </c>
      <c r="D72" t="inlineStr">
        <is>
          <t>Tray.io / Workfront derived</t>
        </is>
      </c>
      <c r="E72" t="inlineStr">
        <is>
          <t>Tray.io derives Primary Technology from Workfront Content ID and Workfront Channel ID alignment.</t>
        </is>
      </c>
      <c r="F72" t="inlineStr">
        <is>
          <t>N/A - appended by Tray.io after upload</t>
        </is>
      </c>
      <c r="G72" t="inlineStr">
        <is>
          <t>System lookup</t>
        </is>
      </c>
      <c r="I72" t="inlineStr">
        <is>
          <t>Yes</t>
        </is>
      </c>
      <c r="J72" t="inlineStr">
        <is>
          <t>Yes</t>
        </is>
      </c>
      <c r="M72" t="inlineStr">
        <is>
          <t>Yes</t>
        </is>
      </c>
    </row>
    <row r="73">
      <c r="A73" s="5" t="inlineStr">
        <is>
          <t>Campaign</t>
        </is>
      </c>
      <c r="B73" s="5" t="inlineStr">
        <is>
          <t>Derived</t>
        </is>
      </c>
      <c r="C73" s="5" t="inlineStr">
        <is>
          <t>Connects the touchpoint to campaign-level attribution and marketing sourced pipeline reporting aligned to Workfront Content ID and Channel ID.</t>
        </is>
      </c>
      <c r="D73" s="5" t="inlineStr">
        <is>
          <t>Tray.io / Workfront derived</t>
        </is>
      </c>
      <c r="E73" s="5" t="inlineStr">
        <is>
          <t>Tray.io derives Campaign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Program</t>
        </is>
      </c>
      <c r="B74" t="inlineStr">
        <is>
          <t>Derived</t>
        </is>
      </c>
      <c r="C74" t="inlineStr">
        <is>
          <t>Connects the touchpoint to program-level attribution and marketing sourced pipeline reporting aligned to Workfront Content ID and Channel ID.</t>
        </is>
      </c>
      <c r="D74" t="inlineStr">
        <is>
          <t>Tray.io / Workfront derived</t>
        </is>
      </c>
      <c r="E74" t="inlineStr">
        <is>
          <t>Tray.io derives Program from Workfront Content ID and Workfront Channel ID alignment.</t>
        </is>
      </c>
      <c r="F74" t="inlineStr">
        <is>
          <t>N/A - appended by Tray.io after upload</t>
        </is>
      </c>
      <c r="G74" t="inlineStr">
        <is>
          <t>System lookup</t>
        </is>
      </c>
      <c r="I74" t="inlineStr">
        <is>
          <t>Yes</t>
        </is>
      </c>
      <c r="J74" t="inlineStr">
        <is>
          <t>Yes</t>
        </is>
      </c>
      <c r="M74" t="inlineStr">
        <is>
          <t>Yes</t>
        </is>
      </c>
    </row>
    <row r="75">
      <c r="A75" s="5" t="inlineStr">
        <is>
          <t>Channel Type</t>
        </is>
      </c>
      <c r="B75" s="5" t="inlineStr">
        <is>
          <t>Derived</t>
        </is>
      </c>
      <c r="C75" s="5" t="inlineStr">
        <is>
          <t>Identifies the driving channel for future attribution, operational, and funnel reporting after legacy IDs are decommissioned.</t>
        </is>
      </c>
      <c r="D75" s="5" t="inlineStr">
        <is>
          <t>Tray.io derived</t>
        </is>
      </c>
      <c r="E75" s="5" t="inlineStr">
        <is>
          <t>Tray.io appends from Workfront Channel ID in the Workfront Data tables</t>
        </is>
      </c>
      <c r="F75" s="5" t="inlineStr">
        <is>
          <t>N/A - appended by Tray.io after upload</t>
        </is>
      </c>
      <c r="G75" s="5" t="inlineStr">
        <is>
          <t>Text</t>
        </is>
      </c>
      <c r="H75" s="5" t="n"/>
      <c r="I75" s="5" t="inlineStr">
        <is>
          <t>Yes</t>
        </is>
      </c>
      <c r="J75" s="5" t="inlineStr">
        <is>
          <t>Yes</t>
        </is>
      </c>
      <c r="K75" s="5" t="n"/>
      <c r="L75" s="5" t="n"/>
      <c r="M75" s="5" t="inlineStr">
        <is>
          <t>Yes</t>
        </is>
      </c>
      <c r="Q75" s="5" t="n"/>
    </row>
    <row r="76">
      <c r="A76" t="inlineStr">
        <is>
          <t>Channel Source</t>
        </is>
      </c>
      <c r="B76" t="inlineStr">
        <is>
          <t>Derived</t>
        </is>
      </c>
      <c r="C76" t="inlineStr">
        <is>
          <t>Identifies platform/vendor source for future attribution, operational, and funnel reporting.</t>
        </is>
      </c>
      <c r="D76" t="inlineStr">
        <is>
          <t>Tray.io derived</t>
        </is>
      </c>
      <c r="E76" t="inlineStr">
        <is>
          <t>Tray.io appends from Workfront Channel ID in the Workfront Data tables</t>
        </is>
      </c>
      <c r="F76" t="inlineStr">
        <is>
          <t>N/A - appended by Tray.io after upload</t>
        </is>
      </c>
      <c r="G76" t="inlineStr">
        <is>
          <t>Text</t>
        </is>
      </c>
      <c r="I76" t="inlineStr">
        <is>
          <t>Yes</t>
        </is>
      </c>
      <c r="J76" t="inlineStr">
        <is>
          <t>Yes</t>
        </is>
      </c>
      <c r="M76" t="inlineStr">
        <is>
          <t>Yes</t>
        </is>
      </c>
    </row>
    <row r="77">
      <c r="A77" s="5" t="inlineStr">
        <is>
          <t>Funnel Stage</t>
        </is>
      </c>
      <c r="B77" s="5" t="inlineStr">
        <is>
          <t>Derived</t>
        </is>
      </c>
      <c r="C77" s="5" t="inlineStr">
        <is>
          <t>Supports funnel-based routing, lead scoring, and operational reporting aligned to Workfront Content ID and Channel ID.</t>
        </is>
      </c>
      <c r="D77" s="5" t="inlineStr">
        <is>
          <t>Tray.io / Workfront derived</t>
        </is>
      </c>
      <c r="E77" s="5" t="inlineStr">
        <is>
          <t>Tray.io derives Funnel Stage from Workfront Content ID and Workfront Channel ID alignment.</t>
        </is>
      </c>
      <c r="F77" s="5" t="inlineStr">
        <is>
          <t>N/A - appended by Tray.io after upload</t>
        </is>
      </c>
      <c r="G77" s="5" t="inlineStr">
        <is>
          <t>System lookup</t>
        </is>
      </c>
      <c r="H77" s="5" t="n"/>
      <c r="I77" s="5" t="inlineStr">
        <is>
          <t>Yes</t>
        </is>
      </c>
      <c r="J77" s="5" t="inlineStr">
        <is>
          <t>Yes</t>
        </is>
      </c>
      <c r="K77" s="5" t="n"/>
      <c r="L77" s="5" t="n"/>
      <c r="M77" s="5" t="inlineStr">
        <is>
          <t>Yes</t>
        </is>
      </c>
      <c r="Q77" s="5" t="n"/>
    </row>
    <row r="78">
      <c r="A78" t="inlineStr">
        <is>
          <t>Workfront Content ID</t>
        </is>
      </c>
      <c r="B78" t="inlineStr">
        <is>
          <t>Optional</t>
        </is>
      </c>
      <c r="C78" t="inlineStr">
        <is>
          <t>Connects the upload to the Workfront Content taxonomy for durable operational and attribution alignment.</t>
        </is>
      </c>
      <c r="D78" t="inlineStr">
        <is>
          <t>Integrate Input</t>
        </is>
      </c>
      <c r="E78" t="inlineStr">
        <is>
          <t>Content ID used appended by Integrate</t>
        </is>
      </c>
      <c r="F78" t="inlineStr">
        <is>
          <t>Integrate Input</t>
        </is>
      </c>
      <c r="G78" t="inlineStr">
        <is>
          <t>Text</t>
        </is>
      </c>
      <c r="I78" t="inlineStr">
        <is>
          <t>Yes</t>
        </is>
      </c>
      <c r="J78" t="inlineStr">
        <is>
          <t>Yes</t>
        </is>
      </c>
      <c r="M78" t="inlineStr">
        <is>
          <t>Yes</t>
        </is>
      </c>
    </row>
    <row r="79">
      <c r="A79" s="5" t="inlineStr">
        <is>
          <t>Content Type</t>
        </is>
      </c>
    </row>
    <row r="80">
      <c r="A80" s="6" t="inlineStr">
        <is>
          <t>8 - Activity Detail</t>
        </is>
      </c>
    </row>
    <row r="81">
      <c r="A81" t="inlineStr">
        <is>
          <t>Form Submit Date</t>
        </is>
      </c>
      <c r="B81" t="inlineStr">
        <is>
          <t>Derived</t>
        </is>
      </c>
      <c r="C81" t="inlineStr">
        <is>
          <t>Supports submission timing analysis and operational reporting.</t>
        </is>
      </c>
      <c r="D81" t="inlineStr">
        <is>
          <t>Integrate Input</t>
        </is>
      </c>
      <c r="E81" t="inlineStr">
        <is>
          <t>System-captured form submission date passed from Integrate.</t>
        </is>
      </c>
      <c r="F81" t="inlineStr">
        <is>
          <t>What is the date we received the lead from Integrate?</t>
        </is>
      </c>
      <c r="G81" t="inlineStr">
        <is>
          <t>Date/Time</t>
        </is>
      </c>
      <c r="J81" t="inlineStr">
        <is>
          <t>Yes</t>
        </is>
      </c>
      <c r="K81" t="inlineStr">
        <is>
          <t>Yes</t>
        </is>
      </c>
      <c r="M81" t="inlineStr">
        <is>
          <t>Yes</t>
        </is>
      </c>
    </row>
    <row r="82">
      <c r="A82" s="5" t="inlineStr">
        <is>
          <t>Integrate Source ID</t>
        </is>
      </c>
      <c r="B82" s="5" t="inlineStr">
        <is>
          <t>Required</t>
        </is>
      </c>
      <c r="C82" s="5" t="inlineStr">
        <is>
          <t>Connects the submission to Integrate source taxonomy for attribution and operational reporting.</t>
        </is>
      </c>
      <c r="D82" s="5" t="inlineStr">
        <is>
          <t>Integrate Input</t>
        </is>
      </c>
      <c r="E82" s="5" t="inlineStr">
        <is>
          <t>Mandatory source identifier captured from Integrate for attribution and source lineage tracking.</t>
        </is>
      </c>
      <c r="F82" s="5" t="inlineStr">
        <is>
          <t>What is the Integrate Unique Identifier?</t>
        </is>
      </c>
      <c r="G82" s="5" t="inlineStr">
        <is>
          <t>Text</t>
        </is>
      </c>
      <c r="H82" s="5" t="n"/>
      <c r="I82" s="5" t="n"/>
      <c r="J82" s="5" t="inlineStr">
        <is>
          <t>Yes</t>
        </is>
      </c>
      <c r="K82" s="5" t="n"/>
      <c r="L82" s="5" t="n"/>
      <c r="M82" s="5" t="inlineStr">
        <is>
          <t>Yes</t>
        </is>
      </c>
      <c r="Q82" s="5" t="n"/>
    </row>
    <row r="83">
      <c r="A83" t="inlineStr">
        <is>
          <t>Contact Source Original</t>
        </is>
      </c>
      <c r="B83" t="inlineStr">
        <is>
          <t>Derived</t>
        </is>
      </c>
      <c r="C83" t="inlineStr">
        <is>
          <t>Supports source lineage for attribution, operational reporting, and seller enablement.</t>
        </is>
      </c>
      <c r="D83" t="inlineStr">
        <is>
          <t>Integrate Input</t>
        </is>
      </c>
      <c r="E83" t="inlineStr">
        <is>
          <t>System-captured original source identifier (e.g., Integrate-Content Syndication).</t>
        </is>
      </c>
      <c r="F83" t="inlineStr">
        <is>
          <t>What is the original contact source for this submission?</t>
        </is>
      </c>
      <c r="G83" t="inlineStr">
        <is>
          <t>Text</t>
        </is>
      </c>
      <c r="J83" t="inlineStr">
        <is>
          <t>Yes</t>
        </is>
      </c>
      <c r="M83" t="inlineStr">
        <is>
          <t>Yes</t>
        </is>
      </c>
    </row>
    <row r="84">
      <c r="A84" s="5" t="inlineStr">
        <is>
          <t>Additional Enquiry Details</t>
        </is>
      </c>
      <c r="B84" s="5" t="inlineStr">
        <is>
          <t>Required</t>
        </is>
      </c>
      <c r="C84" s="5" t="inlineStr">
        <is>
          <t>Provides qualitative enquiry context for seller enablement and operational review.</t>
        </is>
      </c>
      <c r="D84" s="5" t="inlineStr">
        <is>
          <t>Integrate Input</t>
        </is>
      </c>
      <c r="E84" s="5" t="inlineStr">
        <is>
          <t>Required free-text response captured from the customer by Integrate</t>
        </is>
      </c>
      <c r="F84" s="5" t="inlineStr">
        <is>
          <t>What additional details did the contact provide about their enquiry?</t>
        </is>
      </c>
      <c r="G84" s="5" t="inlineStr">
        <is>
          <t>Text</t>
        </is>
      </c>
      <c r="H84" s="5" t="n"/>
      <c r="I84" s="5" t="n"/>
      <c r="J84" s="5" t="n"/>
      <c r="K84" s="5" t="n"/>
      <c r="L84" s="5" t="n"/>
      <c r="M84" s="5" t="inlineStr">
        <is>
          <t>Yes</t>
        </is>
      </c>
      <c r="Q84" s="5" t="n"/>
    </row>
  </sheetData>
  <mergeCells count="10">
    <mergeCell ref="A31:Q31"/>
    <mergeCell ref="A56:Q56"/>
    <mergeCell ref="A12:Q12"/>
    <mergeCell ref="A50:Q50"/>
    <mergeCell ref="A1:Q1"/>
    <mergeCell ref="A79:Q79"/>
    <mergeCell ref="B5:Q5"/>
    <mergeCell ref="A69:Q69"/>
    <mergeCell ref="B4:Q4"/>
    <mergeCell ref="B3:Q3"/>
  </mergeCells>
  <dataValidations count="1">
    <dataValidation sqref="Q8:Q84"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Q84"/>
  <sheetViews>
    <sheetView workbookViewId="0">
      <pane ySplit="6" topLeftCell="A7" activePane="bottomLeft" state="frozen"/>
      <selection pane="bottomLeft" activeCell="A1" sqref="A1"/>
    </sheetView>
  </sheetViews>
  <sheetFormatPr baseColWidth="8" defaultRowHeight="14.25"/>
  <cols>
    <col width="50" customWidth="1" style="7" min="1" max="1"/>
    <col width="21" customWidth="1" style="7" min="2" max="2"/>
    <col width="50" customWidth="1" style="7" min="3" max="6"/>
    <col width="15"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UC04 — Content Syndication | Non-Hand Raiser | Content Syndication | Form Submit</t>
        </is>
      </c>
    </row>
    <row r="2">
      <c r="A2" s="14" t="inlineStr">
        <is>
          <t>← Use Case Index</t>
        </is>
      </c>
      <c r="Q2" s="14" t="inlineStr">
        <is>
          <t>Data Element Matrix →</t>
        </is>
      </c>
    </row>
    <row r="3">
      <c r="A3" s="4" t="inlineStr">
        <is>
          <t>Process</t>
        </is>
      </c>
      <c r="B3" t="inlineStr">
        <is>
          <t>Content Syndication</t>
        </is>
      </c>
    </row>
    <row r="4">
      <c r="A4" s="4" t="inlineStr">
        <is>
          <t>Lead Category</t>
        </is>
      </c>
      <c r="B4" t="inlineStr">
        <is>
          <t>Non-Hand Raiser</t>
        </is>
      </c>
    </row>
    <row r="5">
      <c r="A5" s="4" t="inlineStr">
        <is>
          <t>Use Case</t>
        </is>
      </c>
      <c r="B5" t="inlineStr">
        <is>
          <t>Content Syndication</t>
        </is>
      </c>
    </row>
    <row r="6">
      <c r="A6" s="4" t="inlineStr">
        <is>
          <t>Activity Type</t>
        </is>
      </c>
      <c r="B6" t="inlineStr">
        <is>
          <t>Form Submit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Required</t>
        </is>
      </c>
      <c r="C9" t="inlineStr">
        <is>
          <t>To be able to align to lead scoring and attribution models</t>
        </is>
      </c>
      <c r="D9" t="inlineStr">
        <is>
          <t>Tray.io derived</t>
        </is>
      </c>
      <c r="E9" t="inlineStr">
        <is>
          <t>Set by Tray.io on receipt of submission from Integrate.</t>
        </is>
      </c>
      <c r="F9" t="inlineStr">
        <is>
          <t>What is the Activity we are aligning attribution to?</t>
        </is>
      </c>
      <c r="G9" t="inlineStr">
        <is>
          <t>Text</t>
        </is>
      </c>
      <c r="I9" t="inlineStr">
        <is>
          <t>Yes</t>
        </is>
      </c>
      <c r="J9" t="inlineStr">
        <is>
          <t>Yes</t>
        </is>
      </c>
      <c r="K9" t="inlineStr">
        <is>
          <t>Yes</t>
        </is>
      </c>
      <c r="M9" t="inlineStr">
        <is>
          <t>Yes</t>
        </is>
      </c>
    </row>
    <row r="10">
      <c r="A10" s="5" t="inlineStr">
        <is>
          <t>Use Case</t>
        </is>
      </c>
      <c r="B10" s="5" t="inlineStr">
        <is>
          <t>Derived</t>
        </is>
      </c>
      <c r="C10" s="5" t="inlineStr">
        <is>
          <t>Separated the type of Content Syndication for Attribution models to score separately</t>
        </is>
      </c>
      <c r="D10" s="5" t="inlineStr">
        <is>
          <t>Integrate Defined</t>
        </is>
      </c>
      <c r="E10" s="5" t="inlineStr">
        <is>
          <t>Set by Integrate</t>
        </is>
      </c>
      <c r="F10" s="5" t="inlineStr">
        <is>
          <t>What type of Content Syndication is this?</t>
        </is>
      </c>
      <c r="G10" s="5" t="inlineStr">
        <is>
          <t>Picklist/Text</t>
        </is>
      </c>
      <c r="H10" s="5" t="n"/>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n"/>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Marketing Automation ID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Customer Input</t>
        </is>
      </c>
      <c r="E17" s="5" t="inlineStr">
        <is>
          <t>Provided by Integrate and enriched by Contact Database</t>
        </is>
      </c>
      <c r="F17" s="5" t="inlineStr">
        <is>
          <t>What is the contact first name?</t>
        </is>
      </c>
      <c r="G17" s="5" t="inlineStr">
        <is>
          <t>Text</t>
        </is>
      </c>
      <c r="H17" s="5" t="n"/>
      <c r="I17" s="5" t="n"/>
      <c r="J17" s="5" t="n"/>
      <c r="K17" s="5" t="n"/>
      <c r="L17" s="5" t="n"/>
      <c r="M17" s="5" t="inlineStr">
        <is>
          <t>Yes</t>
        </is>
      </c>
      <c r="Q17" s="5" t="n"/>
    </row>
    <row r="18">
      <c r="A18" t="inlineStr">
        <is>
          <t>Last Name</t>
        </is>
      </c>
      <c r="B18" t="inlineStr">
        <is>
          <t>Required</t>
        </is>
      </c>
      <c r="C18" t="inlineStr">
        <is>
          <t>Supports contact creation/update and personalization.</t>
        </is>
      </c>
      <c r="D18" t="inlineStr">
        <is>
          <t>Customer Input</t>
        </is>
      </c>
      <c r="E18" t="inlineStr">
        <is>
          <t>Provided by Integrate and enriched by Contact Database</t>
        </is>
      </c>
      <c r="F18" t="inlineStr">
        <is>
          <t>What is the contact last name?</t>
        </is>
      </c>
      <c r="G18" t="inlineStr">
        <is>
          <t>Text</t>
        </is>
      </c>
      <c r="M18" t="inlineStr">
        <is>
          <t>Yes</t>
        </is>
      </c>
    </row>
    <row r="19">
      <c r="A19" s="5" t="inlineStr">
        <is>
          <t>Job Title</t>
        </is>
      </c>
      <c r="B19" s="5" t="inlineStr">
        <is>
          <t>Recommended</t>
        </is>
      </c>
      <c r="C19" s="5" t="inlineStr">
        <is>
          <t xml:space="preserve">Supports persona reporting </t>
        </is>
      </c>
      <c r="D19" s="5" t="inlineStr">
        <is>
          <t>Customer Input</t>
        </is>
      </c>
      <c r="E19" s="5" t="inlineStr">
        <is>
          <t>Provided by Integrate when available and used to derive Job Level &amp; Department</t>
        </is>
      </c>
      <c r="F19" s="5" t="inlineStr">
        <is>
          <t>What is the contact job title?</t>
        </is>
      </c>
      <c r="G19" s="5" t="inlineStr">
        <is>
          <t>Text</t>
        </is>
      </c>
      <c r="H19" s="5" t="n"/>
      <c r="I19" s="5" t="n"/>
      <c r="J19" s="5" t="n"/>
      <c r="K19" s="5" t="n"/>
      <c r="L19" s="5" t="n"/>
      <c r="M19" s="5" t="inlineStr">
        <is>
          <t>Yes</t>
        </is>
      </c>
      <c r="Q19" s="5" t="n"/>
    </row>
    <row r="20">
      <c r="A20" t="inlineStr">
        <is>
          <t>Job Level</t>
        </is>
      </c>
      <c r="B20" t="inlineStr">
        <is>
          <t>Derived</t>
        </is>
      </c>
      <c r="C20" t="inlineStr">
        <is>
          <t>Supports contact matching, enrichment, routing, and lead scoring</t>
        </is>
      </c>
      <c r="D20" t="inlineStr">
        <is>
          <t>Tray.io / Contact Database derived</t>
        </is>
      </c>
      <c r="E20" t="inlineStr">
        <is>
          <t>Tray.io appends from Contact Database or derived from Job Title when available.</t>
        </is>
      </c>
      <c r="F20" t="inlineStr">
        <is>
          <t>N/A - appended by Tray.io after upload</t>
        </is>
      </c>
      <c r="G20" t="inlineStr">
        <is>
          <t>System lookup</t>
        </is>
      </c>
      <c r="K20" t="inlineStr">
        <is>
          <t>Yes</t>
        </is>
      </c>
      <c r="M20" t="inlineStr">
        <is>
          <t>Yes</t>
        </is>
      </c>
    </row>
    <row r="21">
      <c r="A21" s="5" t="inlineStr">
        <is>
          <t>Job Department</t>
        </is>
      </c>
      <c r="B21" s="5" t="inlineStr">
        <is>
          <t>Derived</t>
        </is>
      </c>
      <c r="C21" s="5" t="inlineStr">
        <is>
          <t>Supports contact matching, enrichment, routing, and lead scoring</t>
        </is>
      </c>
      <c r="D21" s="5" t="inlineStr">
        <is>
          <t>Tray.io / Contact Database derived</t>
        </is>
      </c>
      <c r="E21" s="5" t="inlineStr">
        <is>
          <t>Tray.io appends from Contact Database or derived from Job Title when available.</t>
        </is>
      </c>
      <c r="F21" s="5" t="inlineStr">
        <is>
          <t>N/A - appended by Tray.io after upload</t>
        </is>
      </c>
      <c r="G21" s="5" t="inlineStr">
        <is>
          <t>System lookup</t>
        </is>
      </c>
      <c r="H21" s="5" t="n"/>
      <c r="I21" s="5" t="n"/>
      <c r="J21" s="5" t="n"/>
      <c r="K21" s="5" t="inlineStr">
        <is>
          <t>Yes</t>
        </is>
      </c>
      <c r="L21" s="5" t="n"/>
      <c r="M21" s="5" t="inlineStr">
        <is>
          <t>Yes</t>
        </is>
      </c>
      <c r="Q21" s="5" t="n"/>
    </row>
    <row r="22">
      <c r="A22" t="inlineStr">
        <is>
          <t>Email</t>
        </is>
      </c>
      <c r="B22" t="inlineStr">
        <is>
          <t>Required</t>
        </is>
      </c>
      <c r="C22" t="inlineStr">
        <is>
          <t>Primary contact matching key for Eloqua/SFDC and deduplication.</t>
        </is>
      </c>
      <c r="D22" t="inlineStr">
        <is>
          <t>Customer Input</t>
        </is>
      </c>
      <c r="E22" t="inlineStr">
        <is>
          <t>Provided by Integrate</t>
        </is>
      </c>
      <c r="F22" t="inlineStr">
        <is>
          <t>What is the contact email address?</t>
        </is>
      </c>
      <c r="G22" t="inlineStr">
        <is>
          <t>Email</t>
        </is>
      </c>
      <c r="H22" t="inlineStr">
        <is>
          <t>Confirm whether business email is mandatory and personal email domains are allowed.</t>
        </is>
      </c>
      <c r="J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n"/>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n"/>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Customer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n"/>
      <c r="M34" s="5" t="inlineStr">
        <is>
          <t>Yes</t>
        </is>
      </c>
      <c r="Q34" s="5" t="n"/>
    </row>
    <row r="35">
      <c r="A35" t="inlineStr">
        <is>
          <t>Address Line 1</t>
        </is>
      </c>
      <c r="B35" t="inlineStr">
        <is>
          <t>Optional</t>
        </is>
      </c>
      <c r="C35" t="inlineStr">
        <is>
          <t>Supports account/contact matching and regional routing</t>
        </is>
      </c>
      <c r="D35" t="inlineStr">
        <is>
          <t>Integrate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M35" t="inlineStr">
        <is>
          <t>Yes</t>
        </is>
      </c>
    </row>
    <row r="36">
      <c r="A36" s="5" t="inlineStr">
        <is>
          <t>City</t>
        </is>
      </c>
      <c r="B36" s="5" t="inlineStr">
        <is>
          <t>Recommended</t>
        </is>
      </c>
      <c r="C36" s="5" t="inlineStr">
        <is>
          <t>Supports account/contact matching and regional routing</t>
        </is>
      </c>
      <c r="D36" s="5" t="inlineStr">
        <is>
          <t>Integrate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n"/>
      <c r="M36" s="5" t="inlineStr">
        <is>
          <t>Yes</t>
        </is>
      </c>
      <c r="Q36" s="5" t="n"/>
    </row>
    <row r="37">
      <c r="A37" t="inlineStr">
        <is>
          <t>State/County</t>
        </is>
      </c>
      <c r="B37" t="inlineStr">
        <is>
          <t>Recommended</t>
        </is>
      </c>
      <c r="C37" t="inlineStr">
        <is>
          <t>Supports account/contact matching and regional routing</t>
        </is>
      </c>
      <c r="D37" t="inlineStr">
        <is>
          <t>Integrate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M37" t="inlineStr">
        <is>
          <t>Yes</t>
        </is>
      </c>
    </row>
    <row r="38">
      <c r="A38" s="5" t="inlineStr">
        <is>
          <t>Postal/Zip Code</t>
        </is>
      </c>
      <c r="B38" s="5" t="inlineStr">
        <is>
          <t>Optional</t>
        </is>
      </c>
      <c r="C38" s="5" t="inlineStr">
        <is>
          <t>Supports account/contact matching and regional routing</t>
        </is>
      </c>
      <c r="D38" s="5" t="inlineStr">
        <is>
          <t>Integrate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n"/>
      <c r="M38" s="5" t="inlineStr">
        <is>
          <t>Yes</t>
        </is>
      </c>
      <c r="Q38" s="5" t="n"/>
    </row>
    <row r="39">
      <c r="A39" t="inlineStr">
        <is>
          <t>Country</t>
        </is>
      </c>
      <c r="B39" t="inlineStr">
        <is>
          <t>Required</t>
        </is>
      </c>
      <c r="C39" t="inlineStr">
        <is>
          <t>Supports routing, privacy/compliance handling, and regional reporting.</t>
        </is>
      </c>
      <c r="D39" t="inlineStr">
        <is>
          <t>Integrate Input</t>
        </is>
      </c>
      <c r="E39" t="inlineStr">
        <is>
          <t>Provided by Integrate when available.</t>
        </is>
      </c>
      <c r="F39" t="inlineStr">
        <is>
          <t>Where is the contact located?</t>
        </is>
      </c>
      <c r="G39" t="inlineStr">
        <is>
          <t>Picklist/Text</t>
        </is>
      </c>
      <c r="I39" t="inlineStr">
        <is>
          <t>Yes</t>
        </is>
      </c>
      <c r="J39" t="inlineStr">
        <is>
          <t>Yes</t>
        </is>
      </c>
      <c r="K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n"/>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n"/>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n"/>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n"/>
      <c r="M48" s="5" t="inlineStr">
        <is>
          <t>Yes</t>
        </is>
      </c>
      <c r="Q48" s="5" t="n"/>
    </row>
    <row r="49">
      <c r="A49" t="inlineStr">
        <is>
          <t>Phone Extension</t>
        </is>
      </c>
      <c r="B49" t="inlineStr">
        <is>
          <t>Optional</t>
        </is>
      </c>
      <c r="C49" t="inlineStr">
        <is>
          <t>Excluded from standard performance reporting</t>
        </is>
      </c>
      <c r="D49" t="inlineStr">
        <is>
          <t>Integrate Input</t>
        </is>
      </c>
      <c r="E49" t="inlineStr">
        <is>
          <t>Data not stored in CDF but helpful with Bucher and Suter</t>
        </is>
      </c>
      <c r="F49" t="inlineStr">
        <is>
          <t>What is the phone extension?</t>
        </is>
      </c>
      <c r="G49" t="inlineStr">
        <is>
          <t>Text</t>
        </is>
      </c>
      <c r="H49" t="inlineStr">
        <is>
          <t>Do we still need Extension for B&amp;S to auto dial?</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Customer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Customer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Customer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Customer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Integrate Input</t>
        </is>
      </c>
      <c r="E60" s="5" t="inlineStr">
        <is>
          <t>Mandatory Value from Integrate</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Integrate Input</t>
        </is>
      </c>
      <c r="E63" t="inlineStr">
        <is>
          <t>Mandatory Value from Integrate</t>
        </is>
      </c>
      <c r="F63" t="inlineStr">
        <is>
          <t>What is the Drive To ID?</t>
        </is>
      </c>
      <c r="G63" t="inlineStr">
        <is>
          <t>Text</t>
        </is>
      </c>
      <c r="H63" t="inlineStr">
        <is>
          <t>We should be able to get the drive to information from the Channel ID - I think we can retire DTID for Content Syndication</t>
        </is>
      </c>
      <c r="I63" t="inlineStr">
        <is>
          <t>Yes</t>
        </is>
      </c>
      <c r="J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Optional</t>
        </is>
      </c>
      <c r="C66" s="5" t="inlineStr">
        <is>
          <t>Maintains legacy offer identification for attribution, campaign reporting, and operational alignment during transition.</t>
        </is>
      </c>
      <c r="D66" s="5" t="inlineStr">
        <is>
          <t>Integrate Input</t>
        </is>
      </c>
      <c r="E66" s="5" t="inlineStr">
        <is>
          <t>Mandatory Value from Integrate</t>
        </is>
      </c>
      <c r="F66" s="5" t="inlineStr">
        <is>
          <t>What is the Offer ID?</t>
        </is>
      </c>
      <c r="G66" s="5" t="inlineStr">
        <is>
          <t>Text</t>
        </is>
      </c>
      <c r="H66" s="5" t="n"/>
      <c r="I66" s="5" t="inlineStr">
        <is>
          <t>Yes</t>
        </is>
      </c>
      <c r="J66" s="5" t="inlineStr">
        <is>
          <t>Yes</t>
        </is>
      </c>
      <c r="K66" s="5" t="n"/>
      <c r="L66" s="5" t="n"/>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t>
        </is>
      </c>
      <c r="G67" t="inlineStr">
        <is>
          <t>System lookup</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t>
        </is>
      </c>
      <c r="G68" s="5" t="inlineStr">
        <is>
          <t>System lookup</t>
        </is>
      </c>
      <c r="H68" s="5" t="n"/>
      <c r="I68" s="5" t="n"/>
      <c r="J68" s="5" t="n"/>
      <c r="K68" s="5" t="n"/>
      <c r="L68" s="5" t="n"/>
      <c r="M68" s="5" t="inlineStr">
        <is>
          <t>Yes</t>
        </is>
      </c>
      <c r="Q68" s="5" t="n"/>
    </row>
    <row r="69">
      <c r="A69" t="inlineStr">
        <is>
          <t>Offer Type</t>
        </is>
      </c>
    </row>
    <row r="70">
      <c r="A70" s="6" t="inlineStr">
        <is>
          <t>6 - Future Tracking Parameters</t>
        </is>
      </c>
    </row>
    <row r="71">
      <c r="A71" s="5" t="inlineStr">
        <is>
          <t>Workfront Channel ID</t>
        </is>
      </c>
      <c r="B71" s="5" t="inlineStr">
        <is>
          <t>Required</t>
        </is>
      </c>
      <c r="C71" s="5" t="inlineStr">
        <is>
          <t>Connects the upload to the Workfront channel taxonomy for durable operational and attribution alignment.</t>
        </is>
      </c>
      <c r="D71" s="5" t="inlineStr">
        <is>
          <t>Integrate Input</t>
        </is>
      </c>
      <c r="E71" s="5" t="inlineStr">
        <is>
          <t>Channel ID used appended by Integrate</t>
        </is>
      </c>
      <c r="F71" s="5" t="inlineStr">
        <is>
          <t>Integrate Input</t>
        </is>
      </c>
      <c r="G71" s="5" t="inlineStr">
        <is>
          <t>Text</t>
        </is>
      </c>
      <c r="H71" s="5" t="n"/>
      <c r="I71" s="5" t="inlineStr">
        <is>
          <t>Yes</t>
        </is>
      </c>
      <c r="J71" s="5" t="inlineStr">
        <is>
          <t>Yes</t>
        </is>
      </c>
      <c r="K71" s="5" t="n"/>
      <c r="L71" s="5" t="n"/>
      <c r="M71" s="5" t="inlineStr">
        <is>
          <t>Yes</t>
        </is>
      </c>
      <c r="Q71" s="5" t="n"/>
    </row>
    <row r="72">
      <c r="A72" t="inlineStr">
        <is>
          <t>Primary Technology</t>
        </is>
      </c>
      <c r="B72" t="inlineStr">
        <is>
          <t>Derived</t>
        </is>
      </c>
      <c r="C72" t="inlineStr">
        <is>
          <t>Identifies the primary technology associated with the content for future attribution, operational, and seller enablement reporting.</t>
        </is>
      </c>
      <c r="D72" t="inlineStr">
        <is>
          <t>Tray.io / Workfront derived</t>
        </is>
      </c>
      <c r="E72" t="inlineStr">
        <is>
          <t>Tray.io derives Primary Technology from Workfront Content ID and Workfront Channel ID alignment.</t>
        </is>
      </c>
      <c r="F72" t="inlineStr">
        <is>
          <t>N/A - appended by Tray.io after upload</t>
        </is>
      </c>
      <c r="G72" t="inlineStr">
        <is>
          <t>System lookup</t>
        </is>
      </c>
      <c r="I72" t="inlineStr">
        <is>
          <t>Yes</t>
        </is>
      </c>
      <c r="J72" t="inlineStr">
        <is>
          <t>Yes</t>
        </is>
      </c>
      <c r="M72" t="inlineStr">
        <is>
          <t>Yes</t>
        </is>
      </c>
    </row>
    <row r="73">
      <c r="A73" s="5" t="inlineStr">
        <is>
          <t>Campaign</t>
        </is>
      </c>
      <c r="B73" s="5" t="inlineStr">
        <is>
          <t>Derived</t>
        </is>
      </c>
      <c r="C73" s="5" t="inlineStr">
        <is>
          <t>Connects the touchpoint to campaign-level attribution and marketing sourced pipeline reporting aligned to Workfront Content ID and Channel ID.</t>
        </is>
      </c>
      <c r="D73" s="5" t="inlineStr">
        <is>
          <t>Tray.io / Workfront derived</t>
        </is>
      </c>
      <c r="E73" s="5" t="inlineStr">
        <is>
          <t>Tray.io derives Campaign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Program</t>
        </is>
      </c>
      <c r="B74" t="inlineStr">
        <is>
          <t>Derived</t>
        </is>
      </c>
      <c r="C74" t="inlineStr">
        <is>
          <t>Connects the touchpoint to program-level attribution and marketing sourced pipeline reporting aligned to Workfront Content ID and Channel ID.</t>
        </is>
      </c>
      <c r="D74" t="inlineStr">
        <is>
          <t>Tray.io / Workfront derived</t>
        </is>
      </c>
      <c r="E74" t="inlineStr">
        <is>
          <t>Tray.io derives Program from Workfront Content ID and Workfront Channel ID alignment.</t>
        </is>
      </c>
      <c r="F74" t="inlineStr">
        <is>
          <t>N/A - appended by Tray.io after upload</t>
        </is>
      </c>
      <c r="G74" t="inlineStr">
        <is>
          <t>System lookup</t>
        </is>
      </c>
      <c r="I74" t="inlineStr">
        <is>
          <t>Yes</t>
        </is>
      </c>
      <c r="J74" t="inlineStr">
        <is>
          <t>Yes</t>
        </is>
      </c>
      <c r="M74" t="inlineStr">
        <is>
          <t>Yes</t>
        </is>
      </c>
    </row>
    <row r="75">
      <c r="A75" s="5" t="inlineStr">
        <is>
          <t>Channel Type</t>
        </is>
      </c>
      <c r="B75" s="5" t="inlineStr">
        <is>
          <t>Derived</t>
        </is>
      </c>
      <c r="C75" s="5" t="inlineStr">
        <is>
          <t>Identifies the driving channel for future attribution, operational, and funnel reporting after legacy IDs are decommissioned.</t>
        </is>
      </c>
      <c r="D75" s="5" t="inlineStr">
        <is>
          <t>Tray.io derived</t>
        </is>
      </c>
      <c r="E75" s="5" t="inlineStr">
        <is>
          <t>Tray.io appends from Workfront Channel ID in the Workfront Data tables</t>
        </is>
      </c>
      <c r="F75" s="5" t="inlineStr">
        <is>
          <t>N/A - appended by Tray.io after upload</t>
        </is>
      </c>
      <c r="G75" s="5" t="inlineStr">
        <is>
          <t>Text</t>
        </is>
      </c>
      <c r="H75" s="5" t="n"/>
      <c r="I75" s="5" t="inlineStr">
        <is>
          <t>Yes</t>
        </is>
      </c>
      <c r="J75" s="5" t="inlineStr">
        <is>
          <t>Yes</t>
        </is>
      </c>
      <c r="K75" s="5" t="n"/>
      <c r="L75" s="5" t="n"/>
      <c r="M75" s="5" t="inlineStr">
        <is>
          <t>Yes</t>
        </is>
      </c>
      <c r="Q75" s="5" t="n"/>
    </row>
    <row r="76">
      <c r="A76" t="inlineStr">
        <is>
          <t>Channel Source</t>
        </is>
      </c>
      <c r="B76" t="inlineStr">
        <is>
          <t>Derived</t>
        </is>
      </c>
      <c r="C76" t="inlineStr">
        <is>
          <t>Identifies platform/vendor source for future attribution, operational, and funnel reporting.</t>
        </is>
      </c>
      <c r="D76" t="inlineStr">
        <is>
          <t>Tray.io derived</t>
        </is>
      </c>
      <c r="E76" t="inlineStr">
        <is>
          <t>Tray.io appends from Workfront Channel ID in the Workfront Data tables</t>
        </is>
      </c>
      <c r="F76" t="inlineStr">
        <is>
          <t>N/A - appended by Tray.io after upload</t>
        </is>
      </c>
      <c r="G76" t="inlineStr">
        <is>
          <t>Text</t>
        </is>
      </c>
      <c r="I76" t="inlineStr">
        <is>
          <t>Yes</t>
        </is>
      </c>
      <c r="J76" t="inlineStr">
        <is>
          <t>Yes</t>
        </is>
      </c>
      <c r="M76" t="inlineStr">
        <is>
          <t>Yes</t>
        </is>
      </c>
    </row>
    <row r="77">
      <c r="A77" s="5" t="inlineStr">
        <is>
          <t>Funnel Stage</t>
        </is>
      </c>
      <c r="B77" s="5" t="inlineStr">
        <is>
          <t>Derived</t>
        </is>
      </c>
      <c r="C77" s="5" t="inlineStr">
        <is>
          <t>Supports funnel-based routing, lead scoring, and operational reporting aligned to Workfront Content ID and Channel ID.</t>
        </is>
      </c>
      <c r="D77" s="5" t="inlineStr">
        <is>
          <t>Tray.io / Workfront derived</t>
        </is>
      </c>
      <c r="E77" s="5" t="inlineStr">
        <is>
          <t>Tray.io derives Funnel Stage from Workfront Content ID and Workfront Channel ID alignment.</t>
        </is>
      </c>
      <c r="F77" s="5" t="inlineStr">
        <is>
          <t>N/A - appended by Tray.io after upload</t>
        </is>
      </c>
      <c r="G77" s="5" t="inlineStr">
        <is>
          <t>System lookup</t>
        </is>
      </c>
      <c r="H77" s="5" t="n"/>
      <c r="I77" s="5" t="inlineStr">
        <is>
          <t>Yes</t>
        </is>
      </c>
      <c r="J77" s="5" t="inlineStr">
        <is>
          <t>Yes</t>
        </is>
      </c>
      <c r="K77" s="5" t="n"/>
      <c r="L77" s="5" t="n"/>
      <c r="M77" s="5" t="inlineStr">
        <is>
          <t>Yes</t>
        </is>
      </c>
      <c r="Q77" s="5" t="n"/>
    </row>
    <row r="78">
      <c r="A78" t="inlineStr">
        <is>
          <t>Workfront Content ID</t>
        </is>
      </c>
      <c r="B78" t="inlineStr">
        <is>
          <t>Optional</t>
        </is>
      </c>
      <c r="C78" t="inlineStr">
        <is>
          <t>Connects the upload to the Workfront Content taxonomy for durable operational and attribution alignment.</t>
        </is>
      </c>
      <c r="D78" t="inlineStr">
        <is>
          <t>Integrate Input</t>
        </is>
      </c>
      <c r="E78" t="inlineStr">
        <is>
          <t>Content ID used appended by Integrate</t>
        </is>
      </c>
      <c r="F78" t="inlineStr">
        <is>
          <t>Integrate Input</t>
        </is>
      </c>
      <c r="G78" t="inlineStr">
        <is>
          <t>Text</t>
        </is>
      </c>
      <c r="I78" t="inlineStr">
        <is>
          <t>Yes</t>
        </is>
      </c>
      <c r="J78" t="inlineStr">
        <is>
          <t>Yes</t>
        </is>
      </c>
      <c r="M78" t="inlineStr">
        <is>
          <t>Yes</t>
        </is>
      </c>
    </row>
    <row r="79">
      <c r="A79" s="5" t="inlineStr">
        <is>
          <t>Content Type</t>
        </is>
      </c>
    </row>
    <row r="80">
      <c r="A80" s="6" t="inlineStr">
        <is>
          <t>8 - Activity Detail</t>
        </is>
      </c>
    </row>
    <row r="81">
      <c r="A81" t="inlineStr">
        <is>
          <t>Form Submit Date</t>
        </is>
      </c>
      <c r="B81" t="inlineStr">
        <is>
          <t>Derived</t>
        </is>
      </c>
      <c r="C81" t="inlineStr">
        <is>
          <t>Supports submission timing analysis and operational reporting.</t>
        </is>
      </c>
      <c r="D81" t="inlineStr">
        <is>
          <t>Integrate Input</t>
        </is>
      </c>
      <c r="E81" t="inlineStr">
        <is>
          <t>System-captured form submission date passed from Integrate.</t>
        </is>
      </c>
      <c r="F81" t="inlineStr">
        <is>
          <t>What is the date we received the lead from Integrate?</t>
        </is>
      </c>
      <c r="G81" t="inlineStr">
        <is>
          <t>Date/Time</t>
        </is>
      </c>
      <c r="J81" t="inlineStr">
        <is>
          <t>Yes</t>
        </is>
      </c>
      <c r="K81" t="inlineStr">
        <is>
          <t>Yes</t>
        </is>
      </c>
      <c r="M81" t="inlineStr">
        <is>
          <t>Yes</t>
        </is>
      </c>
    </row>
    <row r="82">
      <c r="A82" s="5" t="inlineStr">
        <is>
          <t>Integrate Source ID</t>
        </is>
      </c>
      <c r="B82" s="5" t="inlineStr">
        <is>
          <t>Required</t>
        </is>
      </c>
      <c r="C82" s="5" t="inlineStr">
        <is>
          <t>Connects the submission to Integrate source taxonomy for attribution and operational reporting.</t>
        </is>
      </c>
      <c r="D82" s="5" t="inlineStr">
        <is>
          <t>Integrate Input</t>
        </is>
      </c>
      <c r="E82" s="5" t="inlineStr">
        <is>
          <t>Mandatory source identifier captured from Integrate for attribution and source lineage tracking.</t>
        </is>
      </c>
      <c r="F82" s="5" t="inlineStr">
        <is>
          <t>What is the Integrate Unique Identifier?</t>
        </is>
      </c>
      <c r="G82" s="5" t="inlineStr">
        <is>
          <t>Text</t>
        </is>
      </c>
      <c r="H82" s="5" t="n"/>
      <c r="I82" s="5" t="n"/>
      <c r="J82" s="5" t="inlineStr">
        <is>
          <t>Yes</t>
        </is>
      </c>
      <c r="K82" s="5" t="n"/>
      <c r="L82" s="5" t="n"/>
      <c r="M82" s="5" t="inlineStr">
        <is>
          <t>Yes</t>
        </is>
      </c>
      <c r="Q82" s="5" t="n"/>
    </row>
    <row r="83">
      <c r="A83" t="inlineStr">
        <is>
          <t>Contact Source Original</t>
        </is>
      </c>
      <c r="B83" t="inlineStr">
        <is>
          <t>Derived</t>
        </is>
      </c>
      <c r="C83" t="inlineStr">
        <is>
          <t>Supports source lineage for attribution, operational reporting, and seller enablement.</t>
        </is>
      </c>
      <c r="D83" t="inlineStr">
        <is>
          <t>Integrate Input</t>
        </is>
      </c>
      <c r="E83" t="inlineStr">
        <is>
          <t>System-captured original source identifier (e.g., Integrate-Content Syndication).</t>
        </is>
      </c>
      <c r="F83" t="inlineStr">
        <is>
          <t>What is the original contact source for this submission?</t>
        </is>
      </c>
      <c r="G83" t="inlineStr">
        <is>
          <t>Text</t>
        </is>
      </c>
      <c r="J83" t="inlineStr">
        <is>
          <t>Yes</t>
        </is>
      </c>
      <c r="M83" t="inlineStr">
        <is>
          <t>Yes</t>
        </is>
      </c>
    </row>
    <row r="84">
      <c r="A84" s="5" t="inlineStr">
        <is>
          <t>Additional Enquiry Details</t>
        </is>
      </c>
      <c r="B84" s="5" t="inlineStr">
        <is>
          <t>Required</t>
        </is>
      </c>
      <c r="C84" s="5" t="inlineStr">
        <is>
          <t>Provides qualitative enquiry context for seller enablement and operational review.</t>
        </is>
      </c>
      <c r="D84" s="5" t="inlineStr">
        <is>
          <t>Integrate Input</t>
        </is>
      </c>
      <c r="E84" s="5" t="inlineStr">
        <is>
          <t>Required free-text response captured from the customer by Integrate</t>
        </is>
      </c>
      <c r="F84" s="5" t="inlineStr">
        <is>
          <t>What additional details did the contact provide about their enquiry?</t>
        </is>
      </c>
      <c r="G84" s="5" t="inlineStr">
        <is>
          <t>Text</t>
        </is>
      </c>
      <c r="H84" s="5" t="n"/>
      <c r="I84" s="5" t="n"/>
      <c r="J84" s="5" t="n"/>
      <c r="K84" s="5" t="n"/>
      <c r="L84" s="5" t="n"/>
      <c r="M84" s="5" t="inlineStr">
        <is>
          <t>Yes</t>
        </is>
      </c>
      <c r="Q84" s="5" t="n"/>
    </row>
  </sheetData>
  <mergeCells count="10">
    <mergeCell ref="A31:Q31"/>
    <mergeCell ref="A56:Q56"/>
    <mergeCell ref="A12:Q12"/>
    <mergeCell ref="A50:Q50"/>
    <mergeCell ref="A1:Q1"/>
    <mergeCell ref="A79:Q79"/>
    <mergeCell ref="B5:Q5"/>
    <mergeCell ref="A69:Q69"/>
    <mergeCell ref="B4:Q4"/>
    <mergeCell ref="B3:Q3"/>
  </mergeCells>
  <dataValidations count="1">
    <dataValidation sqref="Q8:Q84"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Q85"/>
  <sheetViews>
    <sheetView workbookViewId="0">
      <pane ySplit="6" topLeftCell="A7" activePane="bottomLeft" state="frozen"/>
      <selection pane="bottomLeft" activeCell="A1" sqref="A1"/>
    </sheetView>
  </sheetViews>
  <sheetFormatPr baseColWidth="8" defaultRowHeight="14.25"/>
  <cols>
    <col width="50" customWidth="1" style="7" min="1" max="1"/>
    <col width="21"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UC05 — Manual Uploads | Hand Raiser | 1st Party Events | Follow-Up Requested</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Hand Raiser</t>
        </is>
      </c>
    </row>
    <row r="5">
      <c r="A5" s="4" t="inlineStr">
        <is>
          <t>Use Case</t>
        </is>
      </c>
      <c r="B5" t="inlineStr">
        <is>
          <t>1st Party Events</t>
        </is>
      </c>
    </row>
    <row r="6">
      <c r="A6" s="4" t="inlineStr">
        <is>
          <t>Activity Type</t>
        </is>
      </c>
      <c r="B6" t="inlineStr">
        <is>
          <t>Follow-Up Requested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Eloqua contact identifier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Marketing team input</t>
        </is>
      </c>
      <c r="E18" t="inlineStr">
        <is>
          <t>Provided in uploaded contact file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Marketing team input</t>
        </is>
      </c>
      <c r="E19" s="5" t="inlineStr">
        <is>
          <t>Provided in uploaded contact file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level?</t>
        </is>
      </c>
      <c r="G20" t="inlineStr">
        <is>
          <t>List of values / derived</t>
        </is>
      </c>
      <c r="K20" t="inlineStr">
        <is>
          <t>Yes</t>
        </is>
      </c>
      <c r="L20" t="inlineStr">
        <is>
          <t>Yes</t>
        </is>
      </c>
      <c r="M20" t="inlineStr">
        <is>
          <t>Yes</t>
        </is>
      </c>
    </row>
    <row r="21">
      <c r="A21" s="5" t="inlineStr">
        <is>
          <t>Job Department</t>
        </is>
      </c>
      <c r="B21" s="5" t="inlineStr">
        <is>
          <t>Recommended</t>
        </is>
      </c>
      <c r="C21" s="5" t="inlineStr">
        <is>
          <t>Supports contact matching, enrichment, routing, and lead scoring</t>
        </is>
      </c>
      <c r="D21" s="5" t="inlineStr">
        <is>
          <t>Marketing team input from standard list of values or derived in Contact Database</t>
        </is>
      </c>
      <c r="E21" s="5" t="inlineStr">
        <is>
          <t>Marketing Source when available; if not provided, the value is programmatically derived from the existing Job Title within the contact database</t>
        </is>
      </c>
      <c r="F21" s="5" t="inlineStr">
        <is>
          <t>What is the contact job department?</t>
        </is>
      </c>
      <c r="G21" s="5" t="inlineStr">
        <is>
          <t>List of values / derived</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Marketing team input</t>
        </is>
      </c>
      <c r="E22" t="inlineStr">
        <is>
          <t>Provided in uploaded contact file</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Marketing team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Marketing team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Marketing team input</t>
        </is>
      </c>
      <c r="E39" t="inlineStr">
        <is>
          <t>Provided in uploaded contact file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inlineStr">
        <is>
          <t>Yes</t>
        </is>
      </c>
      <c r="M48" s="5" t="inlineStr">
        <is>
          <t>Yes</t>
        </is>
      </c>
      <c r="Q48" s="5" t="n"/>
    </row>
    <row r="49">
      <c r="A49" t="inlineStr">
        <is>
          <t>Phone Extension</t>
        </is>
      </c>
      <c r="B49" t="inlineStr">
        <is>
          <t>Optional</t>
        </is>
      </c>
      <c r="C49" t="inlineStr">
        <is>
          <t>Excluded from standard performance reporting</t>
        </is>
      </c>
      <c r="D49" t="inlineStr">
        <is>
          <t>Marketing team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H52" t="inlineStr">
        <is>
          <t>How should we deal with customer wanting to Opt Out - we see errors of N being added in error</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Marketing team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inlineStr">
        <is>
          <t>How should we deal with customer wanting to Opt Out - we see errors of N being added in error</t>
        </is>
      </c>
      <c r="I53" s="5" t="n"/>
      <c r="J53" s="5" t="n"/>
      <c r="K53" s="5" t="n"/>
      <c r="L53" s="5" t="inlineStr">
        <is>
          <t>Yes</t>
        </is>
      </c>
      <c r="M53" s="5" t="inlineStr">
        <is>
          <t>Yes</t>
        </is>
      </c>
      <c r="Q53" s="5" t="n"/>
    </row>
    <row r="54">
      <c r="A54" t="inlineStr">
        <is>
          <t>Contact Provided Permission</t>
        </is>
      </c>
      <c r="B54" t="inlineStr">
        <is>
          <t>Conditional</t>
        </is>
      </c>
      <c r="C54" t="inlineStr">
        <is>
          <t>Supports consent, privacy, and compliance checks for manual-upload processing.</t>
        </is>
      </c>
      <c r="D54" t="inlineStr">
        <is>
          <t>Marketing team input</t>
        </is>
      </c>
      <c r="E54" t="inlineStr">
        <is>
          <t>If Email or Phone Permission is supplied in the upload, update the contact record only when the marketing team has indicated that a digital/paper audit trail exists for the customer's opt-in/opt-out permission.</t>
        </is>
      </c>
      <c r="F54" t="inlineStr">
        <is>
          <t>Do you have a paper/digital audit trail showing that the customer gave opt-in permissions?</t>
        </is>
      </c>
      <c r="G54" t="inlineStr">
        <is>
          <t>Picklist/Text</t>
        </is>
      </c>
      <c r="M54" t="inlineStr">
        <is>
          <t>Yes</t>
        </is>
      </c>
    </row>
    <row r="55">
      <c r="A55" s="5" t="inlineStr">
        <is>
          <t>Cross Border Storage (China Hand Raisers and Responses Only)</t>
        </is>
      </c>
      <c r="B55" s="5" t="inlineStr">
        <is>
          <t>Conditional</t>
        </is>
      </c>
      <c r="C55" s="5" t="inlineStr">
        <is>
          <t>Supports consent, privacy, and compliance checks for manual-upload processing.</t>
        </is>
      </c>
      <c r="D55" s="5" t="inlineStr">
        <is>
          <t>Marketing team input</t>
        </is>
      </c>
      <c r="E55" s="5"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5" s="5" t="inlineStr">
        <is>
          <t>Was China cross-border storage consent captured for this transaction?</t>
        </is>
      </c>
      <c r="G55" s="5" t="inlineStr">
        <is>
          <t>Picklist/Text</t>
        </is>
      </c>
      <c r="H55" s="5" t="n"/>
      <c r="I55" s="5" t="n"/>
      <c r="J55" s="5" t="n"/>
      <c r="K55" s="5" t="n"/>
      <c r="L55" s="5" t="inlineStr">
        <is>
          <t>Yes</t>
        </is>
      </c>
      <c r="M55" s="5" t="inlineStr">
        <is>
          <t>Yes</t>
        </is>
      </c>
      <c r="Q55" s="5" t="n"/>
    </row>
    <row r="56">
      <c r="A56" t="inlineStr">
        <is>
          <t>Korea and Vietnam Combined Consent</t>
        </is>
      </c>
      <c r="B56" t="inlineStr">
        <is>
          <t>Conditional</t>
        </is>
      </c>
      <c r="C56" t="inlineStr">
        <is>
          <t>Supports consent, privacy, and compliance checks for manual-upload processing.</t>
        </is>
      </c>
      <c r="D56" t="inlineStr">
        <is>
          <t>Marketing team input</t>
        </is>
      </c>
      <c r="E56"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6" t="inlineStr">
        <is>
          <t>Was Korea/Vietnam combined consent captured where required?</t>
        </is>
      </c>
      <c r="G56" t="inlineStr">
        <is>
          <t>Picklist/Text</t>
        </is>
      </c>
      <c r="L56" t="inlineStr">
        <is>
          <t>Yes</t>
        </is>
      </c>
      <c r="M56" t="inlineStr">
        <is>
          <t>Yes</t>
        </is>
      </c>
    </row>
    <row r="57">
      <c r="A57" s="5" t="inlineStr">
        <is>
          <t>Share Data with Cisco Affiliates and Suppliers (China Hand Raisers and Responses Only)</t>
        </is>
      </c>
      <c r="B57" s="5" t="inlineStr">
        <is>
          <t>Conditional</t>
        </is>
      </c>
      <c r="C57" s="5" t="inlineStr">
        <is>
          <t>Supports consent, privacy, and compliance checks for manual-upload processing.</t>
        </is>
      </c>
      <c r="D57" s="5" t="inlineStr">
        <is>
          <t>Marketing team input</t>
        </is>
      </c>
      <c r="E57" s="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7" s="5" t="inlineStr">
        <is>
          <t>Was consent captured to share data with Cisco affiliates and suppliers?</t>
        </is>
      </c>
      <c r="G57" s="5" t="inlineStr">
        <is>
          <t>Picklist/Text</t>
        </is>
      </c>
      <c r="H57" s="5" t="n"/>
      <c r="I57" s="5" t="n"/>
      <c r="J57" s="5" t="n"/>
      <c r="K57" s="5" t="n"/>
      <c r="L57" s="5" t="inlineStr">
        <is>
          <t>Yes</t>
        </is>
      </c>
      <c r="M57" s="5" t="inlineStr">
        <is>
          <t>Yes</t>
        </is>
      </c>
      <c r="Q57" s="5" t="n"/>
    </row>
    <row r="58">
      <c r="A58" t="inlineStr">
        <is>
          <t>Consent / Permission Status</t>
        </is>
      </c>
    </row>
    <row r="59">
      <c r="A59" s="6" t="inlineStr">
        <is>
          <t>5 - Legacy Tracking Parameters</t>
        </is>
      </c>
    </row>
    <row r="60">
      <c r="A60" s="5" t="inlineStr">
        <is>
          <t>Campaign Name</t>
        </is>
      </c>
      <c r="B60" s="5" t="inlineStr">
        <is>
          <t>Derived</t>
        </is>
      </c>
      <c r="C60" s="5" t="inlineStr">
        <is>
          <t>Connects the touchpoint to attribution and marketing sourced pipeline reporting.</t>
        </is>
      </c>
      <c r="D60" s="5" t="inlineStr">
        <is>
          <t>Tray.io aligns to OMS tables</t>
        </is>
      </c>
      <c r="E60" s="5" t="inlineStr">
        <is>
          <t>Tray.io appends campaign information from OMS Tables populated by CTT Tool</t>
        </is>
      </c>
      <c r="F60" s="5" t="inlineStr">
        <is>
          <t>N/A - appended by Tray.io after upload</t>
        </is>
      </c>
      <c r="G60" s="5" t="inlineStr">
        <is>
          <t>System lookup</t>
        </is>
      </c>
      <c r="H60" s="5" t="n"/>
      <c r="I60" s="5" t="inlineStr">
        <is>
          <t>Yes</t>
        </is>
      </c>
      <c r="J60" s="5" t="inlineStr">
        <is>
          <t>Yes</t>
        </is>
      </c>
      <c r="K60" s="5" t="n"/>
      <c r="L60" s="5" t="inlineStr">
        <is>
          <t>Yes</t>
        </is>
      </c>
      <c r="M60" s="5" t="inlineStr">
        <is>
          <t>Yes</t>
        </is>
      </c>
      <c r="Q60" s="5" t="n"/>
    </row>
    <row r="61">
      <c r="A61" t="inlineStr">
        <is>
          <t>Program Name</t>
        </is>
      </c>
      <c r="B61" t="inlineStr">
        <is>
          <t>Derived</t>
        </is>
      </c>
      <c r="C61" t="inlineStr">
        <is>
          <t>Connects the touchpoint to attribution and marketing sourced pipeline reporting.</t>
        </is>
      </c>
      <c r="D61" t="inlineStr">
        <is>
          <t>Tray.io aligns to OMS tables</t>
        </is>
      </c>
      <c r="E61" t="inlineStr">
        <is>
          <t>Tray.io appends program information from OMS Tables populated by CTT Tool</t>
        </is>
      </c>
      <c r="F61" t="inlineStr">
        <is>
          <t>N/A - appended by Tray.io after upload</t>
        </is>
      </c>
      <c r="G61" t="inlineStr">
        <is>
          <t>System lookup</t>
        </is>
      </c>
      <c r="I61" t="inlineStr">
        <is>
          <t>Yes</t>
        </is>
      </c>
      <c r="J61" t="inlineStr">
        <is>
          <t>Yes</t>
        </is>
      </c>
      <c r="L61" t="inlineStr">
        <is>
          <t>Yes</t>
        </is>
      </c>
      <c r="M61" t="inlineStr">
        <is>
          <t>Yes</t>
        </is>
      </c>
    </row>
    <row r="62">
      <c r="A62" s="5" t="inlineStr">
        <is>
          <t>Activity ID</t>
        </is>
      </c>
      <c r="B62" s="5" t="inlineStr">
        <is>
          <t>Required</t>
        </is>
      </c>
      <c r="C62" s="5" t="inlineStr">
        <is>
          <t>Maintains compatibility with existing operational, attribution, and funnel reporting during transition.</t>
        </is>
      </c>
      <c r="D62" s="5" t="inlineStr">
        <is>
          <t>Marketing team input</t>
        </is>
      </c>
      <c r="E62" s="5" t="inlineStr">
        <is>
          <t>Capture while downstream processes still require it; retire after UTM_MEDIUM, UTM_SOURCE, and Workfront Channel ID are fully adopted.</t>
        </is>
      </c>
      <c r="F62" s="5" t="inlineStr">
        <is>
          <t>What is the  Activity ID for this activity?</t>
        </is>
      </c>
      <c r="G62" s="5" t="inlineStr">
        <is>
          <t>Text</t>
        </is>
      </c>
      <c r="H62" s="5" t="n"/>
      <c r="I62" s="5" t="inlineStr">
        <is>
          <t>Yes</t>
        </is>
      </c>
      <c r="J62" s="5" t="inlineStr">
        <is>
          <t>Yes</t>
        </is>
      </c>
      <c r="K62" s="5" t="inlineStr">
        <is>
          <t>Yes</t>
        </is>
      </c>
      <c r="L62" s="5" t="inlineStr">
        <is>
          <t>Yes</t>
        </is>
      </c>
      <c r="M62" s="5" t="inlineStr">
        <is>
          <t>Yes</t>
        </is>
      </c>
      <c r="Q62" s="5" t="n"/>
    </row>
    <row r="63">
      <c r="A63" t="inlineStr">
        <is>
          <t>Activity Name</t>
        </is>
      </c>
      <c r="B63" t="inlineStr">
        <is>
          <t>Derived</t>
        </is>
      </c>
      <c r="C63" t="inlineStr">
        <is>
          <t>Provides human-readable activity context for legacy attribution, operational reporting, and validation.</t>
        </is>
      </c>
      <c r="D63" t="inlineStr">
        <is>
          <t>Tray.io derived</t>
        </is>
      </c>
      <c r="E63" t="inlineStr">
        <is>
          <t>Tray.io derives Activity Name from Activity ID.</t>
        </is>
      </c>
      <c r="F63" t="inlineStr">
        <is>
          <t>N/A - appended by Tray.io after upload</t>
        </is>
      </c>
      <c r="G63" t="inlineStr">
        <is>
          <t>System lookup</t>
        </is>
      </c>
      <c r="J63" t="inlineStr">
        <is>
          <t>Yes</t>
        </is>
      </c>
      <c r="L63" t="inlineStr">
        <is>
          <t>Yes</t>
        </is>
      </c>
      <c r="M63" t="inlineStr">
        <is>
          <t>Yes</t>
        </is>
      </c>
    </row>
    <row r="64">
      <c r="A64" s="5" t="inlineStr">
        <is>
          <t>Activity Description</t>
        </is>
      </c>
      <c r="B64" s="5" t="inlineStr">
        <is>
          <t>Derived</t>
        </is>
      </c>
      <c r="C64" s="5" t="inlineStr">
        <is>
          <t>Provides activity context for reporting, validation, and downstream operational review.</t>
        </is>
      </c>
      <c r="D64" s="5" t="inlineStr">
        <is>
          <t>Tray.io derived</t>
        </is>
      </c>
      <c r="E64" s="5" t="inlineStr">
        <is>
          <t>Tray.io derives Activity Description from Activity ID.</t>
        </is>
      </c>
      <c r="F64" s="5" t="inlineStr">
        <is>
          <t>N/A - appended by Tray.io after upload</t>
        </is>
      </c>
      <c r="G64" s="5" t="inlineStr">
        <is>
          <t>System lookup</t>
        </is>
      </c>
      <c r="H64" s="5" t="n"/>
      <c r="I64" s="5" t="n"/>
      <c r="J64" s="5" t="inlineStr">
        <is>
          <t>Yes</t>
        </is>
      </c>
      <c r="K64" s="5" t="n"/>
      <c r="L64" s="5" t="inlineStr">
        <is>
          <t>Yes</t>
        </is>
      </c>
      <c r="M64" s="5" t="inlineStr">
        <is>
          <t>Yes</t>
        </is>
      </c>
      <c r="Q64" s="5" t="n"/>
    </row>
    <row r="65">
      <c r="A65" t="inlineStr">
        <is>
          <t>Drive To ID</t>
        </is>
      </c>
      <c r="B65" t="inlineStr">
        <is>
          <t>To Review</t>
        </is>
      </c>
      <c r="C65" t="inlineStr">
        <is>
          <t>Maintains legacy destination and drive-to reporting alignment during transition.</t>
        </is>
      </c>
      <c r="D65" t="inlineStr">
        <is>
          <t>Marketing team input or Tray.io derived</t>
        </is>
      </c>
      <c r="E65" t="inlineStr">
        <is>
          <t>Capture while downstream drive-to/destination reporting still requires it; retire after future-state channel/source fields are fully adopted. If DTID is given then use else default values as per DTID Values in Tab - Lists</t>
        </is>
      </c>
      <c r="F65" t="inlineStr">
        <is>
          <t>What is the Drive To ID?</t>
        </is>
      </c>
      <c r="G65" t="inlineStr">
        <is>
          <t>Text</t>
        </is>
      </c>
      <c r="H65" t="inlineStr">
        <is>
          <t>Attribution is using EID to determine First and Third party Events - so I think we can retire DTID for Event Uploads</t>
        </is>
      </c>
      <c r="I65" t="inlineStr">
        <is>
          <t>Yes</t>
        </is>
      </c>
      <c r="J65" t="inlineStr">
        <is>
          <t>Yes</t>
        </is>
      </c>
      <c r="L65" t="inlineStr">
        <is>
          <t>Yes</t>
        </is>
      </c>
      <c r="M65" t="inlineStr">
        <is>
          <t>Yes</t>
        </is>
      </c>
    </row>
    <row r="66">
      <c r="A66" s="5" t="inlineStr">
        <is>
          <t>Vehicle</t>
        </is>
      </c>
      <c r="B66" s="5" t="inlineStr">
        <is>
          <t>Derived</t>
        </is>
      </c>
      <c r="C66" s="5" t="inlineStr">
        <is>
          <t>Supports vehicle-level attribution, reporting, and operational alignment.</t>
        </is>
      </c>
      <c r="D66" s="5" t="inlineStr">
        <is>
          <t>Tray.io derived</t>
        </is>
      </c>
      <c r="E66" s="5" t="inlineStr">
        <is>
          <t>Tray.io derives Vehicle from Drive To ID.</t>
        </is>
      </c>
      <c r="F66" s="5" t="inlineStr">
        <is>
          <t>N/A - appended by Tray.io after upload</t>
        </is>
      </c>
      <c r="G66" s="5" t="inlineStr">
        <is>
          <t>System lookup</t>
        </is>
      </c>
      <c r="H66" s="5" t="n"/>
      <c r="I66" s="5" t="n"/>
      <c r="J66" s="5" t="inlineStr">
        <is>
          <t>Yes</t>
        </is>
      </c>
      <c r="K66" s="5" t="n"/>
      <c r="L66" s="5" t="n"/>
      <c r="M66" s="5" t="inlineStr">
        <is>
          <t>Yes</t>
        </is>
      </c>
      <c r="Q66" s="5" t="n"/>
    </row>
    <row r="67">
      <c r="A67" t="inlineStr">
        <is>
          <t>Offer ID</t>
        </is>
      </c>
    </row>
    <row r="68">
      <c r="A68" s="6" t="inlineStr">
        <is>
          <t>6 - Future Tracking Parameters</t>
        </is>
      </c>
    </row>
    <row r="69">
      <c r="A69" s="5" t="inlineStr">
        <is>
          <t>Workfront Channel ID</t>
        </is>
      </c>
      <c r="B69" s="5" t="inlineStr">
        <is>
          <t>To Review</t>
        </is>
      </c>
      <c r="C69" s="5" t="inlineStr">
        <is>
          <t>Connects the upload to the Workfront channel taxonomy for durable operational and attribution alignment.</t>
        </is>
      </c>
      <c r="D69" s="5" t="inlineStr">
        <is>
          <t>Marketing team input</t>
        </is>
      </c>
      <c r="E69" s="5" t="n"/>
      <c r="F69" s="5" t="inlineStr">
        <is>
          <t>What is the Workfront Channel ID?</t>
        </is>
      </c>
      <c r="G69" s="5" t="inlineStr">
        <is>
          <t>Text</t>
        </is>
      </c>
      <c r="H69" s="5" t="inlineStr">
        <is>
          <t>Will events data come from Workfront, or can all of this information come from the Global Events Table via the EID?</t>
        </is>
      </c>
      <c r="I69" s="5" t="inlineStr">
        <is>
          <t>Yes</t>
        </is>
      </c>
      <c r="J69" s="5" t="inlineStr">
        <is>
          <t>Yes</t>
        </is>
      </c>
      <c r="K69" s="5" t="n"/>
      <c r="L69" s="5" t="inlineStr">
        <is>
          <t>Yes</t>
        </is>
      </c>
      <c r="M69" s="5" t="inlineStr">
        <is>
          <t>Yes</t>
        </is>
      </c>
      <c r="Q69" s="5" t="n"/>
    </row>
    <row r="70">
      <c r="A70" t="inlineStr">
        <is>
          <t>Primary Technology</t>
        </is>
      </c>
      <c r="B70" t="inlineStr">
        <is>
          <t>Derived</t>
        </is>
      </c>
      <c r="C70" t="inlineStr">
        <is>
          <t>Identifies the primary technology associated with the content for future attribution, operational, and seller enablement reporting.</t>
        </is>
      </c>
      <c r="D70" t="inlineStr">
        <is>
          <t>Tray.io / Workfront derived</t>
        </is>
      </c>
      <c r="E70" t="inlineStr">
        <is>
          <t>Tray.io derives Primary Technology from Workfront Content ID and Workfront Channel ID alignment.</t>
        </is>
      </c>
      <c r="F70" t="inlineStr">
        <is>
          <t>N/A - appended by Tray.io after upload</t>
        </is>
      </c>
      <c r="G70" t="inlineStr">
        <is>
          <t>System lookup</t>
        </is>
      </c>
      <c r="I70" t="inlineStr">
        <is>
          <t>Yes</t>
        </is>
      </c>
      <c r="J70" t="inlineStr">
        <is>
          <t>Yes</t>
        </is>
      </c>
      <c r="L70" t="inlineStr">
        <is>
          <t>Yes</t>
        </is>
      </c>
      <c r="M70" t="inlineStr">
        <is>
          <t>Yes</t>
        </is>
      </c>
    </row>
    <row r="71">
      <c r="A71" s="5" t="inlineStr">
        <is>
          <t>Campaign</t>
        </is>
      </c>
      <c r="B71" s="5" t="inlineStr">
        <is>
          <t>Derived</t>
        </is>
      </c>
      <c r="C71" s="5" t="inlineStr">
        <is>
          <t>Connects the touchpoint to campaign-level attribution and marketing sourced pipeline reporting aligned to Workfront Content ID and Channel ID.</t>
        </is>
      </c>
      <c r="D71" s="5" t="inlineStr">
        <is>
          <t>Tray.io / Workfront derived</t>
        </is>
      </c>
      <c r="E71" s="5" t="inlineStr">
        <is>
          <t>Tray.io derives Campaign from Workfront Content ID and Workfront Channel ID alignment.</t>
        </is>
      </c>
      <c r="F71" s="5" t="inlineStr">
        <is>
          <t>N/A - appended by Tray.io after upload</t>
        </is>
      </c>
      <c r="G71" s="5" t="inlineStr">
        <is>
          <t>System lookup</t>
        </is>
      </c>
      <c r="H71" s="5" t="n"/>
      <c r="I71" s="5" t="inlineStr">
        <is>
          <t>Yes</t>
        </is>
      </c>
      <c r="J71" s="5" t="inlineStr">
        <is>
          <t>Yes</t>
        </is>
      </c>
      <c r="K71" s="5" t="n"/>
      <c r="L71" s="5" t="inlineStr">
        <is>
          <t>Yes</t>
        </is>
      </c>
      <c r="M71" s="5" t="inlineStr">
        <is>
          <t>Yes</t>
        </is>
      </c>
      <c r="Q71" s="5" t="n"/>
    </row>
    <row r="72">
      <c r="A72" t="inlineStr">
        <is>
          <t>Program</t>
        </is>
      </c>
      <c r="B72" t="inlineStr">
        <is>
          <t>Derived</t>
        </is>
      </c>
      <c r="C72" t="inlineStr">
        <is>
          <t>Connects the touchpoint to program-level attribution and marketing sourced pipeline reporting aligned to Workfront Content ID and Channel ID.</t>
        </is>
      </c>
      <c r="D72" t="inlineStr">
        <is>
          <t>Tray.io / Workfront derived</t>
        </is>
      </c>
      <c r="E72" t="inlineStr">
        <is>
          <t>Tray.io derives Program from Workfront Content ID and Workfront Channel ID alignment.</t>
        </is>
      </c>
      <c r="F72" t="inlineStr">
        <is>
          <t>N/A - appended by Tray.io after upload</t>
        </is>
      </c>
      <c r="G72" t="inlineStr">
        <is>
          <t>System lookup</t>
        </is>
      </c>
      <c r="I72" t="inlineStr">
        <is>
          <t>Yes</t>
        </is>
      </c>
      <c r="J72" t="inlineStr">
        <is>
          <t>Yes</t>
        </is>
      </c>
      <c r="L72" t="inlineStr">
        <is>
          <t>Yes</t>
        </is>
      </c>
      <c r="M72" t="inlineStr">
        <is>
          <t>Yes</t>
        </is>
      </c>
    </row>
    <row r="73">
      <c r="A73" s="5" t="inlineStr">
        <is>
          <t>Channel Type</t>
        </is>
      </c>
      <c r="B73" s="5" t="inlineStr">
        <is>
          <t>Derived</t>
        </is>
      </c>
      <c r="C73" s="5" t="inlineStr">
        <is>
          <t>Identifies the driving channel for future attribution, operational, and funnel reporting after legacy IDs are decommissioned.</t>
        </is>
      </c>
      <c r="D73" s="5" t="inlineStr">
        <is>
          <t>Tray.io derived</t>
        </is>
      </c>
      <c r="E73" s="5" t="inlineStr">
        <is>
          <t>Tray.io appends from Workfront Channel ID in the Workfront Data tables</t>
        </is>
      </c>
      <c r="F73" s="5" t="inlineStr">
        <is>
          <t>N/A - appended by Tray.io after upload</t>
        </is>
      </c>
      <c r="G73" s="5" t="inlineStr">
        <is>
          <t>Text</t>
        </is>
      </c>
      <c r="H73" s="5" t="n"/>
      <c r="I73" s="5" t="inlineStr">
        <is>
          <t>Yes</t>
        </is>
      </c>
      <c r="J73" s="5" t="inlineStr">
        <is>
          <t>Yes</t>
        </is>
      </c>
      <c r="K73" s="5" t="n"/>
      <c r="L73" s="5" t="inlineStr">
        <is>
          <t>Yes</t>
        </is>
      </c>
      <c r="M73" s="5" t="inlineStr">
        <is>
          <t>Yes</t>
        </is>
      </c>
      <c r="Q73" s="5" t="n"/>
    </row>
    <row r="74">
      <c r="A74" t="inlineStr">
        <is>
          <t>Channel Source</t>
        </is>
      </c>
      <c r="B74" t="inlineStr">
        <is>
          <t>Derived</t>
        </is>
      </c>
      <c r="C74" t="inlineStr">
        <is>
          <t>Identifies platform/vendor source for future attribution, operational, and funnel reporting.</t>
        </is>
      </c>
      <c r="D74" t="inlineStr">
        <is>
          <t>Tray.io derived</t>
        </is>
      </c>
      <c r="E74" t="inlineStr">
        <is>
          <t>Tray.io appends from Workfront Channel ID in the Workfront Data tables</t>
        </is>
      </c>
      <c r="F74" t="inlineStr">
        <is>
          <t>N/A - appended by Tray.io after upload</t>
        </is>
      </c>
      <c r="G74" t="inlineStr">
        <is>
          <t>Text</t>
        </is>
      </c>
      <c r="I74" t="inlineStr">
        <is>
          <t>Yes</t>
        </is>
      </c>
      <c r="J74" t="inlineStr">
        <is>
          <t>Yes</t>
        </is>
      </c>
      <c r="L74" t="inlineStr">
        <is>
          <t>Yes</t>
        </is>
      </c>
      <c r="M74" t="inlineStr">
        <is>
          <t>Yes</t>
        </is>
      </c>
    </row>
    <row r="75">
      <c r="A75" s="5" t="inlineStr">
        <is>
          <t>Funnel Stage</t>
        </is>
      </c>
      <c r="B75" s="5" t="inlineStr">
        <is>
          <t>Derived</t>
        </is>
      </c>
      <c r="C75" s="5" t="inlineStr">
        <is>
          <t>Supports funnel-based routing, lead scoring, and operational reporting aligned to Workfront Content ID and Channel ID.</t>
        </is>
      </c>
      <c r="D75" s="5" t="inlineStr">
        <is>
          <t>Tray.io / Workfront derived</t>
        </is>
      </c>
      <c r="E75" s="5" t="inlineStr">
        <is>
          <t>Tray.io derives Funnel Stage from Workfront Content ID and Workfront Channel ID alignment.</t>
        </is>
      </c>
      <c r="F75" s="5" t="inlineStr">
        <is>
          <t>N/A - appended by Tray.io after upload</t>
        </is>
      </c>
      <c r="G75" s="5" t="inlineStr">
        <is>
          <t>System lookup</t>
        </is>
      </c>
      <c r="H75" s="5" t="n"/>
      <c r="I75" s="5" t="inlineStr">
        <is>
          <t>Yes</t>
        </is>
      </c>
      <c r="J75" s="5" t="inlineStr">
        <is>
          <t>Yes</t>
        </is>
      </c>
      <c r="K75" s="5" t="n"/>
      <c r="L75" s="5" t="n"/>
      <c r="M75" s="5" t="inlineStr">
        <is>
          <t>Yes</t>
        </is>
      </c>
      <c r="Q75" s="5" t="n"/>
    </row>
    <row r="76">
      <c r="A76" t="inlineStr">
        <is>
          <t>Workfront Content ID</t>
        </is>
      </c>
      <c r="B76" t="inlineStr">
        <is>
          <t>To Review</t>
        </is>
      </c>
      <c r="C76" t="inlineStr">
        <is>
          <t>Connects the upload to the Workfront Content taxonomy for durable operational and attribution alignment.</t>
        </is>
      </c>
      <c r="D76" t="inlineStr">
        <is>
          <t>Marketing team input</t>
        </is>
      </c>
      <c r="F76" t="inlineStr">
        <is>
          <t>What is the Workfront Content ID?</t>
        </is>
      </c>
      <c r="G76" t="inlineStr">
        <is>
          <t>Text</t>
        </is>
      </c>
      <c r="H76" t="inlineStr">
        <is>
          <t>Would the Event manual Upload use cases really capture a Workfront Content ID</t>
        </is>
      </c>
      <c r="I76" t="inlineStr">
        <is>
          <t>Yes</t>
        </is>
      </c>
      <c r="J76" t="inlineStr">
        <is>
          <t>Yes</t>
        </is>
      </c>
      <c r="L76" t="inlineStr">
        <is>
          <t>Yes</t>
        </is>
      </c>
      <c r="M76" t="inlineStr">
        <is>
          <t>Yes</t>
        </is>
      </c>
    </row>
    <row r="77">
      <c r="A77" s="5" t="inlineStr">
        <is>
          <t>Content Type</t>
        </is>
      </c>
      <c r="B77" s="5" t="inlineStr">
        <is>
          <t>Derived</t>
        </is>
      </c>
      <c r="C77" s="5" t="inlineStr">
        <is>
          <t>Identifies the content classification for future attribution, operational, and funnel reporting aligned to Workfront Content ID.</t>
        </is>
      </c>
      <c r="D77" s="5" t="inlineStr">
        <is>
          <t>Tray.io / Workfront derived</t>
        </is>
      </c>
      <c r="E77" s="5" t="inlineStr">
        <is>
          <t>Tray.io derives Content Type from Workfront Content ID alignment.</t>
        </is>
      </c>
      <c r="F77" s="5" t="inlineStr">
        <is>
          <t>N/A - appended by Tray.io after upload</t>
        </is>
      </c>
      <c r="G77" s="5" t="inlineStr">
        <is>
          <t>System lookup</t>
        </is>
      </c>
      <c r="H77" s="5" t="inlineStr">
        <is>
          <t>This field relates to Web Content Type, Webinar Type and Event Type from Workfront.</t>
        </is>
      </c>
      <c r="I77" s="5" t="inlineStr">
        <is>
          <t>Yes</t>
        </is>
      </c>
      <c r="J77" s="5" t="inlineStr">
        <is>
          <t>Yes</t>
        </is>
      </c>
      <c r="K77" s="5" t="n"/>
      <c r="L77" s="5" t="inlineStr">
        <is>
          <t>Yes</t>
        </is>
      </c>
      <c r="M77" s="5" t="inlineStr">
        <is>
          <t>Yes</t>
        </is>
      </c>
      <c r="Q77" s="5" t="n"/>
    </row>
    <row r="78">
      <c r="A78" t="inlineStr">
        <is>
          <t>Vendor</t>
        </is>
      </c>
    </row>
    <row r="79">
      <c r="A79" s="6" t="inlineStr">
        <is>
          <t>7 - Event Tracking Parameters</t>
        </is>
      </c>
    </row>
    <row r="80">
      <c r="A80" s="5" t="inlineStr">
        <is>
          <t>Event ID / EID</t>
        </is>
      </c>
      <c r="B80" s="5" t="inlineStr">
        <is>
          <t>Required</t>
        </is>
      </c>
      <c r="C80" s="5" t="inlineStr">
        <is>
          <t>Primary lookup key for attribution, operational reporting, and Global Events Table enrichment. MRF should capture the same fields as Workfront</t>
        </is>
      </c>
      <c r="D80" s="5" t="inlineStr">
        <is>
          <t>Marketing team input</t>
        </is>
      </c>
      <c r="E80" s="5" t="inlineStr">
        <is>
          <t>EID is validated against Global Events Table for validity</t>
        </is>
      </c>
      <c r="F80" s="5" t="inlineStr">
        <is>
          <t>Which Event ID is this upload for?</t>
        </is>
      </c>
      <c r="G80" s="5" t="inlineStr">
        <is>
          <t>Picklist/Text</t>
        </is>
      </c>
      <c r="H80" s="5" t="inlineStr">
        <is>
          <t>Confirm uploader has this value before upload.</t>
        </is>
      </c>
      <c r="I80" s="5" t="inlineStr">
        <is>
          <t>Yes</t>
        </is>
      </c>
      <c r="J80" s="5" t="inlineStr">
        <is>
          <t>Yes</t>
        </is>
      </c>
      <c r="K80" s="5" t="n"/>
      <c r="L80" s="5" t="inlineStr">
        <is>
          <t>Yes</t>
        </is>
      </c>
      <c r="M80" s="5" t="inlineStr">
        <is>
          <t>Yes</t>
        </is>
      </c>
      <c r="Q80" s="5" t="n"/>
    </row>
    <row r="81">
      <c r="A81" t="inlineStr">
        <is>
          <t>Event Name</t>
        </is>
      </c>
      <c r="B81" t="inlineStr">
        <is>
          <t>Derived</t>
        </is>
      </c>
      <c r="C81" t="inlineStr">
        <is>
          <t>Human-readable event reporting and validation without requiring uploaders to re-type event names.</t>
        </is>
      </c>
      <c r="D81" t="inlineStr">
        <is>
          <t>Tray.io / Global Events Table derived</t>
        </is>
      </c>
      <c r="E81" t="inlineStr">
        <is>
          <t>Tray.io appends from Global Events Table using Event ID / EID.</t>
        </is>
      </c>
      <c r="F81" t="inlineStr">
        <is>
          <t>N/A - appended by Tray.io after upload</t>
        </is>
      </c>
      <c r="G81" t="inlineStr">
        <is>
          <t>System lookup</t>
        </is>
      </c>
      <c r="J81" t="inlineStr">
        <is>
          <t>Yes</t>
        </is>
      </c>
      <c r="L81" t="inlineStr">
        <is>
          <t>Yes</t>
        </is>
      </c>
      <c r="M81" t="inlineStr">
        <is>
          <t>Yes</t>
        </is>
      </c>
    </row>
    <row r="82">
      <c r="A82" s="5" t="inlineStr">
        <is>
          <t>Event Start Date</t>
        </is>
      </c>
      <c r="B82" s="5" t="inlineStr">
        <is>
          <t>Derived</t>
        </is>
      </c>
      <c r="C82" s="5" t="inlineStr">
        <is>
          <t>Supports attribution windows, recency logic, upload validation, and operational reporting.</t>
        </is>
      </c>
      <c r="D82" s="5" t="inlineStr">
        <is>
          <t>Tray.io / Global Events Table derived</t>
        </is>
      </c>
      <c r="E82" s="5" t="inlineStr">
        <is>
          <t>Tray.io appends from Global Events Table using Event ID / EID.</t>
        </is>
      </c>
      <c r="F82" s="5" t="inlineStr">
        <is>
          <t>N/A - appended by Tray.io after upload</t>
        </is>
      </c>
      <c r="G82" s="5" t="inlineStr">
        <is>
          <t>System lookup</t>
        </is>
      </c>
      <c r="H82" s="5" t="n"/>
      <c r="I82" s="5" t="inlineStr">
        <is>
          <t>Yes</t>
        </is>
      </c>
      <c r="J82" s="5" t="inlineStr">
        <is>
          <t>Yes</t>
        </is>
      </c>
      <c r="K82" s="5" t="n"/>
      <c r="L82" s="5" t="inlineStr">
        <is>
          <t>Yes</t>
        </is>
      </c>
      <c r="M82" s="5" t="inlineStr">
        <is>
          <t>Yes</t>
        </is>
      </c>
      <c r="Q82" s="5" t="n"/>
    </row>
    <row r="83">
      <c r="A83" t="inlineStr">
        <is>
          <t>Event End Date</t>
        </is>
      </c>
      <c r="B83" t="inlineStr">
        <is>
          <t>Derived</t>
        </is>
      </c>
      <c r="C83" t="inlineStr">
        <is>
          <t>Supports validation that activity dates fall within or near the event window.</t>
        </is>
      </c>
      <c r="D83" t="inlineStr">
        <is>
          <t>Tray.io / Global Events Table derived</t>
        </is>
      </c>
      <c r="E83" t="inlineStr">
        <is>
          <t>Tray.io appends from Global Events Table using Event ID / EID.</t>
        </is>
      </c>
      <c r="F83" t="inlineStr">
        <is>
          <t>N/A - appended by Tray.io after upload</t>
        </is>
      </c>
      <c r="G83" t="inlineStr">
        <is>
          <t>System lookup</t>
        </is>
      </c>
      <c r="I83" t="inlineStr">
        <is>
          <t>Yes</t>
        </is>
      </c>
      <c r="J83" t="inlineStr">
        <is>
          <t>Yes</t>
        </is>
      </c>
      <c r="L83" t="inlineStr">
        <is>
          <t>Yes</t>
        </is>
      </c>
      <c r="M83" t="inlineStr">
        <is>
          <t>Yes</t>
        </is>
      </c>
    </row>
    <row r="84">
      <c r="A84" s="5" t="inlineStr">
        <is>
          <t>Customer Comments</t>
        </is>
      </c>
      <c r="B84" s="5" t="inlineStr">
        <is>
          <t>Optional</t>
        </is>
      </c>
      <c r="C84" s="5" t="inlineStr">
        <is>
          <t>Supports activity context, seller follow-up, and operational validation.</t>
        </is>
      </c>
      <c r="D84" s="5" t="inlineStr">
        <is>
          <t>Marketing team input</t>
        </is>
      </c>
      <c r="E84" s="5" t="inlineStr">
        <is>
          <t>Maximum of 3200 Characters Please add any information obtained from the customer that can be passed to the seller to enhance the converstation</t>
        </is>
      </c>
      <c r="F84" s="5" t="inlineStr">
        <is>
          <t>What context or comments should be passed to the seller?</t>
        </is>
      </c>
      <c r="G84" s="5" t="inlineStr">
        <is>
          <t>Text</t>
        </is>
      </c>
      <c r="H84" s="5" t="n"/>
      <c r="I84" s="5" t="n"/>
      <c r="J84" s="5" t="n"/>
      <c r="K84" s="5" t="n"/>
      <c r="L84" s="5" t="inlineStr">
        <is>
          <t>Yes</t>
        </is>
      </c>
      <c r="M84" s="5" t="inlineStr">
        <is>
          <t>Yes</t>
        </is>
      </c>
      <c r="Q84" s="5" t="n"/>
    </row>
    <row r="85">
      <c r="A85" t="inlineStr">
        <is>
          <t>Transaction Date</t>
        </is>
      </c>
      <c r="B85" t="inlineStr">
        <is>
          <t>Required</t>
        </is>
      </c>
      <c r="C85" t="inlineStr">
        <is>
          <t>Common date field for attribution sequencing, operational SLA reporting, and lead scoring time decay.</t>
        </is>
      </c>
      <c r="D85" t="inlineStr">
        <is>
          <t>Marketing team input</t>
        </is>
      </c>
      <c r="E85" t="inlineStr">
        <is>
          <t>Provided in uploaded file; may represent registration date, attendance date, scan date, meeting date, view date, form submission date, or follow-up request date.</t>
        </is>
      </c>
      <c r="F85" t="inlineStr">
        <is>
          <t>When did this activity happen?</t>
        </is>
      </c>
      <c r="G85" t="inlineStr">
        <is>
          <t>Date</t>
        </is>
      </c>
      <c r="I85" t="inlineStr">
        <is>
          <t>Yes</t>
        </is>
      </c>
      <c r="J85" t="inlineStr">
        <is>
          <t>Yes</t>
        </is>
      </c>
      <c r="M85" t="inlineStr">
        <is>
          <t>Yes</t>
        </is>
      </c>
    </row>
  </sheetData>
  <mergeCells count="10">
    <mergeCell ref="A31:Q31"/>
    <mergeCell ref="A58:Q58"/>
    <mergeCell ref="A67:Q67"/>
    <mergeCell ref="A12:Q12"/>
    <mergeCell ref="A50:Q50"/>
    <mergeCell ref="A1:Q1"/>
    <mergeCell ref="B5:Q5"/>
    <mergeCell ref="A78:Q78"/>
    <mergeCell ref="B4:Q4"/>
    <mergeCell ref="B3:Q3"/>
  </mergeCells>
  <dataValidations count="1">
    <dataValidation sqref="Q8:Q85"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Q87"/>
  <sheetViews>
    <sheetView workbookViewId="0">
      <pane ySplit="6" topLeftCell="A7" activePane="bottomLeft" state="frozen"/>
      <selection pane="bottomLeft" activeCell="A1" sqref="A1"/>
    </sheetView>
  </sheetViews>
  <sheetFormatPr baseColWidth="8" defaultRowHeight="14.25"/>
  <cols>
    <col width="50" customWidth="1" style="7" min="1" max="1"/>
    <col width="21"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UC06 — Manual Uploads | Hand Raiser | 3rd Party Events | Follow-Up Requested</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Hand Raiser</t>
        </is>
      </c>
    </row>
    <row r="5">
      <c r="A5" s="4" t="inlineStr">
        <is>
          <t>Use Case</t>
        </is>
      </c>
      <c r="B5" t="inlineStr">
        <is>
          <t>3rd Party Events</t>
        </is>
      </c>
    </row>
    <row r="6">
      <c r="A6" s="4" t="inlineStr">
        <is>
          <t>Activity Type</t>
        </is>
      </c>
      <c r="B6" t="inlineStr">
        <is>
          <t>Follow-Up Requested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Eloqua contact identifier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Marketing team input</t>
        </is>
      </c>
      <c r="E18" t="inlineStr">
        <is>
          <t>Provided in uploaded contact file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Marketing team input</t>
        </is>
      </c>
      <c r="E19" s="5" t="inlineStr">
        <is>
          <t>Provided in uploaded contact file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level?</t>
        </is>
      </c>
      <c r="G20" t="inlineStr">
        <is>
          <t>List of values / derived</t>
        </is>
      </c>
      <c r="K20" t="inlineStr">
        <is>
          <t>Yes</t>
        </is>
      </c>
      <c r="L20" t="inlineStr">
        <is>
          <t>Yes</t>
        </is>
      </c>
      <c r="M20" t="inlineStr">
        <is>
          <t>Yes</t>
        </is>
      </c>
    </row>
    <row r="21">
      <c r="A21" s="5" t="inlineStr">
        <is>
          <t>Job Department</t>
        </is>
      </c>
      <c r="B21" s="5" t="inlineStr">
        <is>
          <t>Recommended</t>
        </is>
      </c>
      <c r="C21" s="5" t="inlineStr">
        <is>
          <t>Supports contact matching, enrichment, routing, and lead scoring</t>
        </is>
      </c>
      <c r="D21" s="5" t="inlineStr">
        <is>
          <t>Marketing team input from standard list of values or derived in Contact Database</t>
        </is>
      </c>
      <c r="E21" s="5" t="inlineStr">
        <is>
          <t>Marketing Source when available; if not provided, the value is programmatically derived from the existing Job Title within the contact database</t>
        </is>
      </c>
      <c r="F21" s="5" t="inlineStr">
        <is>
          <t>What is the contact job department?</t>
        </is>
      </c>
      <c r="G21" s="5" t="inlineStr">
        <is>
          <t>List of values / derived</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Marketing team input</t>
        </is>
      </c>
      <c r="E22" t="inlineStr">
        <is>
          <t>Provided in uploaded contact file.</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Marketing team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Marketing team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Marketing team input</t>
        </is>
      </c>
      <c r="E39" t="inlineStr">
        <is>
          <t>Provided in uploaded contact file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inlineStr">
        <is>
          <t>Yes</t>
        </is>
      </c>
      <c r="M48" s="5" t="inlineStr">
        <is>
          <t>Yes</t>
        </is>
      </c>
      <c r="Q48" s="5" t="n"/>
    </row>
    <row r="49">
      <c r="A49" t="inlineStr">
        <is>
          <t>Phone Extension</t>
        </is>
      </c>
      <c r="B49" t="inlineStr">
        <is>
          <t>Optional</t>
        </is>
      </c>
      <c r="C49" t="inlineStr">
        <is>
          <t>Excluded from standard performance reporting</t>
        </is>
      </c>
      <c r="D49" t="inlineStr">
        <is>
          <t>Marketing team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H52" t="inlineStr">
        <is>
          <t>How should we deal with customer wanting to Opt Out - we see errors of N being added in error</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Marketing team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inlineStr">
        <is>
          <t>How should we deal with customer wanting to Opt Out - we see errors of N being added in error</t>
        </is>
      </c>
      <c r="I53" s="5" t="n"/>
      <c r="J53" s="5" t="n"/>
      <c r="K53" s="5" t="n"/>
      <c r="L53" s="5" t="inlineStr">
        <is>
          <t>Yes</t>
        </is>
      </c>
      <c r="M53" s="5" t="inlineStr">
        <is>
          <t>Yes</t>
        </is>
      </c>
      <c r="Q53" s="5" t="n"/>
    </row>
    <row r="54">
      <c r="A54" t="inlineStr">
        <is>
          <t>Contact Provided Permission</t>
        </is>
      </c>
      <c r="B54" t="inlineStr">
        <is>
          <t>Conditional</t>
        </is>
      </c>
      <c r="C54" t="inlineStr">
        <is>
          <t>Supports consent, privacy, and compliance checks for manual-upload processing.</t>
        </is>
      </c>
      <c r="D54" t="inlineStr">
        <is>
          <t>Marketing team input</t>
        </is>
      </c>
      <c r="E54" t="inlineStr">
        <is>
          <t>If Email or Phone Permission is supplied in the upload, update the contact record only when the marketing team has indicated that a digital/paper audit trail exists for the customer's opt-in/opt-out permission.</t>
        </is>
      </c>
      <c r="F54" t="inlineStr">
        <is>
          <t>Do you have a paper/digital audit trail showing that the customer gave opt-in permissions?</t>
        </is>
      </c>
      <c r="G54" t="inlineStr">
        <is>
          <t>Picklist/Text</t>
        </is>
      </c>
      <c r="M54" t="inlineStr">
        <is>
          <t>Yes</t>
        </is>
      </c>
    </row>
    <row r="55">
      <c r="A55" s="5" t="inlineStr">
        <is>
          <t>Cross Border Storage (China Hand Raisers and Responses Only)</t>
        </is>
      </c>
      <c r="B55" s="5" t="inlineStr">
        <is>
          <t>Conditional</t>
        </is>
      </c>
      <c r="C55" s="5" t="inlineStr">
        <is>
          <t>Supports consent, privacy, and compliance checks for manual-upload processing.</t>
        </is>
      </c>
      <c r="D55" s="5" t="inlineStr">
        <is>
          <t>Marketing team input</t>
        </is>
      </c>
      <c r="E55" s="5"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5" s="5" t="inlineStr">
        <is>
          <t>Was China cross-border storage consent captured for this transaction?</t>
        </is>
      </c>
      <c r="G55" s="5" t="inlineStr">
        <is>
          <t>Picklist/Text</t>
        </is>
      </c>
      <c r="H55" s="5" t="n"/>
      <c r="I55" s="5" t="n"/>
      <c r="J55" s="5" t="n"/>
      <c r="K55" s="5" t="n"/>
      <c r="L55" s="5" t="inlineStr">
        <is>
          <t>Yes</t>
        </is>
      </c>
      <c r="M55" s="5" t="inlineStr">
        <is>
          <t>Yes</t>
        </is>
      </c>
      <c r="Q55" s="5" t="n"/>
    </row>
    <row r="56">
      <c r="A56" t="inlineStr">
        <is>
          <t>Korea and Vietnam Combined Consent</t>
        </is>
      </c>
      <c r="B56" t="inlineStr">
        <is>
          <t>Conditional</t>
        </is>
      </c>
      <c r="C56" t="inlineStr">
        <is>
          <t>Supports consent, privacy, and compliance checks for manual-upload processing.</t>
        </is>
      </c>
      <c r="D56" t="inlineStr">
        <is>
          <t>Marketing team input</t>
        </is>
      </c>
      <c r="E56"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6" t="inlineStr">
        <is>
          <t>Was Korea/Vietnam combined consent captured where required?</t>
        </is>
      </c>
      <c r="G56" t="inlineStr">
        <is>
          <t>Picklist/Text</t>
        </is>
      </c>
      <c r="L56" t="inlineStr">
        <is>
          <t>Yes</t>
        </is>
      </c>
      <c r="M56" t="inlineStr">
        <is>
          <t>Yes</t>
        </is>
      </c>
    </row>
    <row r="57">
      <c r="A57" s="5" t="inlineStr">
        <is>
          <t>Share Data with Cisco Affiliates and Suppliers (China Hand Raisers and Responses Only)</t>
        </is>
      </c>
      <c r="B57" s="5" t="inlineStr">
        <is>
          <t>Conditional</t>
        </is>
      </c>
      <c r="C57" s="5" t="inlineStr">
        <is>
          <t>Supports consent, privacy, and compliance checks for manual-upload processing.</t>
        </is>
      </c>
      <c r="D57" s="5" t="inlineStr">
        <is>
          <t>Marketing team input</t>
        </is>
      </c>
      <c r="E57" s="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7" s="5" t="inlineStr">
        <is>
          <t>Was consent captured to share data with Cisco affiliates and suppliers?</t>
        </is>
      </c>
      <c r="G57" s="5" t="inlineStr">
        <is>
          <t>Picklist/Text</t>
        </is>
      </c>
      <c r="H57" s="5" t="n"/>
      <c r="I57" s="5" t="n"/>
      <c r="J57" s="5" t="n"/>
      <c r="K57" s="5" t="n"/>
      <c r="L57" s="5" t="inlineStr">
        <is>
          <t>Yes</t>
        </is>
      </c>
      <c r="M57" s="5" t="inlineStr">
        <is>
          <t>Yes</t>
        </is>
      </c>
      <c r="Q57" s="5" t="n"/>
    </row>
    <row r="58">
      <c r="A58" t="inlineStr">
        <is>
          <t>Consent / Permission Status</t>
        </is>
      </c>
    </row>
    <row r="59">
      <c r="A59" s="6" t="inlineStr">
        <is>
          <t>5 - Legacy Tracking Parameters</t>
        </is>
      </c>
    </row>
    <row r="60">
      <c r="A60" s="5" t="inlineStr">
        <is>
          <t>Campaign Name</t>
        </is>
      </c>
      <c r="B60" s="5" t="inlineStr">
        <is>
          <t>Derived</t>
        </is>
      </c>
      <c r="C60" s="5" t="inlineStr">
        <is>
          <t>Connects the touchpoint to attribution and marketing sourced pipeline reporting.</t>
        </is>
      </c>
      <c r="D60" s="5" t="inlineStr">
        <is>
          <t>Tray.io aligns to OMS tables</t>
        </is>
      </c>
      <c r="E60" s="5" t="inlineStr">
        <is>
          <t>Tray.io appends campaign information from OMS Tables populated by CTT Tool</t>
        </is>
      </c>
      <c r="F60" s="5" t="inlineStr">
        <is>
          <t>N/A - appended by Tray.io after upload</t>
        </is>
      </c>
      <c r="G60" s="5" t="inlineStr">
        <is>
          <t>System lookup</t>
        </is>
      </c>
      <c r="H60" s="5" t="n"/>
      <c r="I60" s="5" t="inlineStr">
        <is>
          <t>Yes</t>
        </is>
      </c>
      <c r="J60" s="5" t="inlineStr">
        <is>
          <t>Yes</t>
        </is>
      </c>
      <c r="K60" s="5" t="n"/>
      <c r="L60" s="5" t="inlineStr">
        <is>
          <t>Yes</t>
        </is>
      </c>
      <c r="M60" s="5" t="inlineStr">
        <is>
          <t>Yes</t>
        </is>
      </c>
      <c r="Q60" s="5" t="n"/>
    </row>
    <row r="61">
      <c r="A61" t="inlineStr">
        <is>
          <t>Program Name</t>
        </is>
      </c>
      <c r="B61" t="inlineStr">
        <is>
          <t>Derived</t>
        </is>
      </c>
      <c r="C61" t="inlineStr">
        <is>
          <t>Connects the touchpoint to attribution and marketing sourced pipeline reporting.</t>
        </is>
      </c>
      <c r="D61" t="inlineStr">
        <is>
          <t>Tray.io aligns to OMS tables</t>
        </is>
      </c>
      <c r="E61" t="inlineStr">
        <is>
          <t>Tray.io appends program information from OMS Tables populated by CTT Tool</t>
        </is>
      </c>
      <c r="F61" t="inlineStr">
        <is>
          <t>N/A - appended by Tray.io after upload</t>
        </is>
      </c>
      <c r="G61" t="inlineStr">
        <is>
          <t>System lookup</t>
        </is>
      </c>
      <c r="I61" t="inlineStr">
        <is>
          <t>Yes</t>
        </is>
      </c>
      <c r="J61" t="inlineStr">
        <is>
          <t>Yes</t>
        </is>
      </c>
      <c r="L61" t="inlineStr">
        <is>
          <t>Yes</t>
        </is>
      </c>
      <c r="M61" t="inlineStr">
        <is>
          <t>Yes</t>
        </is>
      </c>
    </row>
    <row r="62">
      <c r="A62" s="5" t="inlineStr">
        <is>
          <t>Activity ID</t>
        </is>
      </c>
      <c r="B62" s="5" t="inlineStr">
        <is>
          <t>Required</t>
        </is>
      </c>
      <c r="C62" s="5" t="inlineStr">
        <is>
          <t>Maintains compatibility with existing operational, attribution, and funnel reporting during transition.</t>
        </is>
      </c>
      <c r="D62" s="5" t="inlineStr">
        <is>
          <t>Marketing team input</t>
        </is>
      </c>
      <c r="E62" s="5" t="inlineStr">
        <is>
          <t>Capture while downstream processes still require it; retire after UTM_MEDIUM, UTM_SOURCE, and Workfront Channel ID are fully adopted.</t>
        </is>
      </c>
      <c r="F62" s="5" t="inlineStr">
        <is>
          <t>What is the  Activity ID for this activity?</t>
        </is>
      </c>
      <c r="G62" s="5" t="inlineStr">
        <is>
          <t>Text</t>
        </is>
      </c>
      <c r="H62" s="5" t="n"/>
      <c r="I62" s="5" t="inlineStr">
        <is>
          <t>Yes</t>
        </is>
      </c>
      <c r="J62" s="5" t="inlineStr">
        <is>
          <t>Yes</t>
        </is>
      </c>
      <c r="K62" s="5" t="inlineStr">
        <is>
          <t>Yes</t>
        </is>
      </c>
      <c r="L62" s="5" t="inlineStr">
        <is>
          <t>Yes</t>
        </is>
      </c>
      <c r="M62" s="5" t="inlineStr">
        <is>
          <t>Yes</t>
        </is>
      </c>
      <c r="Q62" s="5" t="n"/>
    </row>
    <row r="63">
      <c r="A63" t="inlineStr">
        <is>
          <t>Activity Name</t>
        </is>
      </c>
      <c r="B63" t="inlineStr">
        <is>
          <t>Derived</t>
        </is>
      </c>
      <c r="C63" t="inlineStr">
        <is>
          <t>Provides human-readable activity context for legacy attribution, operational reporting, and validation.</t>
        </is>
      </c>
      <c r="D63" t="inlineStr">
        <is>
          <t>Tray.io derived</t>
        </is>
      </c>
      <c r="E63" t="inlineStr">
        <is>
          <t>Tray.io derives Activity Name from Activity ID.</t>
        </is>
      </c>
      <c r="F63" t="inlineStr">
        <is>
          <t>N/A - appended by Tray.io after upload</t>
        </is>
      </c>
      <c r="G63" t="inlineStr">
        <is>
          <t>System lookup</t>
        </is>
      </c>
      <c r="J63" t="inlineStr">
        <is>
          <t>Yes</t>
        </is>
      </c>
      <c r="L63" t="inlineStr">
        <is>
          <t>Yes</t>
        </is>
      </c>
      <c r="M63" t="inlineStr">
        <is>
          <t>Yes</t>
        </is>
      </c>
    </row>
    <row r="64">
      <c r="A64" s="5" t="inlineStr">
        <is>
          <t>Activity Description</t>
        </is>
      </c>
      <c r="B64" s="5" t="inlineStr">
        <is>
          <t>Derived</t>
        </is>
      </c>
      <c r="C64" s="5" t="inlineStr">
        <is>
          <t>Provides activity context for reporting, validation, and downstream operational review.</t>
        </is>
      </c>
      <c r="D64" s="5" t="inlineStr">
        <is>
          <t>Tray.io derived</t>
        </is>
      </c>
      <c r="E64" s="5" t="inlineStr">
        <is>
          <t>Tray.io derives Activity Description from Activity ID.</t>
        </is>
      </c>
      <c r="F64" s="5" t="inlineStr">
        <is>
          <t>N/A - appended by Tray.io after upload</t>
        </is>
      </c>
      <c r="G64" s="5" t="inlineStr">
        <is>
          <t>System lookup</t>
        </is>
      </c>
      <c r="H64" s="5" t="n"/>
      <c r="I64" s="5" t="n"/>
      <c r="J64" s="5" t="inlineStr">
        <is>
          <t>Yes</t>
        </is>
      </c>
      <c r="K64" s="5" t="n"/>
      <c r="L64" s="5" t="inlineStr">
        <is>
          <t>Yes</t>
        </is>
      </c>
      <c r="M64" s="5" t="inlineStr">
        <is>
          <t>Yes</t>
        </is>
      </c>
      <c r="Q64" s="5" t="n"/>
    </row>
    <row r="65">
      <c r="A65" t="inlineStr">
        <is>
          <t>Drive To ID</t>
        </is>
      </c>
      <c r="B65" t="inlineStr">
        <is>
          <t>To Review</t>
        </is>
      </c>
      <c r="C65" t="inlineStr">
        <is>
          <t>Maintains legacy destination and drive-to reporting alignment during transition.</t>
        </is>
      </c>
      <c r="D65" t="inlineStr">
        <is>
          <t>Marketing team input or Tray.io derived</t>
        </is>
      </c>
      <c r="E65" t="inlineStr">
        <is>
          <t>Capture while downstream drive-to/destination reporting still requires it; retire after future-state channel/source fields are fully adopted. If DTID is given then use else default values as per DTID Values in Tab - Lists</t>
        </is>
      </c>
      <c r="F65" t="inlineStr">
        <is>
          <t>What is the Drive To ID?</t>
        </is>
      </c>
      <c r="G65" t="inlineStr">
        <is>
          <t>Text</t>
        </is>
      </c>
      <c r="H65" t="inlineStr">
        <is>
          <t>Attribution is using EID to determine First and Third party Events - so I think we can retire DTID for Event Uploads</t>
        </is>
      </c>
      <c r="I65" t="inlineStr">
        <is>
          <t>Yes</t>
        </is>
      </c>
      <c r="J65" t="inlineStr">
        <is>
          <t>Yes</t>
        </is>
      </c>
      <c r="L65" t="inlineStr">
        <is>
          <t>Yes</t>
        </is>
      </c>
      <c r="M65" t="inlineStr">
        <is>
          <t>Yes</t>
        </is>
      </c>
    </row>
    <row r="66">
      <c r="A66" s="5" t="inlineStr">
        <is>
          <t>Vehicle</t>
        </is>
      </c>
      <c r="B66" s="5" t="inlineStr">
        <is>
          <t>Derived</t>
        </is>
      </c>
      <c r="C66" s="5" t="inlineStr">
        <is>
          <t>Supports vehicle-level attribution, reporting, and operational alignment.</t>
        </is>
      </c>
      <c r="D66" s="5" t="inlineStr">
        <is>
          <t>Tray.io derived</t>
        </is>
      </c>
      <c r="E66" s="5" t="inlineStr">
        <is>
          <t>Tray.io derives Vehicle from Drive To ID.</t>
        </is>
      </c>
      <c r="F66" s="5" t="inlineStr">
        <is>
          <t>N/A - appended by Tray.io after upload</t>
        </is>
      </c>
      <c r="G66" s="5" t="inlineStr">
        <is>
          <t>System lookup</t>
        </is>
      </c>
      <c r="H66" s="5" t="n"/>
      <c r="I66" s="5" t="n"/>
      <c r="J66" s="5" t="inlineStr">
        <is>
          <t>Yes</t>
        </is>
      </c>
      <c r="K66" s="5" t="n"/>
      <c r="L66" s="5" t="n"/>
      <c r="M66" s="5" t="inlineStr">
        <is>
          <t>Yes</t>
        </is>
      </c>
      <c r="Q66" s="5" t="n"/>
    </row>
    <row r="67">
      <c r="A67" t="inlineStr">
        <is>
          <t>Offer ID</t>
        </is>
      </c>
    </row>
    <row r="68">
      <c r="A68" s="6" t="inlineStr">
        <is>
          <t>6 - Future Tracking Parameters</t>
        </is>
      </c>
    </row>
    <row r="69">
      <c r="A69" s="5" t="inlineStr">
        <is>
          <t>Workfront Channel ID</t>
        </is>
      </c>
      <c r="B69" s="5" t="inlineStr">
        <is>
          <t>To Review</t>
        </is>
      </c>
      <c r="C69" s="5" t="inlineStr">
        <is>
          <t>Connects the upload to the Workfront channel taxonomy for durable operational and attribution alignment.</t>
        </is>
      </c>
      <c r="D69" s="5" t="inlineStr">
        <is>
          <t>Marketing team input</t>
        </is>
      </c>
      <c r="E69" s="5" t="n"/>
      <c r="F69" s="5" t="inlineStr">
        <is>
          <t>What is the Workfront Channel ID?</t>
        </is>
      </c>
      <c r="G69" s="5" t="inlineStr">
        <is>
          <t>Text</t>
        </is>
      </c>
      <c r="H69" s="5" t="inlineStr">
        <is>
          <t>Will events data come from Workfront, or can all of this information come from the Global Events Table via the EID?</t>
        </is>
      </c>
      <c r="I69" s="5" t="inlineStr">
        <is>
          <t>Yes</t>
        </is>
      </c>
      <c r="J69" s="5" t="inlineStr">
        <is>
          <t>Yes</t>
        </is>
      </c>
      <c r="K69" s="5" t="n"/>
      <c r="L69" s="5" t="inlineStr">
        <is>
          <t>Yes</t>
        </is>
      </c>
      <c r="M69" s="5" t="inlineStr">
        <is>
          <t>Yes</t>
        </is>
      </c>
      <c r="Q69" s="5" t="n"/>
    </row>
    <row r="70">
      <c r="A70" t="inlineStr">
        <is>
          <t>Primary Technology</t>
        </is>
      </c>
      <c r="B70" t="inlineStr">
        <is>
          <t>Derived</t>
        </is>
      </c>
      <c r="C70" t="inlineStr">
        <is>
          <t>Identifies the primary technology associated with the content for future attribution, operational, and seller enablement reporting.</t>
        </is>
      </c>
      <c r="D70" t="inlineStr">
        <is>
          <t>Tray.io / Workfront derived</t>
        </is>
      </c>
      <c r="E70" t="inlineStr">
        <is>
          <t>Tray.io derives Primary Technology from Workfront Content ID and Workfront Channel ID alignment.</t>
        </is>
      </c>
      <c r="F70" t="inlineStr">
        <is>
          <t>N/A - appended by Tray.io after upload</t>
        </is>
      </c>
      <c r="G70" t="inlineStr">
        <is>
          <t>System lookup</t>
        </is>
      </c>
      <c r="I70" t="inlineStr">
        <is>
          <t>Yes</t>
        </is>
      </c>
      <c r="J70" t="inlineStr">
        <is>
          <t>Yes</t>
        </is>
      </c>
      <c r="L70" t="inlineStr">
        <is>
          <t>Yes</t>
        </is>
      </c>
      <c r="M70" t="inlineStr">
        <is>
          <t>Yes</t>
        </is>
      </c>
    </row>
    <row r="71">
      <c r="A71" s="5" t="inlineStr">
        <is>
          <t>Campaign</t>
        </is>
      </c>
      <c r="B71" s="5" t="inlineStr">
        <is>
          <t>Derived</t>
        </is>
      </c>
      <c r="C71" s="5" t="inlineStr">
        <is>
          <t>Connects the touchpoint to campaign-level attribution and marketing sourced pipeline reporting aligned to Workfront Content ID and Channel ID.</t>
        </is>
      </c>
      <c r="D71" s="5" t="inlineStr">
        <is>
          <t>Tray.io / Workfront derived</t>
        </is>
      </c>
      <c r="E71" s="5" t="inlineStr">
        <is>
          <t>Tray.io derives Campaign from Workfront Content ID and Workfront Channel ID alignment.</t>
        </is>
      </c>
      <c r="F71" s="5" t="inlineStr">
        <is>
          <t>N/A - appended by Tray.io after upload</t>
        </is>
      </c>
      <c r="G71" s="5" t="inlineStr">
        <is>
          <t>System lookup</t>
        </is>
      </c>
      <c r="H71" s="5" t="n"/>
      <c r="I71" s="5" t="inlineStr">
        <is>
          <t>Yes</t>
        </is>
      </c>
      <c r="J71" s="5" t="inlineStr">
        <is>
          <t>Yes</t>
        </is>
      </c>
      <c r="K71" s="5" t="n"/>
      <c r="L71" s="5" t="inlineStr">
        <is>
          <t>Yes</t>
        </is>
      </c>
      <c r="M71" s="5" t="inlineStr">
        <is>
          <t>Yes</t>
        </is>
      </c>
      <c r="Q71" s="5" t="n"/>
    </row>
    <row r="72">
      <c r="A72" t="inlineStr">
        <is>
          <t>Program</t>
        </is>
      </c>
      <c r="B72" t="inlineStr">
        <is>
          <t>Derived</t>
        </is>
      </c>
      <c r="C72" t="inlineStr">
        <is>
          <t>Connects the touchpoint to program-level attribution and marketing sourced pipeline reporting aligned to Workfront Content ID and Channel ID.</t>
        </is>
      </c>
      <c r="D72" t="inlineStr">
        <is>
          <t>Tray.io / Workfront derived</t>
        </is>
      </c>
      <c r="E72" t="inlineStr">
        <is>
          <t>Tray.io derives Program from Workfront Content ID and Workfront Channel ID alignment.</t>
        </is>
      </c>
      <c r="F72" t="inlineStr">
        <is>
          <t>N/A - appended by Tray.io after upload</t>
        </is>
      </c>
      <c r="G72" t="inlineStr">
        <is>
          <t>System lookup</t>
        </is>
      </c>
      <c r="I72" t="inlineStr">
        <is>
          <t>Yes</t>
        </is>
      </c>
      <c r="J72" t="inlineStr">
        <is>
          <t>Yes</t>
        </is>
      </c>
      <c r="L72" t="inlineStr">
        <is>
          <t>Yes</t>
        </is>
      </c>
      <c r="M72" t="inlineStr">
        <is>
          <t>Yes</t>
        </is>
      </c>
    </row>
    <row r="73">
      <c r="A73" s="5" t="inlineStr">
        <is>
          <t>Channel Type</t>
        </is>
      </c>
      <c r="B73" s="5" t="inlineStr">
        <is>
          <t>Derived</t>
        </is>
      </c>
      <c r="C73" s="5" t="inlineStr">
        <is>
          <t>Identifies the driving channel for future attribution, operational, and funnel reporting after legacy IDs are decommissioned.</t>
        </is>
      </c>
      <c r="D73" s="5" t="inlineStr">
        <is>
          <t>Tray.io derived</t>
        </is>
      </c>
      <c r="E73" s="5" t="inlineStr">
        <is>
          <t>Tray.io appends from Workfront Channel ID in the Workfront Data tables</t>
        </is>
      </c>
      <c r="F73" s="5" t="inlineStr">
        <is>
          <t>N/A - appended by Tray.io after upload</t>
        </is>
      </c>
      <c r="G73" s="5" t="inlineStr">
        <is>
          <t>Text</t>
        </is>
      </c>
      <c r="H73" s="5" t="n"/>
      <c r="I73" s="5" t="inlineStr">
        <is>
          <t>Yes</t>
        </is>
      </c>
      <c r="J73" s="5" t="inlineStr">
        <is>
          <t>Yes</t>
        </is>
      </c>
      <c r="K73" s="5" t="n"/>
      <c r="L73" s="5" t="inlineStr">
        <is>
          <t>Yes</t>
        </is>
      </c>
      <c r="M73" s="5" t="inlineStr">
        <is>
          <t>Yes</t>
        </is>
      </c>
      <c r="Q73" s="5" t="n"/>
    </row>
    <row r="74">
      <c r="A74" t="inlineStr">
        <is>
          <t>Channel Source</t>
        </is>
      </c>
      <c r="B74" t="inlineStr">
        <is>
          <t>Derived</t>
        </is>
      </c>
      <c r="C74" t="inlineStr">
        <is>
          <t>Identifies platform/vendor source for future attribution, operational, and funnel reporting.</t>
        </is>
      </c>
      <c r="D74" t="inlineStr">
        <is>
          <t>Tray.io derived</t>
        </is>
      </c>
      <c r="E74" t="inlineStr">
        <is>
          <t>Tray.io appends from Workfront Channel ID in the Workfront Data tables</t>
        </is>
      </c>
      <c r="F74" t="inlineStr">
        <is>
          <t>N/A - appended by Tray.io after upload</t>
        </is>
      </c>
      <c r="G74" t="inlineStr">
        <is>
          <t>Text</t>
        </is>
      </c>
      <c r="I74" t="inlineStr">
        <is>
          <t>Yes</t>
        </is>
      </c>
      <c r="J74" t="inlineStr">
        <is>
          <t>Yes</t>
        </is>
      </c>
      <c r="L74" t="inlineStr">
        <is>
          <t>Yes</t>
        </is>
      </c>
      <c r="M74" t="inlineStr">
        <is>
          <t>Yes</t>
        </is>
      </c>
    </row>
    <row r="75">
      <c r="A75" s="5" t="inlineStr">
        <is>
          <t>Funnel Stage</t>
        </is>
      </c>
      <c r="B75" s="5" t="inlineStr">
        <is>
          <t>Derived</t>
        </is>
      </c>
      <c r="C75" s="5" t="inlineStr">
        <is>
          <t>Supports funnel-based routing, lead scoring, and operational reporting aligned to Workfront Content ID and Channel ID.</t>
        </is>
      </c>
      <c r="D75" s="5" t="inlineStr">
        <is>
          <t>Tray.io / Workfront derived</t>
        </is>
      </c>
      <c r="E75" s="5" t="inlineStr">
        <is>
          <t>Tray.io derives Funnel Stage from Workfront Content ID and Workfront Channel ID alignment.</t>
        </is>
      </c>
      <c r="F75" s="5" t="inlineStr">
        <is>
          <t>N/A - appended by Tray.io after upload</t>
        </is>
      </c>
      <c r="G75" s="5" t="inlineStr">
        <is>
          <t>System lookup</t>
        </is>
      </c>
      <c r="H75" s="5" t="n"/>
      <c r="I75" s="5" t="inlineStr">
        <is>
          <t>Yes</t>
        </is>
      </c>
      <c r="J75" s="5" t="inlineStr">
        <is>
          <t>Yes</t>
        </is>
      </c>
      <c r="K75" s="5" t="n"/>
      <c r="L75" s="5" t="n"/>
      <c r="M75" s="5" t="inlineStr">
        <is>
          <t>Yes</t>
        </is>
      </c>
      <c r="Q75" s="5" t="n"/>
    </row>
    <row r="76">
      <c r="A76" t="inlineStr">
        <is>
          <t>Workfront Content ID</t>
        </is>
      </c>
      <c r="B76" t="inlineStr">
        <is>
          <t>To Review</t>
        </is>
      </c>
      <c r="C76" t="inlineStr">
        <is>
          <t>Connects the upload to the Workfront Content taxonomy for durable operational and attribution alignment.</t>
        </is>
      </c>
      <c r="D76" t="inlineStr">
        <is>
          <t>Marketing team input</t>
        </is>
      </c>
      <c r="F76" t="inlineStr">
        <is>
          <t>What is the Workfront Content ID?</t>
        </is>
      </c>
      <c r="G76" t="inlineStr">
        <is>
          <t>Text</t>
        </is>
      </c>
      <c r="H76" t="inlineStr">
        <is>
          <t>Would the Event manual Upload use cases really capture a Workfront Content ID</t>
        </is>
      </c>
      <c r="I76" t="inlineStr">
        <is>
          <t>Yes</t>
        </is>
      </c>
      <c r="J76" t="inlineStr">
        <is>
          <t>Yes</t>
        </is>
      </c>
      <c r="L76" t="inlineStr">
        <is>
          <t>Yes</t>
        </is>
      </c>
      <c r="M76" t="inlineStr">
        <is>
          <t>Yes</t>
        </is>
      </c>
    </row>
    <row r="77">
      <c r="A77" s="5" t="inlineStr">
        <is>
          <t>Content Type</t>
        </is>
      </c>
      <c r="B77" s="5" t="inlineStr">
        <is>
          <t>Derived</t>
        </is>
      </c>
      <c r="C77" s="5" t="inlineStr">
        <is>
          <t>Identifies the content classification for future attribution, operational, and funnel reporting aligned to Workfront Content ID.</t>
        </is>
      </c>
      <c r="D77" s="5" t="inlineStr">
        <is>
          <t>Tray.io / Workfront derived</t>
        </is>
      </c>
      <c r="E77" s="5" t="inlineStr">
        <is>
          <t>Tray.io derives Content Type from Workfront Content ID alignment.</t>
        </is>
      </c>
      <c r="F77" s="5" t="inlineStr">
        <is>
          <t>N/A - appended by Tray.io after upload</t>
        </is>
      </c>
      <c r="G77" s="5" t="inlineStr">
        <is>
          <t>System lookup</t>
        </is>
      </c>
      <c r="H77" s="5" t="inlineStr">
        <is>
          <t>This field relates to Web Content Type, Webinar Type and Event Type from Workfront.</t>
        </is>
      </c>
      <c r="I77" s="5" t="inlineStr">
        <is>
          <t>Yes</t>
        </is>
      </c>
      <c r="J77" s="5" t="inlineStr">
        <is>
          <t>Yes</t>
        </is>
      </c>
      <c r="K77" s="5" t="n"/>
      <c r="L77" s="5" t="inlineStr">
        <is>
          <t>Yes</t>
        </is>
      </c>
      <c r="M77" s="5" t="inlineStr">
        <is>
          <t>Yes</t>
        </is>
      </c>
      <c r="Q77" s="5" t="n"/>
    </row>
    <row r="78">
      <c r="A78" t="inlineStr">
        <is>
          <t>Vendor</t>
        </is>
      </c>
    </row>
    <row r="79">
      <c r="A79" s="6" t="inlineStr">
        <is>
          <t>7 - Event Tracking Parameters</t>
        </is>
      </c>
    </row>
    <row r="80">
      <c r="A80" s="5" t="inlineStr">
        <is>
          <t>Event ID / EID</t>
        </is>
      </c>
      <c r="B80" s="5" t="inlineStr">
        <is>
          <t>Required</t>
        </is>
      </c>
      <c r="C80" s="5" t="inlineStr">
        <is>
          <t>Primary lookup key for attribution, operational reporting, and Global Events Table enrichment. MRF should capture the same fields as Workfront</t>
        </is>
      </c>
      <c r="D80" s="5" t="inlineStr">
        <is>
          <t>Marketing team input</t>
        </is>
      </c>
      <c r="E80" s="5" t="inlineStr">
        <is>
          <t>EID is validated against Global Events Table for validity</t>
        </is>
      </c>
      <c r="F80" s="5" t="inlineStr">
        <is>
          <t>Which Event ID is this upload for?</t>
        </is>
      </c>
      <c r="G80" s="5" t="inlineStr">
        <is>
          <t>Picklist/Text</t>
        </is>
      </c>
      <c r="H80" s="5" t="inlineStr">
        <is>
          <t>Confirm uploader has this value before upload.</t>
        </is>
      </c>
      <c r="I80" s="5" t="inlineStr">
        <is>
          <t>Yes</t>
        </is>
      </c>
      <c r="J80" s="5" t="inlineStr">
        <is>
          <t>Yes</t>
        </is>
      </c>
      <c r="K80" s="5" t="n"/>
      <c r="L80" s="5" t="inlineStr">
        <is>
          <t>Yes</t>
        </is>
      </c>
      <c r="M80" s="5" t="inlineStr">
        <is>
          <t>Yes</t>
        </is>
      </c>
      <c r="Q80" s="5" t="n"/>
    </row>
    <row r="81">
      <c r="A81" t="inlineStr">
        <is>
          <t>Event Name</t>
        </is>
      </c>
      <c r="B81" t="inlineStr">
        <is>
          <t>Derived</t>
        </is>
      </c>
      <c r="C81" t="inlineStr">
        <is>
          <t>Human-readable event reporting and validation without requiring uploaders to re-type event names.</t>
        </is>
      </c>
      <c r="D81" t="inlineStr">
        <is>
          <t>Tray.io / Global Events Table derived</t>
        </is>
      </c>
      <c r="E81" t="inlineStr">
        <is>
          <t>Tray.io appends from Global Events Table using Event ID / EID.</t>
        </is>
      </c>
      <c r="F81" t="inlineStr">
        <is>
          <t>N/A - appended by Tray.io after upload</t>
        </is>
      </c>
      <c r="G81" t="inlineStr">
        <is>
          <t>System lookup</t>
        </is>
      </c>
      <c r="J81" t="inlineStr">
        <is>
          <t>Yes</t>
        </is>
      </c>
      <c r="L81" t="inlineStr">
        <is>
          <t>Yes</t>
        </is>
      </c>
      <c r="M81" t="inlineStr">
        <is>
          <t>Yes</t>
        </is>
      </c>
    </row>
    <row r="82">
      <c r="A82" s="5" t="inlineStr">
        <is>
          <t>Event Start Date</t>
        </is>
      </c>
      <c r="B82" s="5" t="inlineStr">
        <is>
          <t>Derived</t>
        </is>
      </c>
      <c r="C82" s="5" t="inlineStr">
        <is>
          <t>Supports attribution windows, recency logic, upload validation, and operational reporting.</t>
        </is>
      </c>
      <c r="D82" s="5" t="inlineStr">
        <is>
          <t>Tray.io / Global Events Table derived</t>
        </is>
      </c>
      <c r="E82" s="5" t="inlineStr">
        <is>
          <t>Tray.io appends from Global Events Table using Event ID / EID.</t>
        </is>
      </c>
      <c r="F82" s="5" t="inlineStr">
        <is>
          <t>N/A - appended by Tray.io after upload</t>
        </is>
      </c>
      <c r="G82" s="5" t="inlineStr">
        <is>
          <t>System lookup</t>
        </is>
      </c>
      <c r="H82" s="5" t="n"/>
      <c r="I82" s="5" t="inlineStr">
        <is>
          <t>Yes</t>
        </is>
      </c>
      <c r="J82" s="5" t="inlineStr">
        <is>
          <t>Yes</t>
        </is>
      </c>
      <c r="K82" s="5" t="n"/>
      <c r="L82" s="5" t="inlineStr">
        <is>
          <t>Yes</t>
        </is>
      </c>
      <c r="M82" s="5" t="inlineStr">
        <is>
          <t>Yes</t>
        </is>
      </c>
      <c r="Q82" s="5" t="n"/>
    </row>
    <row r="83">
      <c r="A83" t="inlineStr">
        <is>
          <t>Event End Date</t>
        </is>
      </c>
      <c r="B83" t="inlineStr">
        <is>
          <t>Derived</t>
        </is>
      </c>
      <c r="C83" t="inlineStr">
        <is>
          <t>Supports validation that activity dates fall within or near the event window.</t>
        </is>
      </c>
      <c r="D83" t="inlineStr">
        <is>
          <t>Tray.io / Global Events Table derived</t>
        </is>
      </c>
      <c r="E83" t="inlineStr">
        <is>
          <t>Tray.io appends from Global Events Table using Event ID / EID.</t>
        </is>
      </c>
      <c r="F83" t="inlineStr">
        <is>
          <t>N/A - appended by Tray.io after upload</t>
        </is>
      </c>
      <c r="G83" t="inlineStr">
        <is>
          <t>System lookup</t>
        </is>
      </c>
      <c r="I83" t="inlineStr">
        <is>
          <t>Yes</t>
        </is>
      </c>
      <c r="J83" t="inlineStr">
        <is>
          <t>Yes</t>
        </is>
      </c>
      <c r="L83" t="inlineStr">
        <is>
          <t>Yes</t>
        </is>
      </c>
      <c r="M83" t="inlineStr">
        <is>
          <t>Yes</t>
        </is>
      </c>
    </row>
    <row r="84">
      <c r="A84" s="5" t="inlineStr">
        <is>
          <t>Customer Comments</t>
        </is>
      </c>
      <c r="B84" s="5" t="inlineStr">
        <is>
          <t>Optional</t>
        </is>
      </c>
      <c r="C84" s="5" t="inlineStr">
        <is>
          <t>Supports activity context, seller follow-up, and operational validation.</t>
        </is>
      </c>
      <c r="D84" s="5" t="inlineStr">
        <is>
          <t>Marketing team input</t>
        </is>
      </c>
      <c r="E84" s="5" t="inlineStr">
        <is>
          <t>Maximum of 3200 Characters Please add any information obtained from the customer that can be passed to the seller to enhance the converstation</t>
        </is>
      </c>
      <c r="F84" s="5" t="inlineStr">
        <is>
          <t>What context or comments should be passed to the seller?</t>
        </is>
      </c>
      <c r="G84" s="5" t="inlineStr">
        <is>
          <t>Text</t>
        </is>
      </c>
      <c r="H84" s="5" t="n"/>
      <c r="I84" s="5" t="n"/>
      <c r="J84" s="5" t="n"/>
      <c r="K84" s="5" t="n"/>
      <c r="L84" s="5" t="inlineStr">
        <is>
          <t>Yes</t>
        </is>
      </c>
      <c r="M84" s="5" t="inlineStr">
        <is>
          <t>Yes</t>
        </is>
      </c>
      <c r="Q84" s="5" t="n"/>
    </row>
    <row r="85">
      <c r="A85" t="inlineStr">
        <is>
          <t>Transaction Date</t>
        </is>
      </c>
    </row>
    <row r="86">
      <c r="A86" s="6" t="inlineStr">
        <is>
          <t>8 - Activity Detail</t>
        </is>
      </c>
    </row>
    <row r="87">
      <c r="A87" s="5" t="inlineStr">
        <is>
          <t>Privacy ID</t>
        </is>
      </c>
      <c r="B87" s="5" t="inlineStr">
        <is>
          <t>Required</t>
        </is>
      </c>
      <c r="C87" s="5" t="inlineStr">
        <is>
          <t>Supports privacy, compliance, auditability, and source-system traceability for non-1st Party Events activity.</t>
        </is>
      </c>
      <c r="D87" s="5" t="inlineStr">
        <is>
          <t>Marketing team input</t>
        </is>
      </c>
      <c r="E87" s="5" t="inlineStr">
        <is>
          <t>Capture for non-1st Party Events use cases when supplied by the source activity or vendor.</t>
        </is>
      </c>
      <c r="F87" s="5" t="inlineStr">
        <is>
          <t>What is the Privacy ID for this activity?</t>
        </is>
      </c>
      <c r="G87" s="5" t="inlineStr">
        <is>
          <t>Text</t>
        </is>
      </c>
      <c r="H87" s="5" t="n"/>
      <c r="I87" s="5" t="n"/>
      <c r="J87" s="5" t="n"/>
      <c r="K87" s="5" t="n"/>
      <c r="L87" s="5" t="n"/>
      <c r="M87" s="5" t="inlineStr">
        <is>
          <t>Yes</t>
        </is>
      </c>
      <c r="Q87" s="5" t="n"/>
    </row>
  </sheetData>
  <mergeCells count="11">
    <mergeCell ref="A31:Q31"/>
    <mergeCell ref="A58:Q58"/>
    <mergeCell ref="A67:Q67"/>
    <mergeCell ref="A12:Q12"/>
    <mergeCell ref="A50:Q50"/>
    <mergeCell ref="A85:Q85"/>
    <mergeCell ref="A1:Q1"/>
    <mergeCell ref="B5:Q5"/>
    <mergeCell ref="A78:Q78"/>
    <mergeCell ref="B4:Q4"/>
    <mergeCell ref="B3:Q3"/>
  </mergeCells>
  <dataValidations count="1">
    <dataValidation sqref="Q8:Q87"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Q85"/>
  <sheetViews>
    <sheetView workbookViewId="0">
      <pane ySplit="6" topLeftCell="A7" activePane="bottomLeft" state="frozen"/>
      <selection pane="bottomLeft" activeCell="A1" sqref="A1"/>
    </sheetView>
  </sheetViews>
  <sheetFormatPr baseColWidth="8" defaultRowHeight="14.25"/>
  <cols>
    <col width="50" customWidth="1" style="7" min="1" max="1"/>
    <col width="21"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UC07 — Manual Uploads | Hand Raiser | Paid Leads | Follow-Up Requested</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Hand Raiser</t>
        </is>
      </c>
    </row>
    <row r="5">
      <c r="A5" s="4" t="inlineStr">
        <is>
          <t>Use Case</t>
        </is>
      </c>
      <c r="B5" t="inlineStr">
        <is>
          <t>Paid Leads</t>
        </is>
      </c>
    </row>
    <row r="6">
      <c r="A6" s="4" t="inlineStr">
        <is>
          <t>Activity Type</t>
        </is>
      </c>
      <c r="B6" t="inlineStr">
        <is>
          <t>Follow-Up Requested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Eloqua contact identifier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Marketing team input</t>
        </is>
      </c>
      <c r="E18" t="inlineStr">
        <is>
          <t>Provided in uploaded contact file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Marketing team input</t>
        </is>
      </c>
      <c r="E19" s="5" t="inlineStr">
        <is>
          <t>Provided in uploaded contact file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level?</t>
        </is>
      </c>
      <c r="G20" t="inlineStr">
        <is>
          <t>List of values / derived</t>
        </is>
      </c>
      <c r="K20" t="inlineStr">
        <is>
          <t>Yes</t>
        </is>
      </c>
      <c r="L20" t="inlineStr">
        <is>
          <t>Yes</t>
        </is>
      </c>
      <c r="M20" t="inlineStr">
        <is>
          <t>Yes</t>
        </is>
      </c>
    </row>
    <row r="21">
      <c r="A21" s="5" t="inlineStr">
        <is>
          <t>Job Department</t>
        </is>
      </c>
      <c r="B21" s="5" t="inlineStr">
        <is>
          <t>Recommended</t>
        </is>
      </c>
      <c r="C21" s="5" t="inlineStr">
        <is>
          <t>Supports contact matching, enrichment, routing, and lead scoring</t>
        </is>
      </c>
      <c r="D21" s="5" t="inlineStr">
        <is>
          <t>Marketing team input from standard list of values or derived in Contact Database</t>
        </is>
      </c>
      <c r="E21" s="5" t="inlineStr">
        <is>
          <t>Marketing Source when available; if not provided, the value is programmatically derived from the existing Job Title within the contact database</t>
        </is>
      </c>
      <c r="F21" s="5" t="inlineStr">
        <is>
          <t>What is the contact job department?</t>
        </is>
      </c>
      <c r="G21" s="5" t="inlineStr">
        <is>
          <t>List of values / derived</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Marketing team input</t>
        </is>
      </c>
      <c r="E22" t="inlineStr">
        <is>
          <t>Provided in uploaded contact file</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Marketing team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Marketing team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Marketing team input</t>
        </is>
      </c>
      <c r="E39" t="inlineStr">
        <is>
          <t>Provided in uploaded contact file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inlineStr">
        <is>
          <t>Yes</t>
        </is>
      </c>
      <c r="M48" s="5" t="inlineStr">
        <is>
          <t>Yes</t>
        </is>
      </c>
      <c r="Q48" s="5" t="n"/>
    </row>
    <row r="49">
      <c r="A49" t="inlineStr">
        <is>
          <t>Phone Extension</t>
        </is>
      </c>
      <c r="B49" t="inlineStr">
        <is>
          <t>Optional</t>
        </is>
      </c>
      <c r="C49" t="inlineStr">
        <is>
          <t>Excluded from standard performance reporting</t>
        </is>
      </c>
      <c r="D49" t="inlineStr">
        <is>
          <t>Marketing team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H52" t="inlineStr">
        <is>
          <t>How should we deal with customer wanting to Opt Out - we see errors of N being added in error</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Marketing team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inlineStr">
        <is>
          <t>How should we deal with customer wanting to Opt Out - we see errors of N being added in error</t>
        </is>
      </c>
      <c r="I53" s="5" t="n"/>
      <c r="J53" s="5" t="n"/>
      <c r="K53" s="5" t="n"/>
      <c r="L53" s="5" t="inlineStr">
        <is>
          <t>Yes</t>
        </is>
      </c>
      <c r="M53" s="5" t="inlineStr">
        <is>
          <t>Yes</t>
        </is>
      </c>
      <c r="Q53" s="5" t="n"/>
    </row>
    <row r="54">
      <c r="A54" t="inlineStr">
        <is>
          <t>Contact Provided Permission</t>
        </is>
      </c>
      <c r="B54" t="inlineStr">
        <is>
          <t>Conditional</t>
        </is>
      </c>
      <c r="C54" t="inlineStr">
        <is>
          <t>Supports consent, privacy, and compliance checks for manual-upload processing.</t>
        </is>
      </c>
      <c r="D54" t="inlineStr">
        <is>
          <t>Marketing team input</t>
        </is>
      </c>
      <c r="E54" t="inlineStr">
        <is>
          <t>If Email or Phone Permission is supplied in the upload, update the contact record only when the marketing team has indicated that a digital/paper audit trail exists for the customer's opt-in/opt-out permission.</t>
        </is>
      </c>
      <c r="F54" t="inlineStr">
        <is>
          <t>Do you have a paper/digital audit trail showing that the customer gave opt-in permissions?</t>
        </is>
      </c>
      <c r="G54" t="inlineStr">
        <is>
          <t>Picklist/Text</t>
        </is>
      </c>
      <c r="M54" t="inlineStr">
        <is>
          <t>Yes</t>
        </is>
      </c>
    </row>
    <row r="55">
      <c r="A55" s="5" t="inlineStr">
        <is>
          <t>Cross Border Storage (China Hand Raisers and Responses Only)</t>
        </is>
      </c>
      <c r="B55" s="5" t="inlineStr">
        <is>
          <t>Conditional</t>
        </is>
      </c>
      <c r="C55" s="5" t="inlineStr">
        <is>
          <t>Supports consent, privacy, and compliance checks for manual-upload processing.</t>
        </is>
      </c>
      <c r="D55" s="5" t="inlineStr">
        <is>
          <t>Marketing team input</t>
        </is>
      </c>
      <c r="E55" s="5"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5" s="5" t="inlineStr">
        <is>
          <t>Was China cross-border storage consent captured for this transaction?</t>
        </is>
      </c>
      <c r="G55" s="5" t="inlineStr">
        <is>
          <t>Picklist/Text</t>
        </is>
      </c>
      <c r="H55" s="5" t="n"/>
      <c r="I55" s="5" t="n"/>
      <c r="J55" s="5" t="n"/>
      <c r="K55" s="5" t="n"/>
      <c r="L55" s="5" t="inlineStr">
        <is>
          <t>Yes</t>
        </is>
      </c>
      <c r="M55" s="5" t="inlineStr">
        <is>
          <t>Yes</t>
        </is>
      </c>
      <c r="Q55" s="5" t="n"/>
    </row>
    <row r="56">
      <c r="A56" t="inlineStr">
        <is>
          <t>Korea and Vietnam Combined Consent</t>
        </is>
      </c>
      <c r="B56" t="inlineStr">
        <is>
          <t>Conditional</t>
        </is>
      </c>
      <c r="C56" t="inlineStr">
        <is>
          <t>Supports consent, privacy, and compliance checks for manual-upload processing.</t>
        </is>
      </c>
      <c r="D56" t="inlineStr">
        <is>
          <t>Marketing team input</t>
        </is>
      </c>
      <c r="E56"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6" t="inlineStr">
        <is>
          <t>Was Korea/Vietnam combined consent captured where required?</t>
        </is>
      </c>
      <c r="G56" t="inlineStr">
        <is>
          <t>Picklist/Text</t>
        </is>
      </c>
      <c r="L56" t="inlineStr">
        <is>
          <t>Yes</t>
        </is>
      </c>
      <c r="M56" t="inlineStr">
        <is>
          <t>Yes</t>
        </is>
      </c>
    </row>
    <row r="57">
      <c r="A57" s="5" t="inlineStr">
        <is>
          <t>Share Data with Cisco Affiliates and Suppliers (China Hand Raisers and Responses Only)</t>
        </is>
      </c>
      <c r="B57" s="5" t="inlineStr">
        <is>
          <t>Conditional</t>
        </is>
      </c>
      <c r="C57" s="5" t="inlineStr">
        <is>
          <t>Supports consent, privacy, and compliance checks for manual-upload processing.</t>
        </is>
      </c>
      <c r="D57" s="5" t="inlineStr">
        <is>
          <t>Marketing team input</t>
        </is>
      </c>
      <c r="E57" s="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7" s="5" t="inlineStr">
        <is>
          <t>Was consent captured to share data with Cisco affiliates and suppliers?</t>
        </is>
      </c>
      <c r="G57" s="5" t="inlineStr">
        <is>
          <t>Picklist/Text</t>
        </is>
      </c>
      <c r="H57" s="5" t="n"/>
      <c r="I57" s="5" t="n"/>
      <c r="J57" s="5" t="n"/>
      <c r="K57" s="5" t="n"/>
      <c r="L57" s="5" t="inlineStr">
        <is>
          <t>Yes</t>
        </is>
      </c>
      <c r="M57" s="5" t="inlineStr">
        <is>
          <t>Yes</t>
        </is>
      </c>
      <c r="Q57" s="5" t="n"/>
    </row>
    <row r="58">
      <c r="A58" t="inlineStr">
        <is>
          <t>Consent / Permission Status</t>
        </is>
      </c>
    </row>
    <row r="59">
      <c r="A59" s="6" t="inlineStr">
        <is>
          <t>5 - Legacy Tracking Parameters</t>
        </is>
      </c>
    </row>
    <row r="60">
      <c r="A60" s="5" t="inlineStr">
        <is>
          <t>Campaign Name</t>
        </is>
      </c>
      <c r="B60" s="5" t="inlineStr">
        <is>
          <t>Derived</t>
        </is>
      </c>
      <c r="C60" s="5" t="inlineStr">
        <is>
          <t>Connects the touchpoint to attribution and marketing sourced pipeline reporting.</t>
        </is>
      </c>
      <c r="D60" s="5" t="inlineStr">
        <is>
          <t>Tray.io aligns to OMS tables</t>
        </is>
      </c>
      <c r="E60" s="5" t="inlineStr">
        <is>
          <t>Tray.io appends campaign information from OMS Tables populated by CTT Tool</t>
        </is>
      </c>
      <c r="F60" s="5" t="inlineStr">
        <is>
          <t>N/A - appended by Tray.io after upload</t>
        </is>
      </c>
      <c r="G60" s="5" t="inlineStr">
        <is>
          <t>System lookup</t>
        </is>
      </c>
      <c r="H60" s="5" t="n"/>
      <c r="I60" s="5" t="inlineStr">
        <is>
          <t>Yes</t>
        </is>
      </c>
      <c r="J60" s="5" t="inlineStr">
        <is>
          <t>Yes</t>
        </is>
      </c>
      <c r="K60" s="5" t="n"/>
      <c r="L60" s="5" t="inlineStr">
        <is>
          <t>Yes</t>
        </is>
      </c>
      <c r="M60" s="5" t="inlineStr">
        <is>
          <t>Yes</t>
        </is>
      </c>
      <c r="Q60" s="5" t="n"/>
    </row>
    <row r="61">
      <c r="A61" t="inlineStr">
        <is>
          <t>Program Name</t>
        </is>
      </c>
      <c r="B61" t="inlineStr">
        <is>
          <t>Derived</t>
        </is>
      </c>
      <c r="C61" t="inlineStr">
        <is>
          <t>Connects the touchpoint to attribution and marketing sourced pipeline reporting.</t>
        </is>
      </c>
      <c r="D61" t="inlineStr">
        <is>
          <t>Tray.io aligns to OMS tables</t>
        </is>
      </c>
      <c r="E61" t="inlineStr">
        <is>
          <t>Tray.io appends program information from OMS Tables populated by CTT Tool</t>
        </is>
      </c>
      <c r="F61" t="inlineStr">
        <is>
          <t>N/A - appended by Tray.io after upload</t>
        </is>
      </c>
      <c r="G61" t="inlineStr">
        <is>
          <t>System lookup</t>
        </is>
      </c>
      <c r="I61" t="inlineStr">
        <is>
          <t>Yes</t>
        </is>
      </c>
      <c r="J61" t="inlineStr">
        <is>
          <t>Yes</t>
        </is>
      </c>
      <c r="L61" t="inlineStr">
        <is>
          <t>Yes</t>
        </is>
      </c>
      <c r="M61" t="inlineStr">
        <is>
          <t>Yes</t>
        </is>
      </c>
    </row>
    <row r="62">
      <c r="A62" s="5" t="inlineStr">
        <is>
          <t>Activity ID</t>
        </is>
      </c>
      <c r="B62" s="5" t="inlineStr">
        <is>
          <t>Required</t>
        </is>
      </c>
      <c r="C62" s="5" t="inlineStr">
        <is>
          <t>Maintains compatibility with existing operational, attribution, and funnel reporting during transition.</t>
        </is>
      </c>
      <c r="D62" s="5" t="inlineStr">
        <is>
          <t>Marketing team input</t>
        </is>
      </c>
      <c r="E62" s="5" t="inlineStr">
        <is>
          <t>Capture while downstream processes still require it; retire after UTM_MEDIUM, UTM_SOURCE, and Workfront Channel ID are fully adopted.</t>
        </is>
      </c>
      <c r="F62" s="5" t="inlineStr">
        <is>
          <t>What is the  Activity ID for this activity?</t>
        </is>
      </c>
      <c r="G62" s="5" t="inlineStr">
        <is>
          <t>Text</t>
        </is>
      </c>
      <c r="H62" s="5" t="n"/>
      <c r="I62" s="5" t="inlineStr">
        <is>
          <t>Yes</t>
        </is>
      </c>
      <c r="J62" s="5" t="inlineStr">
        <is>
          <t>Yes</t>
        </is>
      </c>
      <c r="K62" s="5" t="inlineStr">
        <is>
          <t>Yes</t>
        </is>
      </c>
      <c r="L62" s="5" t="inlineStr">
        <is>
          <t>Yes</t>
        </is>
      </c>
      <c r="M62" s="5" t="inlineStr">
        <is>
          <t>Yes</t>
        </is>
      </c>
      <c r="Q62" s="5" t="n"/>
    </row>
    <row r="63">
      <c r="A63" t="inlineStr">
        <is>
          <t>Activity Name</t>
        </is>
      </c>
      <c r="B63" t="inlineStr">
        <is>
          <t>Derived</t>
        </is>
      </c>
      <c r="C63" t="inlineStr">
        <is>
          <t>Provides human-readable activity context for legacy attribution, operational reporting, and validation.</t>
        </is>
      </c>
      <c r="D63" t="inlineStr">
        <is>
          <t>Tray.io derived</t>
        </is>
      </c>
      <c r="E63" t="inlineStr">
        <is>
          <t>Tray.io derives Activity Name from Activity ID.</t>
        </is>
      </c>
      <c r="F63" t="inlineStr">
        <is>
          <t>N/A - appended by Tray.io after upload</t>
        </is>
      </c>
      <c r="G63" t="inlineStr">
        <is>
          <t>System lookup</t>
        </is>
      </c>
      <c r="J63" t="inlineStr">
        <is>
          <t>Yes</t>
        </is>
      </c>
      <c r="L63" t="inlineStr">
        <is>
          <t>Yes</t>
        </is>
      </c>
      <c r="M63" t="inlineStr">
        <is>
          <t>Yes</t>
        </is>
      </c>
    </row>
    <row r="64">
      <c r="A64" s="5" t="inlineStr">
        <is>
          <t>Activity Description</t>
        </is>
      </c>
      <c r="B64" s="5" t="inlineStr">
        <is>
          <t>Derived</t>
        </is>
      </c>
      <c r="C64" s="5" t="inlineStr">
        <is>
          <t>Provides activity context for reporting, validation, and downstream operational review.</t>
        </is>
      </c>
      <c r="D64" s="5" t="inlineStr">
        <is>
          <t>Tray.io derived</t>
        </is>
      </c>
      <c r="E64" s="5" t="inlineStr">
        <is>
          <t>Tray.io derives Activity Description from Activity ID.</t>
        </is>
      </c>
      <c r="F64" s="5" t="inlineStr">
        <is>
          <t>N/A - appended by Tray.io after upload</t>
        </is>
      </c>
      <c r="G64" s="5" t="inlineStr">
        <is>
          <t>System lookup</t>
        </is>
      </c>
      <c r="H64" s="5" t="n"/>
      <c r="I64" s="5" t="n"/>
      <c r="J64" s="5" t="inlineStr">
        <is>
          <t>Yes</t>
        </is>
      </c>
      <c r="K64" s="5" t="n"/>
      <c r="L64" s="5" t="inlineStr">
        <is>
          <t>Yes</t>
        </is>
      </c>
      <c r="M64" s="5" t="inlineStr">
        <is>
          <t>Yes</t>
        </is>
      </c>
      <c r="Q64" s="5" t="n"/>
    </row>
    <row r="65">
      <c r="A65" t="inlineStr">
        <is>
          <t>Drive To ID</t>
        </is>
      </c>
      <c r="B65" t="inlineStr">
        <is>
          <t>Required</t>
        </is>
      </c>
      <c r="C65" t="inlineStr">
        <is>
          <t>Maintains legacy destination and drive-to reporting alignment during transition.</t>
        </is>
      </c>
      <c r="D65" t="inlineStr">
        <is>
          <t>Marketing team input or Tray.io derived</t>
        </is>
      </c>
      <c r="E65" t="inlineStr">
        <is>
          <t>Capture while downstream drive-to/destination reporting still requires it; retire after future-state channel/source fields are fully adopted. If DTID is given then use else default values as per DTID Values in Tab - Lists</t>
        </is>
      </c>
      <c r="F65" t="inlineStr">
        <is>
          <t>Which Drive To ID is associated with this activity?</t>
        </is>
      </c>
      <c r="G65" t="inlineStr">
        <is>
          <t>Text</t>
        </is>
      </c>
      <c r="H65" t="inlineStr">
        <is>
          <t>Need to validate the default DTID to use to ensure correct MSP Alignment</t>
        </is>
      </c>
      <c r="I65" t="inlineStr">
        <is>
          <t>Yes</t>
        </is>
      </c>
      <c r="J65" t="inlineStr">
        <is>
          <t>Yes</t>
        </is>
      </c>
      <c r="L65" t="inlineStr">
        <is>
          <t>Yes</t>
        </is>
      </c>
      <c r="M65" t="inlineStr">
        <is>
          <t>Yes</t>
        </is>
      </c>
    </row>
    <row r="66">
      <c r="A66" s="5" t="inlineStr">
        <is>
          <t>DTID Reporting Channel</t>
        </is>
      </c>
      <c r="B66" s="5" t="inlineStr">
        <is>
          <t>Derived</t>
        </is>
      </c>
      <c r="C66" s="5" t="inlineStr">
        <is>
          <t>Supports drive-to reporting alignment, attribution, and legacy tracking analysis.</t>
        </is>
      </c>
      <c r="D66" s="5" t="inlineStr">
        <is>
          <t>Tray.io derived</t>
        </is>
      </c>
      <c r="E66" s="5" t="inlineStr">
        <is>
          <t>Tray.io derives DTID Reporting Channel from Drive To ID.</t>
        </is>
      </c>
      <c r="F66" s="5" t="inlineStr">
        <is>
          <t>N/A - appended by Tray.io after upload</t>
        </is>
      </c>
      <c r="G66" s="5" t="inlineStr">
        <is>
          <t>System lookup</t>
        </is>
      </c>
      <c r="H66" s="5" t="n"/>
      <c r="I66" s="5" t="inlineStr">
        <is>
          <t>Yes</t>
        </is>
      </c>
      <c r="J66" s="5" t="inlineStr">
        <is>
          <t>Yes</t>
        </is>
      </c>
      <c r="K66" s="5" t="n"/>
      <c r="L66" s="5" t="n"/>
      <c r="M66" s="5" t="inlineStr">
        <is>
          <t>Yes</t>
        </is>
      </c>
      <c r="Q66" s="5" t="n"/>
    </row>
    <row r="67">
      <c r="A67" t="inlineStr">
        <is>
          <t>Vehicle</t>
        </is>
      </c>
      <c r="B67" t="inlineStr">
        <is>
          <t>Derived</t>
        </is>
      </c>
      <c r="C67" t="inlineStr">
        <is>
          <t>Supports vehicle-level attribution, reporting, and operational alignment.</t>
        </is>
      </c>
      <c r="D67" t="inlineStr">
        <is>
          <t>Tray.io derived</t>
        </is>
      </c>
      <c r="E67" t="inlineStr">
        <is>
          <t>Tray.io derives Vehicle from Drive To ID.</t>
        </is>
      </c>
      <c r="F67" t="inlineStr">
        <is>
          <t>N/A - appended by Tray.io after upload</t>
        </is>
      </c>
      <c r="G67" t="inlineStr">
        <is>
          <t>System lookup</t>
        </is>
      </c>
      <c r="J67" t="inlineStr">
        <is>
          <t>Yes</t>
        </is>
      </c>
      <c r="M67" t="inlineStr">
        <is>
          <t>Yes</t>
        </is>
      </c>
    </row>
    <row r="68">
      <c r="A68" s="5" t="inlineStr">
        <is>
          <t>Offer ID</t>
        </is>
      </c>
      <c r="B68" s="5" t="inlineStr">
        <is>
          <t>Optional</t>
        </is>
      </c>
      <c r="C68" s="5" t="inlineStr">
        <is>
          <t>Maintains legacy offer attribution and seller/content context during transition.</t>
        </is>
      </c>
      <c r="D68" s="5" t="inlineStr">
        <is>
          <t>Marketing team input</t>
        </is>
      </c>
      <c r="E68" s="5" t="n"/>
      <c r="F68" s="5" t="inlineStr">
        <is>
          <t>What is the Offer ID?</t>
        </is>
      </c>
      <c r="G68" s="5" t="inlineStr">
        <is>
          <t>Text</t>
        </is>
      </c>
      <c r="H68" s="5" t="n"/>
      <c r="I68" s="5" t="inlineStr">
        <is>
          <t>Yes</t>
        </is>
      </c>
      <c r="J68" s="5" t="inlineStr">
        <is>
          <t>Yes</t>
        </is>
      </c>
      <c r="K68" s="5" t="n"/>
      <c r="L68" s="5" t="inlineStr">
        <is>
          <t>Yes</t>
        </is>
      </c>
      <c r="M68" s="5" t="inlineStr">
        <is>
          <t>Yes</t>
        </is>
      </c>
      <c r="Q68" s="5" t="n"/>
    </row>
    <row r="69">
      <c r="A69" t="inlineStr">
        <is>
          <t>Offer Name</t>
        </is>
      </c>
      <c r="B69" t="inlineStr">
        <is>
          <t>Derived</t>
        </is>
      </c>
      <c r="C69" t="inlineStr">
        <is>
          <t>Provides offer context for attribution, campaign reporting, and downstream follow-up.</t>
        </is>
      </c>
      <c r="D69" t="inlineStr">
        <is>
          <t>Tray.io derived</t>
        </is>
      </c>
      <c r="E69" t="inlineStr">
        <is>
          <t>Tray.io appends Offer Name when Offer ID is present.</t>
        </is>
      </c>
      <c r="F69" t="inlineStr">
        <is>
          <t>N/A - appended by Tray.io after upload if available</t>
        </is>
      </c>
      <c r="G69" t="inlineStr">
        <is>
          <t>System lookup</t>
        </is>
      </c>
      <c r="L69" t="inlineStr">
        <is>
          <t>Yes</t>
        </is>
      </c>
      <c r="M69" t="inlineStr">
        <is>
          <t>Yes</t>
        </is>
      </c>
    </row>
    <row r="70">
      <c r="A70" s="5" t="inlineStr">
        <is>
          <t>Offer Description</t>
        </is>
      </c>
      <c r="B70" s="5" t="inlineStr">
        <is>
          <t>Derived</t>
        </is>
      </c>
      <c r="C70" s="5" t="inlineStr">
        <is>
          <t>Provides offer detail for reporting, validation, and downstream follow-up context.</t>
        </is>
      </c>
      <c r="D70" s="5" t="inlineStr">
        <is>
          <t>Tray.io derived</t>
        </is>
      </c>
      <c r="E70" s="5" t="inlineStr">
        <is>
          <t>Tray.io appends Offer Description when Offer ID is present.</t>
        </is>
      </c>
      <c r="F70" s="5" t="inlineStr">
        <is>
          <t>N/A - appended by Tray.io after upload if available</t>
        </is>
      </c>
      <c r="G70" s="5" t="inlineStr">
        <is>
          <t>System lookup</t>
        </is>
      </c>
      <c r="H70" s="5" t="n"/>
      <c r="I70" s="5" t="n"/>
      <c r="J70" s="5" t="n"/>
      <c r="K70" s="5" t="n"/>
      <c r="L70" s="5" t="inlineStr">
        <is>
          <t>Yes</t>
        </is>
      </c>
      <c r="M70" s="5" t="inlineStr">
        <is>
          <t>Yes</t>
        </is>
      </c>
      <c r="Q70" s="5" t="n"/>
    </row>
    <row r="71">
      <c r="A71" t="inlineStr">
        <is>
          <t>Offer Type</t>
        </is>
      </c>
    </row>
    <row r="72">
      <c r="A72" s="6" t="inlineStr">
        <is>
          <t>6 - Future Tracking Parameters</t>
        </is>
      </c>
    </row>
    <row r="73">
      <c r="A73" s="5" t="inlineStr">
        <is>
          <t>Workfront Channel ID</t>
        </is>
      </c>
      <c r="B73" s="5" t="inlineStr">
        <is>
          <t>To Review</t>
        </is>
      </c>
      <c r="C73" s="5" t="inlineStr">
        <is>
          <t>Connects the upload to the Workfront channel taxonomy for durable operational and attribution alignment.</t>
        </is>
      </c>
      <c r="D73" s="5" t="inlineStr">
        <is>
          <t>Marketing team input</t>
        </is>
      </c>
      <c r="E73" s="5" t="n"/>
      <c r="F73" s="5" t="inlineStr">
        <is>
          <t>What is the Workfront Channel ID?</t>
        </is>
      </c>
      <c r="G73" s="5" t="inlineStr">
        <is>
          <t>Text</t>
        </is>
      </c>
      <c r="H73" s="5" t="inlineStr">
        <is>
          <t>Will events data come from Workfront, or can all of this information come from the Global Events Table?</t>
        </is>
      </c>
      <c r="I73" s="5" t="inlineStr">
        <is>
          <t>Yes</t>
        </is>
      </c>
      <c r="J73" s="5" t="inlineStr">
        <is>
          <t>Yes</t>
        </is>
      </c>
      <c r="K73" s="5" t="n"/>
      <c r="L73" s="5" t="inlineStr">
        <is>
          <t>Yes</t>
        </is>
      </c>
      <c r="M73" s="5" t="inlineStr">
        <is>
          <t>Yes</t>
        </is>
      </c>
      <c r="Q73" s="5" t="n"/>
    </row>
    <row r="74">
      <c r="A74" t="inlineStr">
        <is>
          <t>Primary Technology</t>
        </is>
      </c>
      <c r="B74" t="inlineStr">
        <is>
          <t>Derived</t>
        </is>
      </c>
      <c r="C74" t="inlineStr">
        <is>
          <t>Identifies the primary technology associated with the content for future attribution, operational, and seller enablement reporting.</t>
        </is>
      </c>
      <c r="D74" t="inlineStr">
        <is>
          <t>Tray.io / Workfront derived</t>
        </is>
      </c>
      <c r="E74" t="inlineStr">
        <is>
          <t>Tray.io derives Primary Technology from Workfront Content ID and Workfront Channel ID alignment.</t>
        </is>
      </c>
      <c r="F74" t="inlineStr">
        <is>
          <t>N/A - appended by Tray.io after upload</t>
        </is>
      </c>
      <c r="G74" t="inlineStr">
        <is>
          <t>System lookup</t>
        </is>
      </c>
      <c r="I74" t="inlineStr">
        <is>
          <t>Yes</t>
        </is>
      </c>
      <c r="J74" t="inlineStr">
        <is>
          <t>Yes</t>
        </is>
      </c>
      <c r="L74" t="inlineStr">
        <is>
          <t>Yes</t>
        </is>
      </c>
      <c r="M74" t="inlineStr">
        <is>
          <t>Yes</t>
        </is>
      </c>
    </row>
    <row r="75">
      <c r="A75" s="5" t="inlineStr">
        <is>
          <t>Campaign</t>
        </is>
      </c>
      <c r="B75" s="5" t="inlineStr">
        <is>
          <t>Derived</t>
        </is>
      </c>
      <c r="C75" s="5" t="inlineStr">
        <is>
          <t>Connects the touchpoint to campaign-level attribution and marketing sourced pipeline reporting aligned to Workfront Content ID and Channel ID.</t>
        </is>
      </c>
      <c r="D75" s="5" t="inlineStr">
        <is>
          <t>Tray.io / Workfront derived</t>
        </is>
      </c>
      <c r="E75" s="5" t="inlineStr">
        <is>
          <t>Tray.io derives Campaign from Workfront Content ID and Workfront Channel ID alignment.</t>
        </is>
      </c>
      <c r="F75" s="5" t="inlineStr">
        <is>
          <t>N/A - appended by Tray.io after upload</t>
        </is>
      </c>
      <c r="G75" s="5" t="inlineStr">
        <is>
          <t>System lookup</t>
        </is>
      </c>
      <c r="H75" s="5" t="n"/>
      <c r="I75" s="5" t="inlineStr">
        <is>
          <t>Yes</t>
        </is>
      </c>
      <c r="J75" s="5" t="inlineStr">
        <is>
          <t>Yes</t>
        </is>
      </c>
      <c r="K75" s="5" t="n"/>
      <c r="L75" s="5" t="inlineStr">
        <is>
          <t>Yes</t>
        </is>
      </c>
      <c r="M75" s="5" t="inlineStr">
        <is>
          <t>Yes</t>
        </is>
      </c>
      <c r="Q75" s="5" t="n"/>
    </row>
    <row r="76">
      <c r="A76" t="inlineStr">
        <is>
          <t>Program</t>
        </is>
      </c>
      <c r="B76" t="inlineStr">
        <is>
          <t>Derived</t>
        </is>
      </c>
      <c r="C76" t="inlineStr">
        <is>
          <t>Connects the touchpoint to program-level attribution and marketing sourced pipeline reporting aligned to Workfront Content ID and Channel ID.</t>
        </is>
      </c>
      <c r="D76" t="inlineStr">
        <is>
          <t>Tray.io / Workfront derived</t>
        </is>
      </c>
      <c r="E76" t="inlineStr">
        <is>
          <t>Tray.io derives Program from Workfront Content ID and Workfront Channel ID alignment.</t>
        </is>
      </c>
      <c r="F76" t="inlineStr">
        <is>
          <t>N/A - appended by Tray.io after upload</t>
        </is>
      </c>
      <c r="G76" t="inlineStr">
        <is>
          <t>System lookup</t>
        </is>
      </c>
      <c r="I76" t="inlineStr">
        <is>
          <t>Yes</t>
        </is>
      </c>
      <c r="J76" t="inlineStr">
        <is>
          <t>Yes</t>
        </is>
      </c>
      <c r="L76" t="inlineStr">
        <is>
          <t>Yes</t>
        </is>
      </c>
      <c r="M76" t="inlineStr">
        <is>
          <t>Yes</t>
        </is>
      </c>
    </row>
    <row r="77">
      <c r="A77" s="5" t="inlineStr">
        <is>
          <t>Channel Type</t>
        </is>
      </c>
      <c r="B77" s="5" t="inlineStr">
        <is>
          <t>Derived</t>
        </is>
      </c>
      <c r="C77" s="5" t="inlineStr">
        <is>
          <t>Identifies the driving channel for future attribution, operational, and funnel reporting after legacy IDs are decommissioned.</t>
        </is>
      </c>
      <c r="D77" s="5" t="inlineStr">
        <is>
          <t>Tray.io derived</t>
        </is>
      </c>
      <c r="E77" s="5" t="inlineStr">
        <is>
          <t>Tray.io appends from Workfront Channel ID in the Workfront Data tables</t>
        </is>
      </c>
      <c r="F77" s="5" t="inlineStr">
        <is>
          <t>N/A - appended by Tray.io after upload</t>
        </is>
      </c>
      <c r="G77" s="5" t="inlineStr">
        <is>
          <t>Text</t>
        </is>
      </c>
      <c r="H77" s="5" t="n"/>
      <c r="I77" s="5" t="inlineStr">
        <is>
          <t>Yes</t>
        </is>
      </c>
      <c r="J77" s="5" t="inlineStr">
        <is>
          <t>Yes</t>
        </is>
      </c>
      <c r="K77" s="5" t="n"/>
      <c r="L77" s="5" t="n"/>
      <c r="M77" s="5" t="inlineStr">
        <is>
          <t>Yes</t>
        </is>
      </c>
      <c r="Q77" s="5" t="n"/>
    </row>
    <row r="78">
      <c r="A78" t="inlineStr">
        <is>
          <t>Channel Source</t>
        </is>
      </c>
      <c r="B78" t="inlineStr">
        <is>
          <t>Derived</t>
        </is>
      </c>
      <c r="C78" t="inlineStr">
        <is>
          <t>Identifies platform/vendor source for future attribution, operational, and funnel reporting.</t>
        </is>
      </c>
      <c r="D78" t="inlineStr">
        <is>
          <t>Tray.io derived</t>
        </is>
      </c>
      <c r="E78" t="inlineStr">
        <is>
          <t>Tray.io appends from Workfront Channel ID in the Workfront Data tables</t>
        </is>
      </c>
      <c r="F78" t="inlineStr">
        <is>
          <t>N/A - appended by Tray.io after upload</t>
        </is>
      </c>
      <c r="G78" t="inlineStr">
        <is>
          <t>Text</t>
        </is>
      </c>
      <c r="I78" t="inlineStr">
        <is>
          <t>Yes</t>
        </is>
      </c>
      <c r="J78" t="inlineStr">
        <is>
          <t>Yes</t>
        </is>
      </c>
      <c r="L78" t="inlineStr">
        <is>
          <t>Yes</t>
        </is>
      </c>
      <c r="M78" t="inlineStr">
        <is>
          <t>Yes</t>
        </is>
      </c>
    </row>
    <row r="79">
      <c r="A79" s="5" t="inlineStr">
        <is>
          <t>Funnel Stage</t>
        </is>
      </c>
      <c r="B79" s="5" t="inlineStr">
        <is>
          <t>Derived</t>
        </is>
      </c>
      <c r="C79" s="5" t="inlineStr">
        <is>
          <t>Supports funnel-based routing, lead scoring, and operational reporting aligned to Workfront Content ID and Channel ID.</t>
        </is>
      </c>
      <c r="D79" s="5" t="inlineStr">
        <is>
          <t>Tray.io / Workfront derived</t>
        </is>
      </c>
      <c r="E79" s="5" t="inlineStr">
        <is>
          <t>Tray.io derives Funnel Stage from Workfront Content ID and Workfront Channel ID alignment.</t>
        </is>
      </c>
      <c r="F79" s="5" t="inlineStr">
        <is>
          <t>N/A - appended by Tray.io after upload</t>
        </is>
      </c>
      <c r="G79" s="5" t="inlineStr">
        <is>
          <t>System lookup</t>
        </is>
      </c>
      <c r="H79" s="5" t="n"/>
      <c r="I79" s="5" t="inlineStr">
        <is>
          <t>Yes</t>
        </is>
      </c>
      <c r="J79" s="5" t="inlineStr">
        <is>
          <t>Yes</t>
        </is>
      </c>
      <c r="K79" s="5" t="n"/>
      <c r="L79" s="5" t="n"/>
      <c r="M79" s="5" t="inlineStr">
        <is>
          <t>Yes</t>
        </is>
      </c>
      <c r="Q79" s="5" t="n"/>
    </row>
    <row r="80">
      <c r="A80" t="inlineStr">
        <is>
          <t>Workfront Content ID</t>
        </is>
      </c>
      <c r="B80" t="inlineStr">
        <is>
          <t>To Review</t>
        </is>
      </c>
      <c r="C80" t="inlineStr">
        <is>
          <t>Connects the upload to the Workfront Content taxonomy for durable operational and attribution alignment.</t>
        </is>
      </c>
      <c r="D80" t="inlineStr">
        <is>
          <t>Marketing team input</t>
        </is>
      </c>
      <c r="F80" t="inlineStr">
        <is>
          <t>What is the Workfront Content ID?</t>
        </is>
      </c>
      <c r="G80" t="inlineStr">
        <is>
          <t>Text</t>
        </is>
      </c>
      <c r="H80" t="inlineStr">
        <is>
          <t>Would the manual Upload use cases really capture a Workfront Content ID</t>
        </is>
      </c>
      <c r="I80" t="inlineStr">
        <is>
          <t>Yes</t>
        </is>
      </c>
      <c r="J80" t="inlineStr">
        <is>
          <t>Yes</t>
        </is>
      </c>
      <c r="L80" t="inlineStr">
        <is>
          <t>Yes</t>
        </is>
      </c>
      <c r="M80" t="inlineStr">
        <is>
          <t>Yes</t>
        </is>
      </c>
    </row>
    <row r="81">
      <c r="A81" s="5" t="inlineStr">
        <is>
          <t>Content Type</t>
        </is>
      </c>
      <c r="B81" s="5" t="inlineStr">
        <is>
          <t>Derived</t>
        </is>
      </c>
      <c r="C81" s="5" t="inlineStr">
        <is>
          <t>Identifies the content classification for future attribution, operational, and funnel reporting aligned to Workfront Content ID.</t>
        </is>
      </c>
      <c r="D81" s="5" t="inlineStr">
        <is>
          <t>Tray.io / Workfront derived</t>
        </is>
      </c>
      <c r="E81" s="5" t="inlineStr">
        <is>
          <t>Tray.io derives Content Type from Workfront Content ID alignment.</t>
        </is>
      </c>
      <c r="F81" s="5" t="inlineStr">
        <is>
          <t>N/A - appended by Tray.io after upload</t>
        </is>
      </c>
      <c r="G81" s="5" t="inlineStr">
        <is>
          <t>System lookup</t>
        </is>
      </c>
      <c r="H81" s="5" t="inlineStr">
        <is>
          <t>This field relates to Web Content Type, Webinar Type and Event Type from Workfront.</t>
        </is>
      </c>
      <c r="I81" s="5" t="inlineStr">
        <is>
          <t>Yes</t>
        </is>
      </c>
      <c r="J81" s="5" t="inlineStr">
        <is>
          <t>Yes</t>
        </is>
      </c>
      <c r="K81" s="5" t="n"/>
      <c r="L81" s="5" t="inlineStr">
        <is>
          <t>Yes</t>
        </is>
      </c>
      <c r="M81" s="5" t="inlineStr">
        <is>
          <t>Yes</t>
        </is>
      </c>
      <c r="Q81" s="5" t="n"/>
    </row>
    <row r="82">
      <c r="A82" t="inlineStr">
        <is>
          <t>Vendor</t>
        </is>
      </c>
    </row>
    <row r="83">
      <c r="A83" s="6" t="inlineStr">
        <is>
          <t>8 - Activity Detail</t>
        </is>
      </c>
    </row>
    <row r="84">
      <c r="A84" s="5" t="inlineStr">
        <is>
          <t>Customer Comments</t>
        </is>
      </c>
      <c r="B84" s="5" t="inlineStr">
        <is>
          <t>Optional</t>
        </is>
      </c>
      <c r="C84" s="5" t="inlineStr">
        <is>
          <t>Supports activity context, seller follow-up, and operational validation.</t>
        </is>
      </c>
      <c r="D84" s="5" t="inlineStr">
        <is>
          <t>Marketing team input</t>
        </is>
      </c>
      <c r="E84" s="5" t="inlineStr">
        <is>
          <t xml:space="preserve"> Maximum of 3200 Characters Please add any information obtained from the customer that can be passed to the seller to enhance the converstation</t>
        </is>
      </c>
      <c r="F84" s="5" t="inlineStr">
        <is>
          <t>What context or comments should be passed to the seller?</t>
        </is>
      </c>
      <c r="G84" s="5" t="inlineStr">
        <is>
          <t>Text</t>
        </is>
      </c>
      <c r="H84" s="5" t="inlineStr">
        <is>
          <t>Do we need to capture this for Non-Hand Raisers?</t>
        </is>
      </c>
      <c r="I84" s="5" t="n"/>
      <c r="J84" s="5" t="n"/>
      <c r="K84" s="5" t="n"/>
      <c r="L84" s="5" t="inlineStr">
        <is>
          <t>Yes</t>
        </is>
      </c>
      <c r="M84" s="5" t="inlineStr">
        <is>
          <t>Yes</t>
        </is>
      </c>
      <c r="Q84" s="5" t="n"/>
    </row>
    <row r="85">
      <c r="A85" t="inlineStr">
        <is>
          <t>Privacy ID</t>
        </is>
      </c>
      <c r="B85" t="inlineStr">
        <is>
          <t>Required</t>
        </is>
      </c>
      <c r="C85" t="inlineStr">
        <is>
          <t>Supports privacy, compliance, auditability, and source-system traceability for non-1st Party Events activity.</t>
        </is>
      </c>
      <c r="D85" t="inlineStr">
        <is>
          <t>Marketing team input</t>
        </is>
      </c>
      <c r="E85" t="inlineStr">
        <is>
          <t>Capture for non-1st Party Events use cases when supplied by the source activity or vendor.</t>
        </is>
      </c>
      <c r="F85" t="inlineStr">
        <is>
          <t>What is the Privacy ID for this activity?</t>
        </is>
      </c>
      <c r="G85" t="inlineStr">
        <is>
          <t>Text</t>
        </is>
      </c>
      <c r="M85" t="inlineStr">
        <is>
          <t>Yes</t>
        </is>
      </c>
    </row>
  </sheetData>
  <mergeCells count="10">
    <mergeCell ref="A31:Q31"/>
    <mergeCell ref="A58:Q58"/>
    <mergeCell ref="A12:Q12"/>
    <mergeCell ref="A50:Q50"/>
    <mergeCell ref="B4:Q4"/>
    <mergeCell ref="A82:Q82"/>
    <mergeCell ref="A71:Q71"/>
    <mergeCell ref="A1:Q1"/>
    <mergeCell ref="B3:Q3"/>
    <mergeCell ref="B5:Q5"/>
  </mergeCells>
  <dataValidations count="1">
    <dataValidation sqref="Q8:Q85"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Q85"/>
  <sheetViews>
    <sheetView workbookViewId="0">
      <pane ySplit="6" topLeftCell="A7" activePane="bottomLeft" state="frozen"/>
      <selection pane="bottomLeft" activeCell="A1" sqref="A1"/>
    </sheetView>
  </sheetViews>
  <sheetFormatPr baseColWidth="8" defaultRowHeight="14.25"/>
  <cols>
    <col width="50" customWidth="1" style="7" min="1" max="1"/>
    <col width="21"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UC08 — Manual Uploads | Hand Raiser | Webinars | Follow-Up Requested</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Hand Raiser</t>
        </is>
      </c>
    </row>
    <row r="5">
      <c r="A5" s="4" t="inlineStr">
        <is>
          <t>Use Case</t>
        </is>
      </c>
      <c r="B5" t="inlineStr">
        <is>
          <t>Webinars</t>
        </is>
      </c>
    </row>
    <row r="6">
      <c r="A6" s="4" t="inlineStr">
        <is>
          <t>Activity Type</t>
        </is>
      </c>
      <c r="B6" t="inlineStr">
        <is>
          <t>Follow-Up Requested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Eloqua contact identifier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Marketing team input</t>
        </is>
      </c>
      <c r="E18" t="inlineStr">
        <is>
          <t>Provided in uploaded contact file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Marketing team input</t>
        </is>
      </c>
      <c r="E19" s="5" t="inlineStr">
        <is>
          <t>Provided in uploaded contact file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level?</t>
        </is>
      </c>
      <c r="G20" t="inlineStr">
        <is>
          <t>List of values / derived</t>
        </is>
      </c>
      <c r="K20" t="inlineStr">
        <is>
          <t>Yes</t>
        </is>
      </c>
      <c r="L20" t="inlineStr">
        <is>
          <t>Yes</t>
        </is>
      </c>
      <c r="M20" t="inlineStr">
        <is>
          <t>Yes</t>
        </is>
      </c>
    </row>
    <row r="21">
      <c r="A21" s="5" t="inlineStr">
        <is>
          <t>Job Department</t>
        </is>
      </c>
      <c r="B21" s="5" t="inlineStr">
        <is>
          <t>Recommended</t>
        </is>
      </c>
      <c r="C21" s="5" t="inlineStr">
        <is>
          <t>Supports contact matching, enrichment, routing, and lead scoring</t>
        </is>
      </c>
      <c r="D21" s="5" t="inlineStr">
        <is>
          <t>Marketing team input from standard list of values or derived in Contact Database</t>
        </is>
      </c>
      <c r="E21" s="5" t="inlineStr">
        <is>
          <t>Marketing Source when available; if not provided, the value is programmatically derived from the existing Job Title within the contact database</t>
        </is>
      </c>
      <c r="F21" s="5" t="inlineStr">
        <is>
          <t>What is the contact job department?</t>
        </is>
      </c>
      <c r="G21" s="5" t="inlineStr">
        <is>
          <t>List of values / derived</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Marketing team input</t>
        </is>
      </c>
      <c r="E22" t="inlineStr">
        <is>
          <t>Provided in uploaded contact file</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Marketing team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Marketing team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Marketing team input</t>
        </is>
      </c>
      <c r="E39" t="inlineStr">
        <is>
          <t>Provided in uploaded contact file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n"/>
      <c r="M48" s="5" t="inlineStr">
        <is>
          <t>Yes</t>
        </is>
      </c>
      <c r="Q48" s="5" t="n"/>
    </row>
    <row r="49">
      <c r="A49" t="inlineStr">
        <is>
          <t>Phone Extension</t>
        </is>
      </c>
      <c r="B49" t="inlineStr">
        <is>
          <t>Optional</t>
        </is>
      </c>
      <c r="C49" t="inlineStr">
        <is>
          <t>Excluded from standard performance reporting</t>
        </is>
      </c>
      <c r="D49" t="inlineStr">
        <is>
          <t>Marketing team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H52" t="inlineStr">
        <is>
          <t>How should we deal with customer wanting to Opt Out - we see errors of N being added in error</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Marketing team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inlineStr">
        <is>
          <t>How should we deal with customer wanting to Opt Out - we see errors of N being added in error</t>
        </is>
      </c>
      <c r="I53" s="5" t="n"/>
      <c r="J53" s="5" t="n"/>
      <c r="K53" s="5" t="n"/>
      <c r="L53" s="5" t="inlineStr">
        <is>
          <t>Yes</t>
        </is>
      </c>
      <c r="M53" s="5" t="inlineStr">
        <is>
          <t>Yes</t>
        </is>
      </c>
      <c r="Q53" s="5" t="n"/>
    </row>
    <row r="54">
      <c r="A54" t="inlineStr">
        <is>
          <t>Contact Provided Permission</t>
        </is>
      </c>
      <c r="B54" t="inlineStr">
        <is>
          <t>Conditional</t>
        </is>
      </c>
      <c r="C54" t="inlineStr">
        <is>
          <t>Supports consent, privacy, and compliance checks for manual-upload processing.</t>
        </is>
      </c>
      <c r="D54" t="inlineStr">
        <is>
          <t>Marketing team input</t>
        </is>
      </c>
      <c r="E54" t="inlineStr">
        <is>
          <t>If Email or Phone Permission is supplied in the upload, update the contact record only when the marketing team has indicated that a digital/paper audit trail exists for the customer's opt-in/opt-out permission.</t>
        </is>
      </c>
      <c r="F54" t="inlineStr">
        <is>
          <t>Do you have a paper/digital audit trail showing that the customer gave opt-in permissions?</t>
        </is>
      </c>
      <c r="G54" t="inlineStr">
        <is>
          <t>Picklist/Text</t>
        </is>
      </c>
      <c r="M54" t="inlineStr">
        <is>
          <t>Yes</t>
        </is>
      </c>
    </row>
    <row r="55">
      <c r="A55" s="5" t="inlineStr">
        <is>
          <t>Cross Border Storage (China Hand Raisers and Responses Only)</t>
        </is>
      </c>
      <c r="B55" s="5" t="inlineStr">
        <is>
          <t>Conditional</t>
        </is>
      </c>
      <c r="C55" s="5" t="inlineStr">
        <is>
          <t>Supports consent, privacy, and compliance checks for manual-upload processing.</t>
        </is>
      </c>
      <c r="D55" s="5" t="inlineStr">
        <is>
          <t>Marketing team input</t>
        </is>
      </c>
      <c r="E55" s="5"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5" s="5" t="inlineStr">
        <is>
          <t>Was China cross-border storage consent captured for this transaction?</t>
        </is>
      </c>
      <c r="G55" s="5" t="inlineStr">
        <is>
          <t>Picklist/Text</t>
        </is>
      </c>
      <c r="H55" s="5" t="n"/>
      <c r="I55" s="5" t="n"/>
      <c r="J55" s="5" t="n"/>
      <c r="K55" s="5" t="n"/>
      <c r="L55" s="5" t="inlineStr">
        <is>
          <t>Yes</t>
        </is>
      </c>
      <c r="M55" s="5" t="inlineStr">
        <is>
          <t>Yes</t>
        </is>
      </c>
      <c r="Q55" s="5" t="n"/>
    </row>
    <row r="56">
      <c r="A56" t="inlineStr">
        <is>
          <t>Korea and Vietnam Combined Consent</t>
        </is>
      </c>
      <c r="B56" t="inlineStr">
        <is>
          <t>Conditional</t>
        </is>
      </c>
      <c r="C56" t="inlineStr">
        <is>
          <t>Supports consent, privacy, and compliance checks for manual-upload processing.</t>
        </is>
      </c>
      <c r="D56" t="inlineStr">
        <is>
          <t>Marketing team input</t>
        </is>
      </c>
      <c r="E56"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6" t="inlineStr">
        <is>
          <t>Was Korea/Vietnam combined consent captured where required?</t>
        </is>
      </c>
      <c r="G56" t="inlineStr">
        <is>
          <t>Picklist/Text</t>
        </is>
      </c>
      <c r="L56" t="inlineStr">
        <is>
          <t>Yes</t>
        </is>
      </c>
      <c r="M56" t="inlineStr">
        <is>
          <t>Yes</t>
        </is>
      </c>
    </row>
    <row r="57">
      <c r="A57" s="5" t="inlineStr">
        <is>
          <t>Share Data with Cisco Affiliates and Suppliers (China Hand Raisers and Responses Only)</t>
        </is>
      </c>
      <c r="B57" s="5" t="inlineStr">
        <is>
          <t>Conditional</t>
        </is>
      </c>
      <c r="C57" s="5" t="inlineStr">
        <is>
          <t>Supports consent, privacy, and compliance checks for manual-upload processing.</t>
        </is>
      </c>
      <c r="D57" s="5" t="inlineStr">
        <is>
          <t>Marketing team input</t>
        </is>
      </c>
      <c r="E57" s="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7" s="5" t="inlineStr">
        <is>
          <t>Was consent captured to share data with Cisco affiliates and suppliers?</t>
        </is>
      </c>
      <c r="G57" s="5" t="inlineStr">
        <is>
          <t>Picklist/Text</t>
        </is>
      </c>
      <c r="H57" s="5" t="n"/>
      <c r="I57" s="5" t="n"/>
      <c r="J57" s="5" t="n"/>
      <c r="K57" s="5" t="n"/>
      <c r="L57" s="5" t="inlineStr">
        <is>
          <t>Yes</t>
        </is>
      </c>
      <c r="M57" s="5" t="inlineStr">
        <is>
          <t>Yes</t>
        </is>
      </c>
      <c r="Q57" s="5" t="n"/>
    </row>
    <row r="58">
      <c r="A58" t="inlineStr">
        <is>
          <t>Consent / Permission Status</t>
        </is>
      </c>
    </row>
    <row r="59">
      <c r="A59" s="6" t="inlineStr">
        <is>
          <t>5 - Legacy Tracking Parameters</t>
        </is>
      </c>
    </row>
    <row r="60">
      <c r="A60" s="5" t="inlineStr">
        <is>
          <t>Campaign Name</t>
        </is>
      </c>
      <c r="B60" s="5" t="inlineStr">
        <is>
          <t>Derived</t>
        </is>
      </c>
      <c r="C60" s="5" t="inlineStr">
        <is>
          <t>Connects the touchpoint to attribution and marketing sourced pipeline reporting.</t>
        </is>
      </c>
      <c r="D60" s="5" t="inlineStr">
        <is>
          <t>Tray.io aligns to OMS tables</t>
        </is>
      </c>
      <c r="E60" s="5" t="inlineStr">
        <is>
          <t>Tray.io appends campaign information from OMS Tables populated by CTT Tool</t>
        </is>
      </c>
      <c r="F60" s="5" t="inlineStr">
        <is>
          <t>N/A - appended by Tray.io after upload</t>
        </is>
      </c>
      <c r="G60" s="5" t="inlineStr">
        <is>
          <t>System lookup</t>
        </is>
      </c>
      <c r="H60" s="5" t="n"/>
      <c r="I60" s="5" t="inlineStr">
        <is>
          <t>Yes</t>
        </is>
      </c>
      <c r="J60" s="5" t="inlineStr">
        <is>
          <t>Yes</t>
        </is>
      </c>
      <c r="K60" s="5" t="n"/>
      <c r="L60" s="5" t="inlineStr">
        <is>
          <t>Yes</t>
        </is>
      </c>
      <c r="M60" s="5" t="inlineStr">
        <is>
          <t>Yes</t>
        </is>
      </c>
      <c r="Q60" s="5" t="n"/>
    </row>
    <row r="61">
      <c r="A61" t="inlineStr">
        <is>
          <t>Program Name</t>
        </is>
      </c>
      <c r="B61" t="inlineStr">
        <is>
          <t>Derived</t>
        </is>
      </c>
      <c r="C61" t="inlineStr">
        <is>
          <t>Connects the touchpoint to attribution and marketing sourced pipeline reporting.</t>
        </is>
      </c>
      <c r="D61" t="inlineStr">
        <is>
          <t>Tray.io aligns to OMS tables</t>
        </is>
      </c>
      <c r="E61" t="inlineStr">
        <is>
          <t>Tray.io appends program information from OMS Tables populated by CTT Tool</t>
        </is>
      </c>
      <c r="F61" t="inlineStr">
        <is>
          <t>N/A - appended by Tray.io after upload</t>
        </is>
      </c>
      <c r="G61" t="inlineStr">
        <is>
          <t>System lookup</t>
        </is>
      </c>
      <c r="I61" t="inlineStr">
        <is>
          <t>Yes</t>
        </is>
      </c>
      <c r="J61" t="inlineStr">
        <is>
          <t>Yes</t>
        </is>
      </c>
      <c r="L61" t="inlineStr">
        <is>
          <t>Yes</t>
        </is>
      </c>
      <c r="M61" t="inlineStr">
        <is>
          <t>Yes</t>
        </is>
      </c>
    </row>
    <row r="62">
      <c r="A62" s="5" t="inlineStr">
        <is>
          <t>Activity ID</t>
        </is>
      </c>
      <c r="B62" s="5" t="inlineStr">
        <is>
          <t>Required</t>
        </is>
      </c>
      <c r="C62" s="5" t="inlineStr">
        <is>
          <t>Maintains compatibility with existing operational, attribution, and funnel reporting during transition.</t>
        </is>
      </c>
      <c r="D62" s="5" t="inlineStr">
        <is>
          <t>Marketing team input</t>
        </is>
      </c>
      <c r="E62" s="5" t="inlineStr">
        <is>
          <t>Capture while downstream processes still require it; retire after UTM_MEDIUM, UTM_SOURCE, and Workfront Channel ID are fully adopted.</t>
        </is>
      </c>
      <c r="F62" s="5" t="inlineStr">
        <is>
          <t>What is the  Activity ID for this activity?</t>
        </is>
      </c>
      <c r="G62" s="5" t="inlineStr">
        <is>
          <t>Text</t>
        </is>
      </c>
      <c r="H62" s="5" t="n"/>
      <c r="I62" s="5" t="inlineStr">
        <is>
          <t>Yes</t>
        </is>
      </c>
      <c r="J62" s="5" t="inlineStr">
        <is>
          <t>Yes</t>
        </is>
      </c>
      <c r="K62" s="5" t="inlineStr">
        <is>
          <t>Yes</t>
        </is>
      </c>
      <c r="L62" s="5" t="inlineStr">
        <is>
          <t>Yes</t>
        </is>
      </c>
      <c r="M62" s="5" t="inlineStr">
        <is>
          <t>Yes</t>
        </is>
      </c>
      <c r="Q62" s="5" t="n"/>
    </row>
    <row r="63">
      <c r="A63" t="inlineStr">
        <is>
          <t>Activity Name</t>
        </is>
      </c>
      <c r="B63" t="inlineStr">
        <is>
          <t>Derived</t>
        </is>
      </c>
      <c r="C63" t="inlineStr">
        <is>
          <t>Provides human-readable activity context for legacy attribution, operational reporting, and validation.</t>
        </is>
      </c>
      <c r="D63" t="inlineStr">
        <is>
          <t>Tray.io derived</t>
        </is>
      </c>
      <c r="E63" t="inlineStr">
        <is>
          <t>Tray.io derives Activity Name from Activity ID.</t>
        </is>
      </c>
      <c r="F63" t="inlineStr">
        <is>
          <t>N/A - appended by Tray.io after upload</t>
        </is>
      </c>
      <c r="G63" t="inlineStr">
        <is>
          <t>System lookup</t>
        </is>
      </c>
      <c r="J63" t="inlineStr">
        <is>
          <t>Yes</t>
        </is>
      </c>
      <c r="L63" t="inlineStr">
        <is>
          <t>Yes</t>
        </is>
      </c>
      <c r="M63" t="inlineStr">
        <is>
          <t>Yes</t>
        </is>
      </c>
    </row>
    <row r="64">
      <c r="A64" s="5" t="inlineStr">
        <is>
          <t>Activity Description</t>
        </is>
      </c>
      <c r="B64" s="5" t="inlineStr">
        <is>
          <t>Derived</t>
        </is>
      </c>
      <c r="C64" s="5" t="inlineStr">
        <is>
          <t>Provides activity context for reporting, validation, and downstream operational review.</t>
        </is>
      </c>
      <c r="D64" s="5" t="inlineStr">
        <is>
          <t>Tray.io derived</t>
        </is>
      </c>
      <c r="E64" s="5" t="inlineStr">
        <is>
          <t>Tray.io derives Activity Description from Activity ID.</t>
        </is>
      </c>
      <c r="F64" s="5" t="inlineStr">
        <is>
          <t>N/A - appended by Tray.io after upload</t>
        </is>
      </c>
      <c r="G64" s="5" t="inlineStr">
        <is>
          <t>System lookup</t>
        </is>
      </c>
      <c r="H64" s="5" t="n"/>
      <c r="I64" s="5" t="n"/>
      <c r="J64" s="5" t="inlineStr">
        <is>
          <t>Yes</t>
        </is>
      </c>
      <c r="K64" s="5" t="n"/>
      <c r="L64" s="5" t="inlineStr">
        <is>
          <t>Yes</t>
        </is>
      </c>
      <c r="M64" s="5" t="inlineStr">
        <is>
          <t>Yes</t>
        </is>
      </c>
      <c r="Q64" s="5" t="n"/>
    </row>
    <row r="65">
      <c r="A65" t="inlineStr">
        <is>
          <t>Drive To ID</t>
        </is>
      </c>
      <c r="B65" t="inlineStr">
        <is>
          <t>Required</t>
        </is>
      </c>
      <c r="C65" t="inlineStr">
        <is>
          <t>Maintains legacy destination and drive-to reporting alignment during transition.</t>
        </is>
      </c>
      <c r="D65" t="inlineStr">
        <is>
          <t>Marketing team input or Tray.io derived</t>
        </is>
      </c>
      <c r="E65" t="inlineStr">
        <is>
          <t>Capture while downstream drive-to/destination reporting still requires it; retire after future-state channel/source fields are fully adopted. If DTID is given then use else default values as per DTID Values in Tab - Lists</t>
        </is>
      </c>
      <c r="F65" t="inlineStr">
        <is>
          <t>Which Drive To ID is associated with this activity?</t>
        </is>
      </c>
      <c r="G65" t="inlineStr">
        <is>
          <t>Text</t>
        </is>
      </c>
      <c r="H65" t="inlineStr">
        <is>
          <t>Need to validate the default DTID to use to ensure correct MSP Alignment</t>
        </is>
      </c>
      <c r="I65" t="inlineStr">
        <is>
          <t>Yes</t>
        </is>
      </c>
      <c r="J65" t="inlineStr">
        <is>
          <t>Yes</t>
        </is>
      </c>
      <c r="L65" t="inlineStr">
        <is>
          <t>Yes</t>
        </is>
      </c>
      <c r="M65" t="inlineStr">
        <is>
          <t>Yes</t>
        </is>
      </c>
    </row>
    <row r="66">
      <c r="A66" s="5" t="inlineStr">
        <is>
          <t>DTID Reporting Channel</t>
        </is>
      </c>
      <c r="B66" s="5" t="inlineStr">
        <is>
          <t>Derived</t>
        </is>
      </c>
      <c r="C66" s="5" t="inlineStr">
        <is>
          <t>Supports drive-to reporting alignment, attribution, and legacy tracking analysis.</t>
        </is>
      </c>
      <c r="D66" s="5" t="inlineStr">
        <is>
          <t>Tray.io derived</t>
        </is>
      </c>
      <c r="E66" s="5" t="inlineStr">
        <is>
          <t>Tray.io derives DTID Reporting Channel from Drive To ID.</t>
        </is>
      </c>
      <c r="F66" s="5" t="inlineStr">
        <is>
          <t>N/A - appended by Tray.io after upload</t>
        </is>
      </c>
      <c r="G66" s="5" t="inlineStr">
        <is>
          <t>System lookup</t>
        </is>
      </c>
      <c r="H66" s="5" t="n"/>
      <c r="I66" s="5" t="inlineStr">
        <is>
          <t>Yes</t>
        </is>
      </c>
      <c r="J66" s="5" t="inlineStr">
        <is>
          <t>Yes</t>
        </is>
      </c>
      <c r="K66" s="5" t="n"/>
      <c r="L66" s="5" t="n"/>
      <c r="M66" s="5" t="inlineStr">
        <is>
          <t>Yes</t>
        </is>
      </c>
      <c r="Q66" s="5" t="n"/>
    </row>
    <row r="67">
      <c r="A67" t="inlineStr">
        <is>
          <t>Vehicle</t>
        </is>
      </c>
      <c r="B67" t="inlineStr">
        <is>
          <t>Derived</t>
        </is>
      </c>
      <c r="C67" t="inlineStr">
        <is>
          <t>Supports vehicle-level attribution, reporting, and operational alignment.</t>
        </is>
      </c>
      <c r="D67" t="inlineStr">
        <is>
          <t>Tray.io derived</t>
        </is>
      </c>
      <c r="E67" t="inlineStr">
        <is>
          <t>Tray.io derives Vehicle from Drive To ID.</t>
        </is>
      </c>
      <c r="F67" t="inlineStr">
        <is>
          <t>N/A - appended by Tray.io after upload</t>
        </is>
      </c>
      <c r="G67" t="inlineStr">
        <is>
          <t>System lookup</t>
        </is>
      </c>
      <c r="J67" t="inlineStr">
        <is>
          <t>Yes</t>
        </is>
      </c>
      <c r="M67" t="inlineStr">
        <is>
          <t>Yes</t>
        </is>
      </c>
    </row>
    <row r="68">
      <c r="A68" s="5" t="inlineStr">
        <is>
          <t>Offer ID</t>
        </is>
      </c>
      <c r="B68" s="5" t="inlineStr">
        <is>
          <t>Required</t>
        </is>
      </c>
      <c r="C68" s="5" t="inlineStr">
        <is>
          <t>Maintains legacy offer attribution and seller/content context during transition.</t>
        </is>
      </c>
      <c r="D68" s="5" t="inlineStr">
        <is>
          <t>Marketing team input</t>
        </is>
      </c>
      <c r="E68" s="5" t="n"/>
      <c r="F68" s="5" t="inlineStr">
        <is>
          <t>What is the Offer ID?</t>
        </is>
      </c>
      <c r="G68" s="5" t="inlineStr">
        <is>
          <t>Text</t>
        </is>
      </c>
      <c r="H68" s="5" t="n"/>
      <c r="I68" s="5" t="inlineStr">
        <is>
          <t>Yes</t>
        </is>
      </c>
      <c r="J68" s="5" t="inlineStr">
        <is>
          <t>Yes</t>
        </is>
      </c>
      <c r="K68" s="5" t="n"/>
      <c r="L68" s="5" t="inlineStr">
        <is>
          <t>Yes</t>
        </is>
      </c>
      <c r="M68" s="5" t="inlineStr">
        <is>
          <t>Yes</t>
        </is>
      </c>
      <c r="Q68" s="5" t="n"/>
    </row>
    <row r="69">
      <c r="A69" t="inlineStr">
        <is>
          <t>Offer Name</t>
        </is>
      </c>
      <c r="B69" t="inlineStr">
        <is>
          <t>Derived</t>
        </is>
      </c>
      <c r="C69" t="inlineStr">
        <is>
          <t>Provides offer context for attribution, campaign reporting, and downstream follow-up.</t>
        </is>
      </c>
      <c r="D69" t="inlineStr">
        <is>
          <t>Tray.io derived</t>
        </is>
      </c>
      <c r="E69" t="inlineStr">
        <is>
          <t>Tray.io appends Offer Name when Offer ID is present.</t>
        </is>
      </c>
      <c r="F69" t="inlineStr">
        <is>
          <t>N/A - appended by Tray.io after upload if available</t>
        </is>
      </c>
      <c r="G69" t="inlineStr">
        <is>
          <t>System lookup</t>
        </is>
      </c>
      <c r="L69" t="inlineStr">
        <is>
          <t>Yes</t>
        </is>
      </c>
      <c r="M69" t="inlineStr">
        <is>
          <t>Yes</t>
        </is>
      </c>
    </row>
    <row r="70">
      <c r="A70" s="5" t="inlineStr">
        <is>
          <t>Offer Description</t>
        </is>
      </c>
      <c r="B70" s="5" t="inlineStr">
        <is>
          <t>Derived</t>
        </is>
      </c>
      <c r="C70" s="5" t="inlineStr">
        <is>
          <t>Provides offer detail for reporting, validation, and downstream follow-up context.</t>
        </is>
      </c>
      <c r="D70" s="5" t="inlineStr">
        <is>
          <t>Tray.io derived</t>
        </is>
      </c>
      <c r="E70" s="5" t="inlineStr">
        <is>
          <t>Tray.io appends Offer Description when Offer ID is present.</t>
        </is>
      </c>
      <c r="F70" s="5" t="inlineStr">
        <is>
          <t>N/A - appended by Tray.io after upload if available</t>
        </is>
      </c>
      <c r="G70" s="5" t="inlineStr">
        <is>
          <t>System lookup</t>
        </is>
      </c>
      <c r="H70" s="5" t="n"/>
      <c r="I70" s="5" t="n"/>
      <c r="J70" s="5" t="n"/>
      <c r="K70" s="5" t="n"/>
      <c r="L70" s="5" t="inlineStr">
        <is>
          <t>Yes</t>
        </is>
      </c>
      <c r="M70" s="5" t="inlineStr">
        <is>
          <t>Yes</t>
        </is>
      </c>
      <c r="Q70" s="5" t="n"/>
    </row>
    <row r="71">
      <c r="A71" t="inlineStr">
        <is>
          <t>Offer Type</t>
        </is>
      </c>
    </row>
    <row r="72">
      <c r="A72" s="6" t="inlineStr">
        <is>
          <t>6 - Future Tracking Parameters</t>
        </is>
      </c>
    </row>
    <row r="73">
      <c r="A73" s="5" t="inlineStr">
        <is>
          <t>Workfront Channel ID</t>
        </is>
      </c>
      <c r="B73" s="5" t="inlineStr">
        <is>
          <t>To Review</t>
        </is>
      </c>
      <c r="C73" s="5" t="inlineStr">
        <is>
          <t>Connects the upload to the Workfront channel taxonomy for durable operational and attribution alignment.</t>
        </is>
      </c>
      <c r="D73" s="5" t="inlineStr">
        <is>
          <t>Marketing team input</t>
        </is>
      </c>
      <c r="E73" s="5" t="n"/>
      <c r="F73" s="5" t="inlineStr">
        <is>
          <t>What is the Workfront Channel ID?</t>
        </is>
      </c>
      <c r="G73" s="5" t="inlineStr">
        <is>
          <t>Text</t>
        </is>
      </c>
      <c r="H73" s="5" t="inlineStr">
        <is>
          <t>Will events data come from Workfront, or can all of this information come from the Global Events Table?</t>
        </is>
      </c>
      <c r="I73" s="5" t="inlineStr">
        <is>
          <t>Yes</t>
        </is>
      </c>
      <c r="J73" s="5" t="inlineStr">
        <is>
          <t>Yes</t>
        </is>
      </c>
      <c r="K73" s="5" t="n"/>
      <c r="L73" s="5" t="inlineStr">
        <is>
          <t>Yes</t>
        </is>
      </c>
      <c r="M73" s="5" t="inlineStr">
        <is>
          <t>Yes</t>
        </is>
      </c>
      <c r="Q73" s="5" t="n"/>
    </row>
    <row r="74">
      <c r="A74" t="inlineStr">
        <is>
          <t>Primary Technology</t>
        </is>
      </c>
      <c r="B74" t="inlineStr">
        <is>
          <t>Derived</t>
        </is>
      </c>
      <c r="C74" t="inlineStr">
        <is>
          <t>Identifies the primary technology associated with the content for future attribution, operational, and seller enablement reporting.</t>
        </is>
      </c>
      <c r="D74" t="inlineStr">
        <is>
          <t>Tray.io / Workfront derived</t>
        </is>
      </c>
      <c r="E74" t="inlineStr">
        <is>
          <t>Tray.io derives Primary Technology from Workfront Content ID and Workfront Channel ID alignment.</t>
        </is>
      </c>
      <c r="F74" t="inlineStr">
        <is>
          <t>N/A - appended by Tray.io after upload</t>
        </is>
      </c>
      <c r="G74" t="inlineStr">
        <is>
          <t>System lookup</t>
        </is>
      </c>
      <c r="I74" t="inlineStr">
        <is>
          <t>Yes</t>
        </is>
      </c>
      <c r="J74" t="inlineStr">
        <is>
          <t>Yes</t>
        </is>
      </c>
      <c r="L74" t="inlineStr">
        <is>
          <t>Yes</t>
        </is>
      </c>
      <c r="M74" t="inlineStr">
        <is>
          <t>Yes</t>
        </is>
      </c>
    </row>
    <row r="75">
      <c r="A75" s="5" t="inlineStr">
        <is>
          <t>Campaign</t>
        </is>
      </c>
      <c r="B75" s="5" t="inlineStr">
        <is>
          <t>Derived</t>
        </is>
      </c>
      <c r="C75" s="5" t="inlineStr">
        <is>
          <t>Connects the touchpoint to campaign-level attribution and marketing sourced pipeline reporting aligned to Workfront Content ID and Channel ID.</t>
        </is>
      </c>
      <c r="D75" s="5" t="inlineStr">
        <is>
          <t>Tray.io / Workfront derived</t>
        </is>
      </c>
      <c r="E75" s="5" t="inlineStr">
        <is>
          <t>Tray.io derives Campaign from Workfront Content ID and Workfront Channel ID alignment.</t>
        </is>
      </c>
      <c r="F75" s="5" t="inlineStr">
        <is>
          <t>N/A - appended by Tray.io after upload</t>
        </is>
      </c>
      <c r="G75" s="5" t="inlineStr">
        <is>
          <t>System lookup</t>
        </is>
      </c>
      <c r="H75" s="5" t="n"/>
      <c r="I75" s="5" t="inlineStr">
        <is>
          <t>Yes</t>
        </is>
      </c>
      <c r="J75" s="5" t="inlineStr">
        <is>
          <t>Yes</t>
        </is>
      </c>
      <c r="K75" s="5" t="n"/>
      <c r="L75" s="5" t="inlineStr">
        <is>
          <t>Yes</t>
        </is>
      </c>
      <c r="M75" s="5" t="inlineStr">
        <is>
          <t>Yes</t>
        </is>
      </c>
      <c r="Q75" s="5" t="n"/>
    </row>
    <row r="76">
      <c r="A76" t="inlineStr">
        <is>
          <t>Program</t>
        </is>
      </c>
      <c r="B76" t="inlineStr">
        <is>
          <t>Derived</t>
        </is>
      </c>
      <c r="C76" t="inlineStr">
        <is>
          <t>Connects the touchpoint to program-level attribution and marketing sourced pipeline reporting aligned to Workfront Content ID and Channel ID.</t>
        </is>
      </c>
      <c r="D76" t="inlineStr">
        <is>
          <t>Tray.io / Workfront derived</t>
        </is>
      </c>
      <c r="E76" t="inlineStr">
        <is>
          <t>Tray.io derives Program from Workfront Content ID and Workfront Channel ID alignment.</t>
        </is>
      </c>
      <c r="F76" t="inlineStr">
        <is>
          <t>N/A - appended by Tray.io after upload</t>
        </is>
      </c>
      <c r="G76" t="inlineStr">
        <is>
          <t>System lookup</t>
        </is>
      </c>
      <c r="I76" t="inlineStr">
        <is>
          <t>Yes</t>
        </is>
      </c>
      <c r="J76" t="inlineStr">
        <is>
          <t>Yes</t>
        </is>
      </c>
      <c r="L76" t="inlineStr">
        <is>
          <t>Yes</t>
        </is>
      </c>
      <c r="M76" t="inlineStr">
        <is>
          <t>Yes</t>
        </is>
      </c>
    </row>
    <row r="77">
      <c r="A77" s="5" t="inlineStr">
        <is>
          <t>Channel Type</t>
        </is>
      </c>
      <c r="B77" s="5" t="inlineStr">
        <is>
          <t>Derived</t>
        </is>
      </c>
      <c r="C77" s="5" t="inlineStr">
        <is>
          <t>Identifies the driving channel for future attribution, operational, and funnel reporting after legacy IDs are decommissioned.</t>
        </is>
      </c>
      <c r="D77" s="5" t="inlineStr">
        <is>
          <t>Tray.io derived</t>
        </is>
      </c>
      <c r="E77" s="5" t="inlineStr">
        <is>
          <t>Tray.io appends from Workfront Channel ID in the Workfront Data tables</t>
        </is>
      </c>
      <c r="F77" s="5" t="inlineStr">
        <is>
          <t>N/A - appended by Tray.io after upload</t>
        </is>
      </c>
      <c r="G77" s="5" t="inlineStr">
        <is>
          <t>Text</t>
        </is>
      </c>
      <c r="H77" s="5" t="n"/>
      <c r="I77" s="5" t="inlineStr">
        <is>
          <t>Yes</t>
        </is>
      </c>
      <c r="J77" s="5" t="inlineStr">
        <is>
          <t>Yes</t>
        </is>
      </c>
      <c r="K77" s="5" t="n"/>
      <c r="L77" s="5" t="n"/>
      <c r="M77" s="5" t="inlineStr">
        <is>
          <t>Yes</t>
        </is>
      </c>
      <c r="Q77" s="5" t="n"/>
    </row>
    <row r="78">
      <c r="A78" t="inlineStr">
        <is>
          <t>Channel Source</t>
        </is>
      </c>
      <c r="B78" t="inlineStr">
        <is>
          <t>Derived</t>
        </is>
      </c>
      <c r="C78" t="inlineStr">
        <is>
          <t>Identifies platform/vendor source for future attribution, operational, and funnel reporting.</t>
        </is>
      </c>
      <c r="D78" t="inlineStr">
        <is>
          <t>Tray.io derived</t>
        </is>
      </c>
      <c r="E78" t="inlineStr">
        <is>
          <t>Tray.io appends from Workfront Channel ID in the Workfront Data tables</t>
        </is>
      </c>
      <c r="F78" t="inlineStr">
        <is>
          <t>N/A - appended by Tray.io after upload</t>
        </is>
      </c>
      <c r="G78" t="inlineStr">
        <is>
          <t>Text</t>
        </is>
      </c>
      <c r="I78" t="inlineStr">
        <is>
          <t>Yes</t>
        </is>
      </c>
      <c r="J78" t="inlineStr">
        <is>
          <t>Yes</t>
        </is>
      </c>
      <c r="L78" t="inlineStr">
        <is>
          <t>Yes</t>
        </is>
      </c>
      <c r="M78" t="inlineStr">
        <is>
          <t>Yes</t>
        </is>
      </c>
    </row>
    <row r="79">
      <c r="A79" s="5" t="inlineStr">
        <is>
          <t>Funnel Stage</t>
        </is>
      </c>
      <c r="B79" s="5" t="inlineStr">
        <is>
          <t>Derived</t>
        </is>
      </c>
      <c r="C79" s="5" t="inlineStr">
        <is>
          <t>Supports funnel-based routing, lead scoring, and operational reporting aligned to Workfront Content ID and Channel ID.</t>
        </is>
      </c>
      <c r="D79" s="5" t="inlineStr">
        <is>
          <t>Tray.io / Workfront derived</t>
        </is>
      </c>
      <c r="E79" s="5" t="inlineStr">
        <is>
          <t>Tray.io derives Funnel Stage from Workfront Content ID and Workfront Channel ID alignment.</t>
        </is>
      </c>
      <c r="F79" s="5" t="inlineStr">
        <is>
          <t>N/A - appended by Tray.io after upload</t>
        </is>
      </c>
      <c r="G79" s="5" t="inlineStr">
        <is>
          <t>System lookup</t>
        </is>
      </c>
      <c r="H79" s="5" t="n"/>
      <c r="I79" s="5" t="inlineStr">
        <is>
          <t>Yes</t>
        </is>
      </c>
      <c r="J79" s="5" t="inlineStr">
        <is>
          <t>Yes</t>
        </is>
      </c>
      <c r="K79" s="5" t="n"/>
      <c r="L79" s="5" t="n"/>
      <c r="M79" s="5" t="inlineStr">
        <is>
          <t>Yes</t>
        </is>
      </c>
      <c r="Q79" s="5" t="n"/>
    </row>
    <row r="80">
      <c r="A80" t="inlineStr">
        <is>
          <t>Workfront Content ID</t>
        </is>
      </c>
      <c r="B80" t="inlineStr">
        <is>
          <t>To Review</t>
        </is>
      </c>
      <c r="C80" t="inlineStr">
        <is>
          <t>Connects the upload to the Workfront Content taxonomy for durable operational and attribution alignment.</t>
        </is>
      </c>
      <c r="D80" t="inlineStr">
        <is>
          <t>Marketing team input</t>
        </is>
      </c>
      <c r="F80" t="inlineStr">
        <is>
          <t>What is the Workfront Content ID?</t>
        </is>
      </c>
      <c r="G80" t="inlineStr">
        <is>
          <t>Text</t>
        </is>
      </c>
      <c r="H80" t="inlineStr">
        <is>
          <t>Would the manual Upload use cases really capture a Workfront Content ID</t>
        </is>
      </c>
      <c r="I80" t="inlineStr">
        <is>
          <t>Yes</t>
        </is>
      </c>
      <c r="J80" t="inlineStr">
        <is>
          <t>Yes</t>
        </is>
      </c>
      <c r="L80" t="inlineStr">
        <is>
          <t>Yes</t>
        </is>
      </c>
      <c r="M80" t="inlineStr">
        <is>
          <t>Yes</t>
        </is>
      </c>
    </row>
    <row r="81">
      <c r="A81" s="5" t="inlineStr">
        <is>
          <t>Content Type</t>
        </is>
      </c>
      <c r="B81" s="5" t="inlineStr">
        <is>
          <t>Derived</t>
        </is>
      </c>
      <c r="C81" s="5" t="inlineStr">
        <is>
          <t>Identifies the content classification for future attribution, operational, and funnel reporting aligned to Workfront Content ID.</t>
        </is>
      </c>
      <c r="D81" s="5" t="inlineStr">
        <is>
          <t>Tray.io / Workfront derived</t>
        </is>
      </c>
      <c r="E81" s="5" t="inlineStr">
        <is>
          <t>Tray.io derives Content Type from Workfront Content ID alignment.</t>
        </is>
      </c>
      <c r="F81" s="5" t="inlineStr">
        <is>
          <t>N/A - appended by Tray.io after upload</t>
        </is>
      </c>
      <c r="G81" s="5" t="inlineStr">
        <is>
          <t>System lookup</t>
        </is>
      </c>
      <c r="H81" s="5" t="inlineStr">
        <is>
          <t>This field relates to Web Content Type, Webinar Type and Event Type from Workfront.</t>
        </is>
      </c>
      <c r="I81" s="5" t="inlineStr">
        <is>
          <t>Yes</t>
        </is>
      </c>
      <c r="J81" s="5" t="inlineStr">
        <is>
          <t>Yes</t>
        </is>
      </c>
      <c r="K81" s="5" t="n"/>
      <c r="L81" s="5" t="inlineStr">
        <is>
          <t>Yes</t>
        </is>
      </c>
      <c r="M81" s="5" t="inlineStr">
        <is>
          <t>Yes</t>
        </is>
      </c>
      <c r="Q81" s="5" t="n"/>
    </row>
    <row r="82">
      <c r="A82" t="inlineStr">
        <is>
          <t>Vendor</t>
        </is>
      </c>
    </row>
    <row r="83">
      <c r="A83" s="6" t="inlineStr">
        <is>
          <t>8 - Activity Detail</t>
        </is>
      </c>
    </row>
    <row r="84">
      <c r="A84" s="5" t="inlineStr">
        <is>
          <t>Customer Comments</t>
        </is>
      </c>
      <c r="B84" s="5" t="inlineStr">
        <is>
          <t>Optional</t>
        </is>
      </c>
      <c r="C84" s="5" t="inlineStr">
        <is>
          <t>Supports activity context, seller follow-up, and operational validation.</t>
        </is>
      </c>
      <c r="D84" s="5" t="inlineStr">
        <is>
          <t>Marketing team input</t>
        </is>
      </c>
      <c r="E84" s="5" t="inlineStr">
        <is>
          <t xml:space="preserve"> Maximum of 3200 Characters Please add any information obtained from the customer that can be passed to the seller to enhance the converstation</t>
        </is>
      </c>
      <c r="F84" s="5" t="inlineStr">
        <is>
          <t>What context or comments should be passed to the seller?</t>
        </is>
      </c>
      <c r="G84" s="5" t="inlineStr">
        <is>
          <t>Text</t>
        </is>
      </c>
      <c r="H84" s="5" t="inlineStr">
        <is>
          <t>Do we need to capture this for Non-Hand Raisers?</t>
        </is>
      </c>
      <c r="I84" s="5" t="n"/>
      <c r="J84" s="5" t="n"/>
      <c r="K84" s="5" t="n"/>
      <c r="L84" s="5" t="inlineStr">
        <is>
          <t>Yes</t>
        </is>
      </c>
      <c r="M84" s="5" t="inlineStr">
        <is>
          <t>Yes</t>
        </is>
      </c>
      <c r="Q84" s="5" t="n"/>
    </row>
    <row r="85">
      <c r="A85" t="inlineStr">
        <is>
          <t>Privacy ID</t>
        </is>
      </c>
      <c r="B85" t="inlineStr">
        <is>
          <t>Required</t>
        </is>
      </c>
      <c r="C85" t="inlineStr">
        <is>
          <t>Supports privacy, compliance, auditability, and source-system traceability for non-1st Party Events activity.</t>
        </is>
      </c>
      <c r="D85" t="inlineStr">
        <is>
          <t>Marketing team input</t>
        </is>
      </c>
      <c r="E85" t="inlineStr">
        <is>
          <t>Capture for non-1st Party Events use cases when supplied by the source activity or vendor.</t>
        </is>
      </c>
      <c r="F85" t="inlineStr">
        <is>
          <t>What is the Privacy ID for this activity?</t>
        </is>
      </c>
      <c r="G85" t="inlineStr">
        <is>
          <t>Text</t>
        </is>
      </c>
      <c r="M85" t="inlineStr">
        <is>
          <t>Yes</t>
        </is>
      </c>
    </row>
  </sheetData>
  <mergeCells count="10">
    <mergeCell ref="A31:Q31"/>
    <mergeCell ref="A58:Q58"/>
    <mergeCell ref="A12:Q12"/>
    <mergeCell ref="A50:Q50"/>
    <mergeCell ref="B4:Q4"/>
    <mergeCell ref="A82:Q82"/>
    <mergeCell ref="A71:Q71"/>
    <mergeCell ref="A1:Q1"/>
    <mergeCell ref="B3:Q3"/>
    <mergeCell ref="B5:Q5"/>
  </mergeCells>
  <dataValidations count="1">
    <dataValidation sqref="Q8:Q85"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Q85"/>
  <sheetViews>
    <sheetView workbookViewId="0">
      <pane ySplit="6" topLeftCell="A7" activePane="bottomLeft" state="frozen"/>
      <selection pane="bottomLeft" activeCell="A1" sqref="A1"/>
    </sheetView>
  </sheetViews>
  <sheetFormatPr baseColWidth="8" defaultRowHeight="14.25"/>
  <cols>
    <col width="50" customWidth="1" style="7" min="1" max="1"/>
    <col width="25"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UC09 — Manual Uploads | Non-Hand Raiser | 1st Party Events | Attended Live In-Person</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1st Party Events</t>
        </is>
      </c>
    </row>
    <row r="6">
      <c r="A6" s="4" t="inlineStr">
        <is>
          <t>Activity Type</t>
        </is>
      </c>
      <c r="B6" t="inlineStr">
        <is>
          <t>Attended Live In-Person</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
Need rules to ensure 1st Party Data has not already been captured via Cvent or Rainfocus</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Event Attended</t>
        </is>
      </c>
      <c r="B82" s="5" t="inlineStr">
        <is>
          <t>Derived</t>
        </is>
      </c>
      <c r="C82" s="5" t="inlineStr">
        <is>
          <t>Supports activity context and operational validation.</t>
        </is>
      </c>
      <c r="D82" s="5" t="inlineStr">
        <is>
          <t>Tray.io</t>
        </is>
      </c>
      <c r="E82" s="5" t="inlineStr">
        <is>
          <t>If you are using this use case then it is assumed the customers attended the Live In Person Event</t>
        </is>
      </c>
      <c r="F82" s="5" t="inlineStr">
        <is>
          <t>N/A - appended by Tray.io after upload</t>
        </is>
      </c>
      <c r="G82" s="5" t="inlineStr">
        <is>
          <t>System lookup</t>
        </is>
      </c>
      <c r="H82" s="5" t="n"/>
      <c r="I82" s="5" t="inlineStr">
        <is>
          <t>Yes</t>
        </is>
      </c>
      <c r="J82" s="5" t="inlineStr">
        <is>
          <t>Yes</t>
        </is>
      </c>
      <c r="K82" s="5" t="inlineStr">
        <is>
          <t>Yes</t>
        </is>
      </c>
      <c r="L82" s="5" t="n"/>
      <c r="M82" s="5" t="inlineStr">
        <is>
          <t>Yes</t>
        </is>
      </c>
      <c r="Q82" s="5" t="n"/>
    </row>
    <row r="83">
      <c r="A83" t="inlineStr">
        <is>
          <t>Attendance Date</t>
        </is>
      </c>
      <c r="B83" t="inlineStr">
        <is>
          <t>Derived</t>
        </is>
      </c>
      <c r="C83" t="inlineStr">
        <is>
          <t>Captures high-commitment physical attendance for attribution, operations, and scoring.</t>
        </is>
      </c>
      <c r="D83" t="inlineStr">
        <is>
          <t>Tray.io</t>
        </is>
      </c>
      <c r="E83" t="inlineStr">
        <is>
          <t>Default attendance date to the Transaction Date</t>
        </is>
      </c>
      <c r="F83" t="inlineStr">
        <is>
          <t>N/A - appended by Tray.io after upload</t>
        </is>
      </c>
      <c r="G83" t="inlineStr">
        <is>
          <t>System lookup</t>
        </is>
      </c>
      <c r="H83" t="inlineStr">
        <is>
          <t>Should we default the attendance date to the Transaction Date or the Event Start Date?</t>
        </is>
      </c>
      <c r="I83" t="inlineStr">
        <is>
          <t>Yes</t>
        </is>
      </c>
      <c r="J83" t="inlineStr">
        <is>
          <t>Yes</t>
        </is>
      </c>
      <c r="M83" t="inlineStr">
        <is>
          <t>Yes</t>
        </is>
      </c>
    </row>
    <row r="84">
      <c r="A84" s="5" t="inlineStr">
        <is>
          <t>Customer Comments</t>
        </is>
      </c>
      <c r="B84" s="5" t="inlineStr">
        <is>
          <t>Optional</t>
        </is>
      </c>
      <c r="C84" s="5" t="inlineStr">
        <is>
          <t>Supports activity context, seller follow-up, and operational validation.</t>
        </is>
      </c>
      <c r="D84" s="5" t="inlineStr">
        <is>
          <t>Marketing team input</t>
        </is>
      </c>
      <c r="E84" s="5" t="inlineStr">
        <is>
          <t>Maximum of 3200 Characters Please add any information obtained from the customer that can be passed to the seller to enhance the converstation</t>
        </is>
      </c>
      <c r="F84" s="5" t="inlineStr">
        <is>
          <t>What context or comments should be passed to the seller?</t>
        </is>
      </c>
      <c r="G84" s="5" t="inlineStr">
        <is>
          <t>Text</t>
        </is>
      </c>
      <c r="H84" s="5" t="inlineStr">
        <is>
          <t>Do we really need this for Non Hand Raisers</t>
        </is>
      </c>
      <c r="I84" s="5" t="n"/>
      <c r="J84" s="5" t="n"/>
      <c r="K84" s="5" t="n"/>
      <c r="L84" s="5" t="n"/>
      <c r="M84" s="5" t="inlineStr">
        <is>
          <t>Yes</t>
        </is>
      </c>
      <c r="Q84" s="5" t="n"/>
    </row>
    <row r="85">
      <c r="A85" t="inlineStr">
        <is>
          <t>Transaction Date</t>
        </is>
      </c>
      <c r="B85" t="inlineStr">
        <is>
          <t>Required</t>
        </is>
      </c>
      <c r="C85" t="inlineStr">
        <is>
          <t>Common date field for attribution sequencing, operational SLA reporting, and lead scoring time decay.</t>
        </is>
      </c>
      <c r="D85" t="inlineStr">
        <is>
          <t>Marketing team input</t>
        </is>
      </c>
      <c r="E85" t="inlineStr">
        <is>
          <t>Provided in uploaded file; may represent registration date, attendance date, scan date, meeting date, view date, form submission date, or follow-up request date.</t>
        </is>
      </c>
      <c r="F85" t="inlineStr">
        <is>
          <t>When did this activity happen?</t>
        </is>
      </c>
      <c r="G85" t="inlineStr">
        <is>
          <t>Date</t>
        </is>
      </c>
      <c r="H85" t="inlineStr">
        <is>
          <t>Confirm whether UI should show one generic Activity Date label or an activity-specific date label.</t>
        </is>
      </c>
      <c r="I85" t="inlineStr">
        <is>
          <t>Yes</t>
        </is>
      </c>
      <c r="J85" t="inlineStr">
        <is>
          <t>Yes</t>
        </is>
      </c>
      <c r="M85" t="inlineStr">
        <is>
          <t>Yes</t>
        </is>
      </c>
    </row>
  </sheetData>
  <mergeCells count="10">
    <mergeCell ref="A56:Q56"/>
    <mergeCell ref="A30:Q30"/>
    <mergeCell ref="A76:Q76"/>
    <mergeCell ref="A11:Q11"/>
    <mergeCell ref="A49:Q49"/>
    <mergeCell ref="A1:Q1"/>
    <mergeCell ref="B5:Q5"/>
    <mergeCell ref="A65:Q65"/>
    <mergeCell ref="B4:Q4"/>
    <mergeCell ref="B3:Q3"/>
  </mergeCells>
  <dataValidations count="1">
    <dataValidation sqref="Q8:Q85"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Q85"/>
  <sheetViews>
    <sheetView workbookViewId="0">
      <pane ySplit="6" topLeftCell="A7" activePane="bottomLeft" state="frozen"/>
      <selection pane="bottomLeft" activeCell="A1" sqref="A1"/>
    </sheetView>
  </sheetViews>
  <sheetFormatPr baseColWidth="8" defaultRowHeight="14.25"/>
  <cols>
    <col width="50" customWidth="1" style="7" min="1" max="1"/>
    <col width="23"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UC10 — Manual Uploads | Non-Hand Raiser | 1st Party Events | Attended Live Virtual</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1st Party Events</t>
        </is>
      </c>
    </row>
    <row r="6">
      <c r="A6" s="4" t="inlineStr">
        <is>
          <t>Activity Type</t>
        </is>
      </c>
      <c r="B6" t="inlineStr">
        <is>
          <t>Attended Live Virtual</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
Need rules to ensure 1st Party Data has not already been captured via Cvent or Rainfocus</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Event Attended</t>
        </is>
      </c>
      <c r="B82" s="5" t="inlineStr">
        <is>
          <t>Derived</t>
        </is>
      </c>
      <c r="C82" s="5" t="inlineStr">
        <is>
          <t>Supports activity context, seller follow-up, and operational validation.</t>
        </is>
      </c>
      <c r="D82" s="5" t="inlineStr">
        <is>
          <t>Tray.io</t>
        </is>
      </c>
      <c r="E82" s="5" t="inlineStr">
        <is>
          <t>It is assumed that if you are using this use case then you attended the Event</t>
        </is>
      </c>
      <c r="F82" s="5" t="inlineStr">
        <is>
          <t>N/A - appended by Tray.io after upload</t>
        </is>
      </c>
      <c r="G82" s="5" t="inlineStr">
        <is>
          <t>System lookup</t>
        </is>
      </c>
      <c r="H82" s="5" t="n"/>
      <c r="I82" s="5" t="inlineStr">
        <is>
          <t>Yes</t>
        </is>
      </c>
      <c r="J82" s="5" t="inlineStr">
        <is>
          <t>Yes</t>
        </is>
      </c>
      <c r="K82" s="5" t="inlineStr">
        <is>
          <t>Yes</t>
        </is>
      </c>
      <c r="L82" s="5" t="n"/>
      <c r="M82" s="5" t="inlineStr">
        <is>
          <t>Yes</t>
        </is>
      </c>
      <c r="Q82" s="5" t="n"/>
    </row>
    <row r="83">
      <c r="A83" t="inlineStr">
        <is>
          <t>Attendance Date</t>
        </is>
      </c>
      <c r="B83" t="inlineStr">
        <is>
          <t>Derived</t>
        </is>
      </c>
      <c r="C83" t="inlineStr">
        <is>
          <t>Captures digital attendance for attribution, platform reporting, and scoring.</t>
        </is>
      </c>
      <c r="D83" t="inlineStr">
        <is>
          <t>Tray.io</t>
        </is>
      </c>
      <c r="E83" t="inlineStr">
        <is>
          <t>Attendance Date should be derived by either the transaction Date or the Event Start Date</t>
        </is>
      </c>
      <c r="F83" t="inlineStr">
        <is>
          <t>N/A - appended by Tray.io after upload</t>
        </is>
      </c>
      <c r="G83" t="inlineStr">
        <is>
          <t>System lookup</t>
        </is>
      </c>
      <c r="H83" t="inlineStr">
        <is>
          <t>Confirm if date can be derived</t>
        </is>
      </c>
      <c r="I83" t="inlineStr">
        <is>
          <t>Yes</t>
        </is>
      </c>
      <c r="J83" t="inlineStr">
        <is>
          <t>Yes</t>
        </is>
      </c>
      <c r="M83" t="inlineStr">
        <is>
          <t>Yes</t>
        </is>
      </c>
    </row>
    <row r="84">
      <c r="A84" s="5" t="inlineStr">
        <is>
          <t>Customer Comments</t>
        </is>
      </c>
      <c r="B84" s="5" t="inlineStr">
        <is>
          <t>Optional</t>
        </is>
      </c>
      <c r="C84" s="5" t="inlineStr">
        <is>
          <t>Supports activity context, seller follow-up, and operational validation.</t>
        </is>
      </c>
      <c r="D84" s="5" t="inlineStr">
        <is>
          <t>Marketing team input</t>
        </is>
      </c>
      <c r="E84" s="5" t="inlineStr">
        <is>
          <t>Maximum of 3200 Characters Please add any information obtained from the customer that can be passed to the seller to enhance the converstation</t>
        </is>
      </c>
      <c r="F84" s="5" t="inlineStr">
        <is>
          <t>What context or comments should be passed to the seller?</t>
        </is>
      </c>
      <c r="G84" s="5" t="inlineStr">
        <is>
          <t>Text</t>
        </is>
      </c>
      <c r="H84" s="5" t="inlineStr">
        <is>
          <t>Do we really need comments for Non-Hand Raisers?</t>
        </is>
      </c>
      <c r="I84" s="5" t="n"/>
      <c r="J84" s="5" t="n"/>
      <c r="K84" s="5" t="n"/>
      <c r="L84" s="5" t="n"/>
      <c r="M84" s="5" t="inlineStr">
        <is>
          <t>Yes</t>
        </is>
      </c>
      <c r="Q84" s="5" t="n"/>
    </row>
    <row r="85">
      <c r="A85" t="inlineStr">
        <is>
          <t>Transaction Date</t>
        </is>
      </c>
      <c r="B85" t="inlineStr">
        <is>
          <t>Required</t>
        </is>
      </c>
      <c r="C85" t="inlineStr">
        <is>
          <t>Common date field for attribution sequencing, operational SLA reporting, and lead scoring time decay.</t>
        </is>
      </c>
      <c r="D85" t="inlineStr">
        <is>
          <t>Marketing team input</t>
        </is>
      </c>
      <c r="E85" t="inlineStr">
        <is>
          <t>Provided in uploaded file; may represent registration date, attendance date, scan date, meeting date, view date, form submission date, or follow-up request date.</t>
        </is>
      </c>
      <c r="F85" t="inlineStr">
        <is>
          <t>When did this activity happen?</t>
        </is>
      </c>
      <c r="G85" t="inlineStr">
        <is>
          <t>Date</t>
        </is>
      </c>
      <c r="H85" t="inlineStr">
        <is>
          <t>Confirm whether UI should show one generic Activity Date label or an activity-specific date label.</t>
        </is>
      </c>
      <c r="I85" t="inlineStr">
        <is>
          <t>Yes</t>
        </is>
      </c>
      <c r="J85" t="inlineStr">
        <is>
          <t>Yes</t>
        </is>
      </c>
      <c r="M85" t="inlineStr">
        <is>
          <t>Yes</t>
        </is>
      </c>
    </row>
  </sheetData>
  <mergeCells count="10">
    <mergeCell ref="A56:Q56"/>
    <mergeCell ref="A30:Q30"/>
    <mergeCell ref="A76:Q76"/>
    <mergeCell ref="A11:Q11"/>
    <mergeCell ref="A49:Q49"/>
    <mergeCell ref="A1:Q1"/>
    <mergeCell ref="B5:Q5"/>
    <mergeCell ref="A65:Q65"/>
    <mergeCell ref="B4:Q4"/>
    <mergeCell ref="B3:Q3"/>
  </mergeCells>
  <dataValidations count="1">
    <dataValidation sqref="Q8:Q85"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Q87"/>
  <sheetViews>
    <sheetView workbookViewId="0">
      <pane ySplit="6" topLeftCell="A7" activePane="bottomLeft" state="frozen"/>
      <selection pane="bottomLeft" activeCell="A1" sqref="A1"/>
    </sheetView>
  </sheetViews>
  <sheetFormatPr baseColWidth="8" defaultRowHeight="14.25"/>
  <cols>
    <col width="50" customWidth="1" style="7" min="1" max="1"/>
    <col width="18"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UC11 — Manual Uploads | Non-Hand Raiser | 1st Party Events | Attended Session</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1st Party Events</t>
        </is>
      </c>
    </row>
    <row r="6">
      <c r="A6" s="4" t="inlineStr">
        <is>
          <t>Activity Type</t>
        </is>
      </c>
      <c r="B6" t="inlineStr">
        <is>
          <t>Attended Session</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
Need rules to ensure 1st Party Data has not already been captured via Cvent or Rainfocus</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Event Attended</t>
        </is>
      </c>
      <c r="B82" s="5" t="inlineStr">
        <is>
          <t>Derived</t>
        </is>
      </c>
      <c r="C82" s="5" t="inlineStr">
        <is>
          <t>Supports activity context, seller follow-up, and operational validation.</t>
        </is>
      </c>
      <c r="D82" s="5" t="inlineStr">
        <is>
          <t>Tray.io</t>
        </is>
      </c>
      <c r="E82" s="5" t="inlineStr">
        <is>
          <t>Using this use case implies that they attended</t>
        </is>
      </c>
      <c r="F82" s="5" t="inlineStr">
        <is>
          <t>N/A - appended by Tray.io after upload</t>
        </is>
      </c>
      <c r="G82" s="5" t="inlineStr">
        <is>
          <t>System lookup</t>
        </is>
      </c>
      <c r="H82" s="5" t="n"/>
      <c r="I82" s="5" t="inlineStr">
        <is>
          <t>Yes</t>
        </is>
      </c>
      <c r="J82" s="5" t="inlineStr">
        <is>
          <t>Yes</t>
        </is>
      </c>
      <c r="K82" s="5" t="inlineStr">
        <is>
          <t>Yes</t>
        </is>
      </c>
      <c r="L82" s="5" t="n"/>
      <c r="M82" s="5" t="inlineStr">
        <is>
          <t>Yes</t>
        </is>
      </c>
      <c r="Q82" s="5" t="n"/>
    </row>
    <row r="83">
      <c r="A83" t="inlineStr">
        <is>
          <t>Session Name</t>
        </is>
      </c>
      <c r="B83" t="inlineStr">
        <is>
          <t>Required</t>
        </is>
      </c>
      <c r="C83" t="inlineStr">
        <is>
          <t>Supports content-interest reporting and seller context.</t>
        </is>
      </c>
      <c r="D83" t="inlineStr">
        <is>
          <t>Marketing team input</t>
        </is>
      </c>
      <c r="E83" t="inlineStr">
        <is>
          <t>Provided by uploader unless session catalog lookup exists.</t>
        </is>
      </c>
      <c r="F83" t="inlineStr">
        <is>
          <t>Which session did the contact attend?</t>
        </is>
      </c>
      <c r="G83" t="inlineStr">
        <is>
          <t>Picklist/Text</t>
        </is>
      </c>
      <c r="H83" t="inlineStr">
        <is>
          <t>Confirm whether sessions can be selected from a controlled list or if we have an identifier to look it up</t>
        </is>
      </c>
      <c r="J83" t="inlineStr">
        <is>
          <t>Yes</t>
        </is>
      </c>
      <c r="M83" t="inlineStr">
        <is>
          <t>Yes</t>
        </is>
      </c>
    </row>
    <row r="84">
      <c r="A84" s="5" t="inlineStr">
        <is>
          <t>Session Topic / Track</t>
        </is>
      </c>
      <c r="B84" s="5" t="inlineStr">
        <is>
          <t>Required</t>
        </is>
      </c>
      <c r="C84" s="5" t="inlineStr">
        <is>
          <t>Supports topic performance reporting and targeted follow-up.</t>
        </is>
      </c>
      <c r="D84" s="5" t="inlineStr">
        <is>
          <t>Marketing team input or tool derived</t>
        </is>
      </c>
      <c r="E84" s="5" t="inlineStr">
        <is>
          <t>Prefer Tray.io/session catalog derivation when Session Name has a controlled lookup.</t>
        </is>
      </c>
      <c r="F84" s="5" t="inlineStr">
        <is>
          <t>What topic or track was the session part of?</t>
        </is>
      </c>
      <c r="G84" s="5" t="inlineStr">
        <is>
          <t>Picklist/Text</t>
        </is>
      </c>
      <c r="H84" s="5" t="inlineStr">
        <is>
          <t>Confirm if a session catalog exists.</t>
        </is>
      </c>
      <c r="I84" s="5" t="n"/>
      <c r="J84" s="5" t="n"/>
      <c r="K84" s="5" t="n"/>
      <c r="L84" s="5" t="n"/>
      <c r="M84" s="5" t="inlineStr">
        <is>
          <t>Yes</t>
        </is>
      </c>
      <c r="Q84" s="5" t="n"/>
    </row>
    <row r="85">
      <c r="A85" t="inlineStr">
        <is>
          <t>Session Attendance Date</t>
        </is>
      </c>
      <c r="B85" t="inlineStr">
        <is>
          <t>Derived</t>
        </is>
      </c>
      <c r="C85" t="inlineStr">
        <is>
          <t>Supports attribution sequencing, operations, and scoring time decay.</t>
        </is>
      </c>
      <c r="D85" t="inlineStr">
        <is>
          <t>Tray.io</t>
        </is>
      </c>
      <c r="E85" t="inlineStr">
        <is>
          <t>Default to the transaction date or the session start date</t>
        </is>
      </c>
      <c r="F85" t="inlineStr">
        <is>
          <t>N/A - appended by Tray.io after upload</t>
        </is>
      </c>
      <c r="G85" t="inlineStr">
        <is>
          <t>System lookup</t>
        </is>
      </c>
      <c r="I85" t="inlineStr">
        <is>
          <t>Yes</t>
        </is>
      </c>
      <c r="J85" t="inlineStr">
        <is>
          <t>Yes</t>
        </is>
      </c>
      <c r="M85" t="inlineStr">
        <is>
          <t>Yes</t>
        </is>
      </c>
    </row>
    <row r="86">
      <c r="A86" s="5" t="inlineStr">
        <is>
          <t>Customer Comments</t>
        </is>
      </c>
      <c r="B86" s="5" t="inlineStr">
        <is>
          <t>Optional</t>
        </is>
      </c>
      <c r="C86" s="5" t="inlineStr">
        <is>
          <t>Supports activity context, seller follow-up, and operational validation.</t>
        </is>
      </c>
      <c r="D86" s="5" t="inlineStr">
        <is>
          <t>Marketing team input</t>
        </is>
      </c>
      <c r="E86" s="5" t="inlineStr">
        <is>
          <t>Maximum of 3200 Characters Please add any information obtained from the customer that can be passed to the seller to enhance the converstation</t>
        </is>
      </c>
      <c r="F86" s="5" t="inlineStr">
        <is>
          <t>What context or comments should be passed to the seller?</t>
        </is>
      </c>
      <c r="G86" s="5" t="inlineStr">
        <is>
          <t>Text</t>
        </is>
      </c>
      <c r="H86" s="5" t="inlineStr">
        <is>
          <t>Do we really need comments for Non-Hand Raisers?</t>
        </is>
      </c>
      <c r="I86" s="5" t="n"/>
      <c r="J86" s="5" t="n"/>
      <c r="K86" s="5" t="n"/>
      <c r="L86" s="5" t="n"/>
      <c r="M86" s="5" t="inlineStr">
        <is>
          <t>Yes</t>
        </is>
      </c>
      <c r="Q86" s="5" t="n"/>
    </row>
    <row r="87">
      <c r="A87" t="inlineStr">
        <is>
          <t>Transaction Date</t>
        </is>
      </c>
      <c r="B87" t="inlineStr">
        <is>
          <t>Required</t>
        </is>
      </c>
      <c r="C87" t="inlineStr">
        <is>
          <t>Common date field for attribution sequencing, operational SLA reporting, and lead scoring time decay.</t>
        </is>
      </c>
      <c r="D87" t="inlineStr">
        <is>
          <t>Marketing team input</t>
        </is>
      </c>
      <c r="E87" t="inlineStr">
        <is>
          <t>Provided in uploaded file; may represent registration date, attendance date, scan date, meeting date, view date, form submission date, or follow-up request date.</t>
        </is>
      </c>
      <c r="F87" t="inlineStr">
        <is>
          <t>When did this activity happen?</t>
        </is>
      </c>
      <c r="G87" t="inlineStr">
        <is>
          <t>Date</t>
        </is>
      </c>
      <c r="H87" t="inlineStr">
        <is>
          <t>Confirm whether UI should show one generic Activity Date label or an activity-specific date label.</t>
        </is>
      </c>
      <c r="I87" t="inlineStr">
        <is>
          <t>Yes</t>
        </is>
      </c>
      <c r="J87" t="inlineStr">
        <is>
          <t>Yes</t>
        </is>
      </c>
      <c r="M87" t="inlineStr">
        <is>
          <t>Yes</t>
        </is>
      </c>
    </row>
  </sheetData>
  <mergeCells count="10">
    <mergeCell ref="A56:Q56"/>
    <mergeCell ref="A30:Q30"/>
    <mergeCell ref="A76:Q76"/>
    <mergeCell ref="A11:Q11"/>
    <mergeCell ref="A49:Q49"/>
    <mergeCell ref="A1:Q1"/>
    <mergeCell ref="B5:Q5"/>
    <mergeCell ref="A65:Q65"/>
    <mergeCell ref="B4:Q4"/>
    <mergeCell ref="B3:Q3"/>
  </mergeCells>
  <dataValidations count="1">
    <dataValidation sqref="Q8:Q87"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Q86"/>
  <sheetViews>
    <sheetView workbookViewId="0">
      <pane ySplit="6" topLeftCell="A7" activePane="bottomLeft" state="frozen"/>
      <selection pane="bottomLeft" activeCell="A1" sqref="A1"/>
    </sheetView>
  </sheetViews>
  <sheetFormatPr baseColWidth="8" defaultRowHeight="14.25"/>
  <cols>
    <col width="50" customWidth="1" style="7" min="1" max="1"/>
    <col width="18"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UC12 — Manual Uploads | Non-Hand Raiser | 1st Party Events | Booth Scan</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1st Party Events</t>
        </is>
      </c>
    </row>
    <row r="6">
      <c r="A6" s="4" t="inlineStr">
        <is>
          <t>Activity Type</t>
        </is>
      </c>
      <c r="B6" t="inlineStr">
        <is>
          <t>Booth Scan</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
Need rules to ensure 1st Party Data has not already been captured via Cvent or Rainfocus</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Event Attended</t>
        </is>
      </c>
      <c r="B82" s="5" t="inlineStr">
        <is>
          <t>Derived</t>
        </is>
      </c>
      <c r="C82" s="5" t="inlineStr">
        <is>
          <t>Supports activity context, seller follow-up, and operational validation.</t>
        </is>
      </c>
      <c r="D82" s="5" t="inlineStr">
        <is>
          <t>Tray.io</t>
        </is>
      </c>
      <c r="E82" s="5" t="inlineStr">
        <is>
          <t>If booth scan completed it is assumed that the customer attended the event</t>
        </is>
      </c>
      <c r="F82" s="5" t="inlineStr">
        <is>
          <t>N/A - appended by Tray.io after upload</t>
        </is>
      </c>
      <c r="G82" s="5" t="inlineStr">
        <is>
          <t>System lookup</t>
        </is>
      </c>
      <c r="H82" s="5" t="inlineStr">
        <is>
          <t>Will adding an attended Booth Value double up the attendance values?</t>
        </is>
      </c>
      <c r="I82" s="5" t="inlineStr">
        <is>
          <t>Yes</t>
        </is>
      </c>
      <c r="J82" s="5" t="inlineStr">
        <is>
          <t>Yes</t>
        </is>
      </c>
      <c r="K82" s="5" t="inlineStr">
        <is>
          <t>Yes</t>
        </is>
      </c>
      <c r="L82" s="5" t="n"/>
      <c r="M82" s="5" t="inlineStr">
        <is>
          <t>Yes</t>
        </is>
      </c>
      <c r="Q82" s="5" t="n"/>
    </row>
    <row r="83">
      <c r="A83" t="inlineStr">
        <is>
          <t>Booth Name / Location</t>
        </is>
      </c>
      <c r="B83" t="inlineStr">
        <is>
          <t>Derived</t>
        </is>
      </c>
      <c r="C83" t="inlineStr">
        <is>
          <t>Supports booth traffic and scanner utilization reporting.</t>
        </is>
      </c>
      <c r="D83" t="inlineStr">
        <is>
          <t>Tray.io</t>
        </is>
      </c>
      <c r="E83" t="inlineStr">
        <is>
          <t>How will we know the Booth Name? is it of any use in the events data set?</t>
        </is>
      </c>
      <c r="F83" t="inlineStr">
        <is>
          <t>N/A - appended by Tray.io after upload</t>
        </is>
      </c>
      <c r="G83" t="inlineStr">
        <is>
          <t>System lookup</t>
        </is>
      </c>
      <c r="H83" t="inlineStr">
        <is>
          <t>How will we know the Booth Name? is it of any use in the events data set?</t>
        </is>
      </c>
      <c r="J83" t="inlineStr">
        <is>
          <t>Yes</t>
        </is>
      </c>
      <c r="M83" t="inlineStr">
        <is>
          <t>Yes</t>
        </is>
      </c>
    </row>
    <row r="84">
      <c r="A84" s="5" t="inlineStr">
        <is>
          <t>Booth Scan Date</t>
        </is>
      </c>
      <c r="B84" s="5" t="inlineStr">
        <is>
          <t>Derived</t>
        </is>
      </c>
      <c r="C84" s="5" t="inlineStr">
        <is>
          <t>Supports floor traffic reporting, attribution sequencing, and scoring time decay.</t>
        </is>
      </c>
      <c r="D84" s="5" t="inlineStr">
        <is>
          <t>Tray.io</t>
        </is>
      </c>
      <c r="E84" s="5" t="inlineStr">
        <is>
          <t>If booth scan completed it is assumed that the customer attended the event</t>
        </is>
      </c>
      <c r="F84" s="5" t="inlineStr">
        <is>
          <t>N/A - appended by Tray.io after upload</t>
        </is>
      </c>
      <c r="G84" s="5" t="inlineStr">
        <is>
          <t>System lookup</t>
        </is>
      </c>
      <c r="H84" s="5" t="inlineStr">
        <is>
          <t>Will adding an attended Booth Value double up the attendance values?</t>
        </is>
      </c>
      <c r="I84" s="5" t="inlineStr">
        <is>
          <t>Yes</t>
        </is>
      </c>
      <c r="J84" s="5" t="inlineStr">
        <is>
          <t>Yes</t>
        </is>
      </c>
      <c r="K84" s="5" t="n"/>
      <c r="L84" s="5" t="n"/>
      <c r="M84" s="5" t="inlineStr">
        <is>
          <t>Yes</t>
        </is>
      </c>
      <c r="Q84" s="5" t="n"/>
    </row>
    <row r="85">
      <c r="A85" t="inlineStr">
        <is>
          <t>Customer Comments</t>
        </is>
      </c>
      <c r="B85" t="inlineStr">
        <is>
          <t>Optional</t>
        </is>
      </c>
      <c r="D85" t="inlineStr">
        <is>
          <t>Marketing team input</t>
        </is>
      </c>
      <c r="F85" t="inlineStr">
        <is>
          <t>What context or comments should be passed to the seller?</t>
        </is>
      </c>
      <c r="G85" t="inlineStr">
        <is>
          <t>Text</t>
        </is>
      </c>
      <c r="H85" t="inlineStr">
        <is>
          <t>Do we really need this for Non Hand Raisers</t>
        </is>
      </c>
      <c r="M85" t="inlineStr">
        <is>
          <t>Yes</t>
        </is>
      </c>
    </row>
    <row r="86">
      <c r="A86" s="5" t="inlineStr">
        <is>
          <t>Transaction Date</t>
        </is>
      </c>
      <c r="B86" s="5" t="inlineStr">
        <is>
          <t>Required</t>
        </is>
      </c>
      <c r="C86" s="5" t="inlineStr">
        <is>
          <t>Common date field for attribution sequencing, operational SLA reporting, and lead scoring time decay.</t>
        </is>
      </c>
      <c r="D86" s="5" t="inlineStr">
        <is>
          <t>Marketing team input</t>
        </is>
      </c>
      <c r="E86" s="5" t="inlineStr">
        <is>
          <t>Provided in uploaded file; may represent registration date, attendance date, scan date, meeting date, view date, form submission date, or follow-up request date.</t>
        </is>
      </c>
      <c r="F86" s="5" t="inlineStr">
        <is>
          <t>When did this activity happen?</t>
        </is>
      </c>
      <c r="G86" s="5" t="inlineStr">
        <is>
          <t>Date</t>
        </is>
      </c>
      <c r="H86" s="5" t="n"/>
      <c r="I86" s="5" t="inlineStr">
        <is>
          <t>Yes</t>
        </is>
      </c>
      <c r="J86" s="5" t="inlineStr">
        <is>
          <t>Yes</t>
        </is>
      </c>
      <c r="K86" s="5" t="n"/>
      <c r="L86" s="5" t="n"/>
      <c r="M86" s="5" t="inlineStr">
        <is>
          <t>Yes</t>
        </is>
      </c>
      <c r="Q86" s="5" t="n"/>
    </row>
  </sheetData>
  <mergeCells count="10">
    <mergeCell ref="A56:Q56"/>
    <mergeCell ref="A30:Q30"/>
    <mergeCell ref="A76:Q76"/>
    <mergeCell ref="A11:Q11"/>
    <mergeCell ref="A49:Q49"/>
    <mergeCell ref="A1:Q1"/>
    <mergeCell ref="B5:Q5"/>
    <mergeCell ref="A65:Q65"/>
    <mergeCell ref="B4:Q4"/>
    <mergeCell ref="B3:Q3"/>
  </mergeCells>
  <dataValidations count="1">
    <dataValidation sqref="Q8:Q86"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A1:Q84"/>
  <sheetViews>
    <sheetView workbookViewId="0">
      <pane ySplit="6" topLeftCell="A7" activePane="bottomLeft" state="frozen"/>
      <selection pane="bottomLeft" activeCell="A1" sqref="A1"/>
    </sheetView>
  </sheetViews>
  <sheetFormatPr baseColWidth="8" defaultRowHeight="14.25"/>
  <cols>
    <col width="50" customWidth="1" style="7" min="1" max="1"/>
    <col width="18"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UC13 — Manual Uploads | Non-Hand Raiser | 1st Party Events | Registered</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1st Party Events</t>
        </is>
      </c>
    </row>
    <row r="6">
      <c r="A6" s="4" t="inlineStr">
        <is>
          <t>Activity Type</t>
        </is>
      </c>
      <c r="B6" t="inlineStr">
        <is>
          <t>Registered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Data Upload from Marketing Team</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
Need rules to ensure 1st Party Data has not already been captured via Cvent or Rainfocus</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Registration Date</t>
        </is>
      </c>
      <c r="B82" s="5" t="inlineStr">
        <is>
          <t>Derived</t>
        </is>
      </c>
      <c r="C82" s="5" t="n"/>
      <c r="D82" s="5" t="inlineStr">
        <is>
          <t>Tray</t>
        </is>
      </c>
      <c r="E82" s="5" t="inlineStr">
        <is>
          <t>Populated from Transaction Date</t>
        </is>
      </c>
      <c r="F82" s="5" t="inlineStr">
        <is>
          <t>N/A - appended by Tray.io after upload</t>
        </is>
      </c>
      <c r="G82" s="5" t="inlineStr">
        <is>
          <t>Date</t>
        </is>
      </c>
      <c r="H82" s="5" t="inlineStr">
        <is>
          <t>OK to use Transaction Date</t>
        </is>
      </c>
      <c r="I82" s="5" t="inlineStr">
        <is>
          <t>Yes</t>
        </is>
      </c>
      <c r="J82" s="5" t="inlineStr">
        <is>
          <t>Yes</t>
        </is>
      </c>
      <c r="K82" s="5" t="n"/>
      <c r="L82" s="5" t="n"/>
      <c r="M82" s="5" t="inlineStr">
        <is>
          <t>Yes</t>
        </is>
      </c>
      <c r="Q82" s="5" t="n"/>
    </row>
    <row r="83">
      <c r="A83" t="inlineStr">
        <is>
          <t>Customer Comments</t>
        </is>
      </c>
      <c r="B83" t="inlineStr">
        <is>
          <t>Optional</t>
        </is>
      </c>
      <c r="D83" t="inlineStr">
        <is>
          <t>Marketing team input</t>
        </is>
      </c>
      <c r="E83" t="inlineStr">
        <is>
          <t>Maximum of 3200 Characters Please add any information obtained from the customer that can be passed to the seller to enhance the converstation</t>
        </is>
      </c>
      <c r="F83" t="inlineStr">
        <is>
          <t>What context or comments should be passed to the seller?</t>
        </is>
      </c>
      <c r="G83" t="inlineStr">
        <is>
          <t>Text</t>
        </is>
      </c>
      <c r="H83" t="inlineStr">
        <is>
          <t>Do we need Comments for Non Hand Raisers?</t>
        </is>
      </c>
      <c r="M83" t="inlineStr">
        <is>
          <t>Yes</t>
        </is>
      </c>
    </row>
    <row r="84">
      <c r="A84" s="5" t="inlineStr">
        <is>
          <t>Transaction Date</t>
        </is>
      </c>
      <c r="B84" s="5" t="inlineStr">
        <is>
          <t>Required</t>
        </is>
      </c>
      <c r="C84" s="5" t="inlineStr">
        <is>
          <t>Common date field for attribution sequencing, operational SLA reporting, and lead scoring time decay.</t>
        </is>
      </c>
      <c r="D84" s="5" t="inlineStr">
        <is>
          <t>Marketing team input</t>
        </is>
      </c>
      <c r="E84" s="5" t="inlineStr">
        <is>
          <t>Provided in uploaded file; may represent registration date, attendance date, scan date, meeting date, view date, form submission date, or follow-up request date.</t>
        </is>
      </c>
      <c r="F84" s="5" t="inlineStr">
        <is>
          <t>When did this activity happen?</t>
        </is>
      </c>
      <c r="G84" s="5" t="inlineStr">
        <is>
          <t>Date</t>
        </is>
      </c>
      <c r="H84" s="5" t="n"/>
      <c r="I84" s="5" t="inlineStr">
        <is>
          <t>Yes</t>
        </is>
      </c>
      <c r="J84" s="5" t="inlineStr">
        <is>
          <t>Yes</t>
        </is>
      </c>
      <c r="K84" s="5" t="n"/>
      <c r="L84" s="5" t="n"/>
      <c r="M84" s="5" t="inlineStr">
        <is>
          <t>Yes</t>
        </is>
      </c>
      <c r="Q84" s="5" t="n"/>
    </row>
  </sheetData>
  <mergeCells count="10">
    <mergeCell ref="A56:Q56"/>
    <mergeCell ref="A30:Q30"/>
    <mergeCell ref="A76:Q76"/>
    <mergeCell ref="A11:Q11"/>
    <mergeCell ref="A49:Q49"/>
    <mergeCell ref="A1:Q1"/>
    <mergeCell ref="B5:Q5"/>
    <mergeCell ref="A65:Q65"/>
    <mergeCell ref="B4:Q4"/>
    <mergeCell ref="B3:Q3"/>
  </mergeCells>
  <dataValidations count="1">
    <dataValidation sqref="Q8:Q84"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Q88"/>
  <sheetViews>
    <sheetView workbookViewId="0">
      <pane ySplit="6" topLeftCell="A7" activePane="bottomLeft" state="frozen"/>
      <selection pane="bottomLeft" activeCell="A1" sqref="A1"/>
    </sheetView>
  </sheetViews>
  <sheetFormatPr baseColWidth="8" defaultRowHeight="14.25"/>
  <cols>
    <col width="50" customWidth="1" style="7" min="1" max="1"/>
    <col width="20"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UC14 — Manual Uploads | Non-Hand Raiser | 3rd Party Events | Attended CXO Event</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3rd Party Events</t>
        </is>
      </c>
    </row>
    <row r="6">
      <c r="A6" s="4" t="inlineStr">
        <is>
          <t>Activity Type</t>
        </is>
      </c>
      <c r="B6" t="inlineStr">
        <is>
          <t>Attended CXO Event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Event Attended</t>
        </is>
      </c>
      <c r="B82" s="5" t="inlineStr">
        <is>
          <t>Derived</t>
        </is>
      </c>
      <c r="C82" s="5" t="inlineStr">
        <is>
          <t>Supports activity context, seller follow-up, and operational validation.</t>
        </is>
      </c>
      <c r="D82" s="5" t="inlineStr">
        <is>
          <t>Tray.io</t>
        </is>
      </c>
      <c r="E82" s="5" t="inlineStr">
        <is>
          <t>It is assumed that if your are using this use case then you have attended the Event</t>
        </is>
      </c>
      <c r="F82" s="5" t="inlineStr">
        <is>
          <t>N/A - appended by Tray.io after upload</t>
        </is>
      </c>
      <c r="G82" s="5" t="inlineStr">
        <is>
          <t>System lookup</t>
        </is>
      </c>
      <c r="H82" s="5" t="n"/>
      <c r="I82" s="5" t="inlineStr">
        <is>
          <t>Yes</t>
        </is>
      </c>
      <c r="J82" s="5" t="inlineStr">
        <is>
          <t>Yes</t>
        </is>
      </c>
      <c r="K82" s="5" t="inlineStr">
        <is>
          <t>Yes</t>
        </is>
      </c>
      <c r="L82" s="5" t="n"/>
      <c r="M82" s="5" t="inlineStr">
        <is>
          <t>Yes</t>
        </is>
      </c>
      <c r="Q82" s="5" t="n"/>
    </row>
    <row r="83">
      <c r="A83" t="inlineStr">
        <is>
          <t>CXO / Executive Indicator</t>
        </is>
      </c>
      <c r="B83" t="inlineStr">
        <is>
          <t>Derived</t>
        </is>
      </c>
      <c r="C83" t="inlineStr">
        <is>
          <t>Supports executive-touch reporting and optional profile scoring.</t>
        </is>
      </c>
      <c r="D83" t="inlineStr">
        <is>
          <t>Tray.io derived</t>
        </is>
      </c>
      <c r="E83" t="inlineStr">
        <is>
          <t>Derived from event type, job title, or business rules.</t>
        </is>
      </c>
      <c r="F83" t="inlineStr">
        <is>
          <t>N/A - derived from title or event classification</t>
        </is>
      </c>
      <c r="G83" t="inlineStr">
        <is>
          <t>System classification</t>
        </is>
      </c>
      <c r="H83" t="inlineStr">
        <is>
          <t>Confirm whether CXO is still included in models.</t>
        </is>
      </c>
      <c r="J83" t="inlineStr">
        <is>
          <t>Yes</t>
        </is>
      </c>
      <c r="M83" t="inlineStr">
        <is>
          <t>Yes</t>
        </is>
      </c>
    </row>
    <row r="84">
      <c r="A84" s="5" t="inlineStr">
        <is>
          <t>CXO Event Attendance Date</t>
        </is>
      </c>
      <c r="B84" s="5" t="inlineStr">
        <is>
          <t>Derived</t>
        </is>
      </c>
      <c r="C84" s="5" t="inlineStr">
        <is>
          <t>Supports executive-touch attribution and operational attendance tracking.</t>
        </is>
      </c>
      <c r="D84" s="5" t="inlineStr">
        <is>
          <t>Tray.io</t>
        </is>
      </c>
      <c r="E84" s="5" t="inlineStr">
        <is>
          <t>Derived from the Transaction Date</t>
        </is>
      </c>
      <c r="F84" s="5" t="inlineStr">
        <is>
          <t>N/A - appended by Tray.io after upload</t>
        </is>
      </c>
      <c r="G84" s="5" t="inlineStr">
        <is>
          <t>System lookup</t>
        </is>
      </c>
      <c r="H84" s="5" t="inlineStr">
        <is>
          <t>Should we use the Event Date or the Transaction Date</t>
        </is>
      </c>
      <c r="I84" s="5" t="inlineStr">
        <is>
          <t>Yes</t>
        </is>
      </c>
      <c r="J84" s="5" t="inlineStr">
        <is>
          <t>Yes</t>
        </is>
      </c>
      <c r="K84" s="5" t="n"/>
      <c r="L84" s="5" t="n"/>
      <c r="M84" s="5" t="inlineStr">
        <is>
          <t>Yes</t>
        </is>
      </c>
      <c r="Q84" s="5" t="n"/>
    </row>
    <row r="85">
      <c r="A85" t="inlineStr">
        <is>
          <t>Customer Comments</t>
        </is>
      </c>
      <c r="B85" t="inlineStr">
        <is>
          <t>Optional</t>
        </is>
      </c>
      <c r="C85" t="inlineStr">
        <is>
          <t>Supports activity context, seller follow-up, and operational validation.</t>
        </is>
      </c>
      <c r="D85" t="inlineStr">
        <is>
          <t>Marketing team input</t>
        </is>
      </c>
      <c r="E85" t="inlineStr">
        <is>
          <t>Maximum of 3200 Characters Please add any information obtained from the customer that can be passed to the seller to enhance the converstation</t>
        </is>
      </c>
      <c r="F85" t="inlineStr">
        <is>
          <t>What context or comments should be passed to the seller?</t>
        </is>
      </c>
      <c r="G85" t="inlineStr">
        <is>
          <t>Text</t>
        </is>
      </c>
      <c r="H85" t="inlineStr">
        <is>
          <t>Do we really need comments for Non-Hand Raisers?</t>
        </is>
      </c>
      <c r="M85" t="inlineStr">
        <is>
          <t>Yes</t>
        </is>
      </c>
    </row>
    <row r="86">
      <c r="A86" s="5" t="inlineStr">
        <is>
          <t>Transaction Date</t>
        </is>
      </c>
    </row>
    <row r="87">
      <c r="A87" s="6" t="inlineStr">
        <is>
          <t>8 - Activity Detail</t>
        </is>
      </c>
    </row>
    <row r="88">
      <c r="A88" t="inlineStr">
        <is>
          <t>Privacy ID</t>
        </is>
      </c>
      <c r="B88" t="inlineStr">
        <is>
          <t>Required</t>
        </is>
      </c>
      <c r="C88" t="inlineStr">
        <is>
          <t>Supports privacy, compliance, auditability, and source-system traceability for non-1st Party Events activity.</t>
        </is>
      </c>
      <c r="D88" t="inlineStr">
        <is>
          <t>Marketing team input</t>
        </is>
      </c>
      <c r="E88" t="inlineStr">
        <is>
          <t>Capture for non-1st Party Events use cases when supplied by the source activity or vendor.</t>
        </is>
      </c>
      <c r="F88" t="inlineStr">
        <is>
          <t>What is the Privacy ID for this activity?</t>
        </is>
      </c>
      <c r="G88" t="inlineStr">
        <is>
          <t>Text</t>
        </is>
      </c>
      <c r="M88" t="inlineStr">
        <is>
          <t>Yes</t>
        </is>
      </c>
    </row>
  </sheetData>
  <mergeCells count="11">
    <mergeCell ref="A56:Q56"/>
    <mergeCell ref="A30:Q30"/>
    <mergeCell ref="A86:Q86"/>
    <mergeCell ref="A76:Q76"/>
    <mergeCell ref="A11:Q11"/>
    <mergeCell ref="A49:Q49"/>
    <mergeCell ref="A1:Q1"/>
    <mergeCell ref="B5:Q5"/>
    <mergeCell ref="A65:Q65"/>
    <mergeCell ref="B4:Q4"/>
    <mergeCell ref="B3:Q3"/>
  </mergeCells>
  <dataValidations count="1">
    <dataValidation sqref="Q8:Q88"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19.xml><?xml version="1.0" encoding="utf-8"?>
<worksheet xmlns="http://schemas.openxmlformats.org/spreadsheetml/2006/main">
  <sheetPr>
    <outlinePr summaryBelow="1" summaryRight="1"/>
    <pageSetUpPr/>
  </sheetPr>
  <dimension ref="A1:Q89"/>
  <sheetViews>
    <sheetView workbookViewId="0">
      <pane ySplit="6" topLeftCell="A7" activePane="bottomLeft" state="frozen"/>
      <selection pane="bottomLeft" activeCell="A1" sqref="A1"/>
    </sheetView>
  </sheetViews>
  <sheetFormatPr baseColWidth="8" defaultRowHeight="14.25"/>
  <cols>
    <col width="50" customWidth="1" style="7" min="1" max="1"/>
    <col width="18"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UC15 — Manual Uploads | Non-Hand Raiser | 3rd Party Events | Attended Meeting</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3rd Party Events</t>
        </is>
      </c>
    </row>
    <row r="6">
      <c r="A6" s="4" t="inlineStr">
        <is>
          <t>Activity Type</t>
        </is>
      </c>
      <c r="B6" t="inlineStr">
        <is>
          <t>Attended Meeting</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Event Attended</t>
        </is>
      </c>
      <c r="B82" s="5" t="inlineStr">
        <is>
          <t>Derived</t>
        </is>
      </c>
      <c r="C82" s="5" t="inlineStr">
        <is>
          <t>Supports activity context, seller follow-up, and operational validation.</t>
        </is>
      </c>
      <c r="D82" s="5" t="inlineStr">
        <is>
          <t>Tray.io</t>
        </is>
      </c>
      <c r="E82" s="5" t="inlineStr">
        <is>
          <t>By using this use case it is assumed that the customer attended the event</t>
        </is>
      </c>
      <c r="F82" s="5" t="inlineStr">
        <is>
          <t>N/A - appended by Tray.io after upload</t>
        </is>
      </c>
      <c r="G82" s="5" t="inlineStr">
        <is>
          <t>System lookup</t>
        </is>
      </c>
      <c r="H82" s="5" t="n"/>
      <c r="I82" s="5" t="inlineStr">
        <is>
          <t>Yes</t>
        </is>
      </c>
      <c r="J82" s="5" t="inlineStr">
        <is>
          <t>Yes</t>
        </is>
      </c>
      <c r="K82" s="5" t="inlineStr">
        <is>
          <t>Yes</t>
        </is>
      </c>
      <c r="L82" s="5" t="n"/>
      <c r="M82" s="5" t="inlineStr">
        <is>
          <t>Yes</t>
        </is>
      </c>
      <c r="Q82" s="5" t="n"/>
    </row>
    <row r="83">
      <c r="A83" t="inlineStr">
        <is>
          <t>Meeting Type</t>
        </is>
      </c>
      <c r="B83" t="inlineStr">
        <is>
          <t>Derived</t>
        </is>
      </c>
      <c r="C83" t="inlineStr">
        <is>
          <t>Supports meeting-performance reporting and high-value interaction weighting.</t>
        </is>
      </c>
      <c r="D83" t="inlineStr">
        <is>
          <t>Tray.io / Global Events Table derived</t>
        </is>
      </c>
      <c r="E83" t="inlineStr">
        <is>
          <t>Tray.io appends meeting type from Global Events Table or related meeting lookup.</t>
        </is>
      </c>
      <c r="F83" t="inlineStr">
        <is>
          <t>N/A - appended by Tray.io after upload</t>
        </is>
      </c>
      <c r="G83" t="inlineStr">
        <is>
          <t>System lookup</t>
        </is>
      </c>
      <c r="H83" t="inlineStr">
        <is>
          <t>Confirm meeting type is derivable at contact/meeting level.</t>
        </is>
      </c>
      <c r="I83" t="inlineStr">
        <is>
          <t>Yes</t>
        </is>
      </c>
      <c r="J83" t="inlineStr">
        <is>
          <t>Yes</t>
        </is>
      </c>
      <c r="M83" t="inlineStr">
        <is>
          <t>Yes</t>
        </is>
      </c>
    </row>
    <row r="84">
      <c r="A84" s="5" t="inlineStr">
        <is>
          <t>Meeting Owner</t>
        </is>
      </c>
      <c r="B84" s="5" t="inlineStr">
        <is>
          <t>Derived</t>
        </is>
      </c>
      <c r="C84" s="5" t="inlineStr">
        <is>
          <t>Supports operational accountability and meeting ROI reporting.</t>
        </is>
      </c>
      <c r="D84" s="5" t="inlineStr">
        <is>
          <t>Tray.io / Global Events Table derived</t>
        </is>
      </c>
      <c r="E84" s="5" t="inlineStr">
        <is>
          <t>Tray.io appends meeting owner from Global Events Table or related meeting lookup.</t>
        </is>
      </c>
      <c r="F84" s="5" t="inlineStr">
        <is>
          <t>N/A - appended by Tray.io after upload</t>
        </is>
      </c>
      <c r="G84" s="5" t="inlineStr">
        <is>
          <t>System lookup</t>
        </is>
      </c>
      <c r="H84" s="5" t="inlineStr">
        <is>
          <t>Confirm meeting owner is derivable at contact/meeting level.</t>
        </is>
      </c>
      <c r="I84" s="5" t="n"/>
      <c r="J84" s="5" t="n"/>
      <c r="K84" s="5" t="n"/>
      <c r="L84" s="5" t="n"/>
      <c r="M84" s="5" t="inlineStr">
        <is>
          <t>Yes</t>
        </is>
      </c>
      <c r="Q84" s="5" t="n"/>
    </row>
    <row r="85">
      <c r="A85" t="inlineStr">
        <is>
          <t>Meeting Date</t>
        </is>
      </c>
      <c r="B85" t="inlineStr">
        <is>
          <t>Derived</t>
        </is>
      </c>
      <c r="C85" t="inlineStr">
        <is>
          <t>Supports pipeline velocity context, SLA monitoring, and scoring recency.</t>
        </is>
      </c>
      <c r="D85" t="inlineStr">
        <is>
          <t>Tray.io</t>
        </is>
      </c>
      <c r="E85" t="inlineStr">
        <is>
          <t>Attendance date should either default to transaction date or event start date</t>
        </is>
      </c>
      <c r="F85" t="inlineStr">
        <is>
          <t>N/A - appended by Tray.io after upload</t>
        </is>
      </c>
      <c r="G85" t="inlineStr">
        <is>
          <t>System lookup</t>
        </is>
      </c>
      <c r="H85" t="inlineStr">
        <is>
          <t>Confirm if we can use transaction date or event start date</t>
        </is>
      </c>
      <c r="I85" t="inlineStr">
        <is>
          <t>Yes</t>
        </is>
      </c>
      <c r="J85" t="inlineStr">
        <is>
          <t>Yes</t>
        </is>
      </c>
      <c r="M85" t="inlineStr">
        <is>
          <t>Yes</t>
        </is>
      </c>
    </row>
    <row r="86">
      <c r="A86" s="5" t="inlineStr">
        <is>
          <t>Customer Comments</t>
        </is>
      </c>
      <c r="B86" s="5" t="inlineStr">
        <is>
          <t>Optional</t>
        </is>
      </c>
      <c r="C86" s="5" t="inlineStr">
        <is>
          <t>Supports activity context, seller follow-up, and operational validation.</t>
        </is>
      </c>
      <c r="D86" s="5" t="inlineStr">
        <is>
          <t>Marketing team input</t>
        </is>
      </c>
      <c r="E86" s="5" t="inlineStr">
        <is>
          <t>Maximum of 3200 Characters Please add any information obtained from the customer that can be passed to the seller to enhance the converstation</t>
        </is>
      </c>
      <c r="F86" s="5" t="inlineStr">
        <is>
          <t>What context or comments should be passed to the seller?</t>
        </is>
      </c>
      <c r="G86" s="5" t="inlineStr">
        <is>
          <t>Text</t>
        </is>
      </c>
      <c r="H86" s="5" t="inlineStr">
        <is>
          <t>Do we really need comments for Non-Hand Raisers?</t>
        </is>
      </c>
      <c r="I86" s="5" t="n"/>
      <c r="J86" s="5" t="n"/>
      <c r="K86" s="5" t="n"/>
      <c r="L86" s="5" t="n"/>
      <c r="M86" s="5" t="inlineStr">
        <is>
          <t>Yes</t>
        </is>
      </c>
      <c r="Q86" s="5" t="n"/>
    </row>
    <row r="87">
      <c r="A87" t="inlineStr">
        <is>
          <t>Transaction Date</t>
        </is>
      </c>
    </row>
    <row r="88">
      <c r="A88" s="6" t="inlineStr">
        <is>
          <t>8 - Activity Detail</t>
        </is>
      </c>
    </row>
    <row r="89">
      <c r="A89" s="5" t="inlineStr">
        <is>
          <t>Privacy ID</t>
        </is>
      </c>
      <c r="B89" s="5" t="inlineStr">
        <is>
          <t>Required</t>
        </is>
      </c>
      <c r="C89" s="5" t="inlineStr">
        <is>
          <t>Supports privacy, compliance, auditability, and source-system traceability for non-1st Party Events activity.</t>
        </is>
      </c>
      <c r="D89" s="5" t="inlineStr">
        <is>
          <t>Marketing team input</t>
        </is>
      </c>
      <c r="E89" s="5" t="inlineStr">
        <is>
          <t>Capture for non-1st Party Events use cases when supplied by the source activity or vendor.</t>
        </is>
      </c>
      <c r="F89" s="5" t="inlineStr">
        <is>
          <t>What is the Privacy ID for this activity?</t>
        </is>
      </c>
      <c r="G89" s="5" t="inlineStr">
        <is>
          <t>Text</t>
        </is>
      </c>
      <c r="H89" s="5" t="n"/>
      <c r="I89" s="5" t="n"/>
      <c r="J89" s="5" t="n"/>
      <c r="K89" s="5" t="n"/>
      <c r="L89" s="5" t="n"/>
      <c r="M89" s="5" t="inlineStr">
        <is>
          <t>Yes</t>
        </is>
      </c>
      <c r="Q89" s="5" t="n"/>
    </row>
  </sheetData>
  <mergeCells count="11">
    <mergeCell ref="A56:Q56"/>
    <mergeCell ref="A30:Q30"/>
    <mergeCell ref="A76:Q76"/>
    <mergeCell ref="A11:Q11"/>
    <mergeCell ref="A49:Q49"/>
    <mergeCell ref="A1:Q1"/>
    <mergeCell ref="B5:Q5"/>
    <mergeCell ref="A87:Q87"/>
    <mergeCell ref="A65:Q65"/>
    <mergeCell ref="B4:Q4"/>
    <mergeCell ref="B3:Q3"/>
  </mergeCells>
  <dataValidations count="1">
    <dataValidation sqref="Q8:Q89"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Q88"/>
  <sheetViews>
    <sheetView workbookViewId="0">
      <pane ySplit="6" topLeftCell="A7" activePane="bottomLeft" state="frozen"/>
      <selection pane="bottomLeft" activeCell="A1" sqref="A1:N1"/>
    </sheetView>
  </sheetViews>
  <sheetFormatPr baseColWidth="8" defaultRowHeight="14.25"/>
  <cols>
    <col width="50" customWidth="1" style="7" min="1" max="1"/>
    <col width="18"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UC16 — Manual Uploads | Non-Hand Raiser | 3rd Party Events | Attended Session</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3rd Party Events</t>
        </is>
      </c>
    </row>
    <row r="6">
      <c r="A6" s="4" t="inlineStr">
        <is>
          <t>Activity Type</t>
        </is>
      </c>
      <c r="B6" t="inlineStr">
        <is>
          <t>Attended Session</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Event Attended</t>
        </is>
      </c>
      <c r="B82" s="5" t="inlineStr">
        <is>
          <t>Derived</t>
        </is>
      </c>
      <c r="C82" s="5" t="inlineStr">
        <is>
          <t>Supports activity context, seller follow-up, and operational validation.</t>
        </is>
      </c>
      <c r="D82" s="5" t="inlineStr">
        <is>
          <t>Tray.io</t>
        </is>
      </c>
      <c r="E82" s="5" t="inlineStr">
        <is>
          <t>Using this use case implies that they attended</t>
        </is>
      </c>
      <c r="F82" s="5" t="inlineStr">
        <is>
          <t>N/A - appended by Tray.io after upload</t>
        </is>
      </c>
      <c r="G82" s="5" t="inlineStr">
        <is>
          <t>System lookup</t>
        </is>
      </c>
      <c r="H82" s="5" t="n"/>
      <c r="I82" s="5" t="inlineStr">
        <is>
          <t>Yes</t>
        </is>
      </c>
      <c r="J82" s="5" t="inlineStr">
        <is>
          <t>Yes</t>
        </is>
      </c>
      <c r="K82" s="5" t="inlineStr">
        <is>
          <t>Yes</t>
        </is>
      </c>
      <c r="L82" s="5" t="n"/>
      <c r="M82" s="5" t="inlineStr">
        <is>
          <t>Yes</t>
        </is>
      </c>
      <c r="Q82" s="5" t="n"/>
    </row>
    <row r="83">
      <c r="A83" t="inlineStr">
        <is>
          <t>Session Name</t>
        </is>
      </c>
      <c r="B83" t="inlineStr">
        <is>
          <t>Required</t>
        </is>
      </c>
      <c r="C83" t="inlineStr">
        <is>
          <t>Supports content-interest reporting and seller context.</t>
        </is>
      </c>
      <c r="D83" t="inlineStr">
        <is>
          <t>Marketing team input</t>
        </is>
      </c>
      <c r="E83" t="inlineStr">
        <is>
          <t>Provided by uploader unless session catalog lookup exists.</t>
        </is>
      </c>
      <c r="F83" t="inlineStr">
        <is>
          <t>Which session did the contact attend?</t>
        </is>
      </c>
      <c r="G83" t="inlineStr">
        <is>
          <t>Picklist/Text</t>
        </is>
      </c>
      <c r="H83" t="inlineStr">
        <is>
          <t>Confirm whether sessions can be selected from a controlled list or if we have an identifier to look it up</t>
        </is>
      </c>
      <c r="J83" t="inlineStr">
        <is>
          <t>Yes</t>
        </is>
      </c>
      <c r="M83" t="inlineStr">
        <is>
          <t>Yes</t>
        </is>
      </c>
    </row>
    <row r="84">
      <c r="A84" s="5" t="inlineStr">
        <is>
          <t>Session Attendance Date</t>
        </is>
      </c>
      <c r="B84" s="5" t="inlineStr">
        <is>
          <t>Derived</t>
        </is>
      </c>
      <c r="C84" s="5" t="inlineStr">
        <is>
          <t>Supports attribution sequencing, operations, and scoring time decay.</t>
        </is>
      </c>
      <c r="D84" s="5" t="inlineStr">
        <is>
          <t>Tray.io</t>
        </is>
      </c>
      <c r="E84" s="5" t="inlineStr">
        <is>
          <t>Default to the transaction date or the session start date</t>
        </is>
      </c>
      <c r="F84" s="5" t="inlineStr">
        <is>
          <t>N/A - appended by Tray.io after upload</t>
        </is>
      </c>
      <c r="G84" s="5" t="inlineStr">
        <is>
          <t>System lookup</t>
        </is>
      </c>
      <c r="H84" s="5" t="n"/>
      <c r="I84" s="5" t="inlineStr">
        <is>
          <t>Yes</t>
        </is>
      </c>
      <c r="J84" s="5" t="inlineStr">
        <is>
          <t>Yes</t>
        </is>
      </c>
      <c r="K84" s="5" t="n"/>
      <c r="L84" s="5" t="n"/>
      <c r="M84" s="5" t="inlineStr">
        <is>
          <t>Yes</t>
        </is>
      </c>
      <c r="Q84" s="5" t="n"/>
    </row>
    <row r="85">
      <c r="A85" t="inlineStr">
        <is>
          <t>Customer Comments</t>
        </is>
      </c>
      <c r="B85" t="inlineStr">
        <is>
          <t>Optional</t>
        </is>
      </c>
      <c r="C85" t="inlineStr">
        <is>
          <t>Supports activity context, seller follow-up, and operational validation.</t>
        </is>
      </c>
      <c r="D85" t="inlineStr">
        <is>
          <t>Marketing team input</t>
        </is>
      </c>
      <c r="E85" t="inlineStr">
        <is>
          <t>Maximum of 3200 Characters Please add any information obtained from the customer that can be passed to the seller to enhance the converstation</t>
        </is>
      </c>
      <c r="F85" t="inlineStr">
        <is>
          <t>What context or comments should be passed to the seller?</t>
        </is>
      </c>
      <c r="G85" t="inlineStr">
        <is>
          <t>Text</t>
        </is>
      </c>
      <c r="H85" t="inlineStr">
        <is>
          <t>Do we really need comments for Non-Hand Raisers?</t>
        </is>
      </c>
      <c r="M85" t="inlineStr">
        <is>
          <t>Yes</t>
        </is>
      </c>
    </row>
    <row r="86">
      <c r="A86" s="5" t="inlineStr">
        <is>
          <t>Transaction Date</t>
        </is>
      </c>
    </row>
    <row r="87">
      <c r="A87" s="6" t="inlineStr">
        <is>
          <t>8 - Activity Detail</t>
        </is>
      </c>
    </row>
    <row r="88">
      <c r="A88" t="inlineStr">
        <is>
          <t>Privacy ID</t>
        </is>
      </c>
      <c r="B88" t="inlineStr">
        <is>
          <t>Required</t>
        </is>
      </c>
      <c r="C88" t="inlineStr">
        <is>
          <t>Supports privacy, compliance, auditability, and source-system traceability for non-1st Party Events activity.</t>
        </is>
      </c>
      <c r="D88" t="inlineStr">
        <is>
          <t>Marketing team input</t>
        </is>
      </c>
      <c r="E88" t="inlineStr">
        <is>
          <t>Capture for non-1st Party Events use cases when supplied by the source activity or vendor.</t>
        </is>
      </c>
      <c r="F88" t="inlineStr">
        <is>
          <t>What is the Privacy ID for this activity?</t>
        </is>
      </c>
      <c r="G88" t="inlineStr">
        <is>
          <t>Text</t>
        </is>
      </c>
      <c r="M88" t="inlineStr">
        <is>
          <t>Yes</t>
        </is>
      </c>
    </row>
  </sheetData>
  <mergeCells count="11">
    <mergeCell ref="A56:Q56"/>
    <mergeCell ref="A30:Q30"/>
    <mergeCell ref="A86:Q86"/>
    <mergeCell ref="A76:Q76"/>
    <mergeCell ref="A11:Q11"/>
    <mergeCell ref="A49:Q49"/>
    <mergeCell ref="A1:Q1"/>
    <mergeCell ref="B5:Q5"/>
    <mergeCell ref="A65:Q65"/>
    <mergeCell ref="B4:Q4"/>
    <mergeCell ref="B3:Q3"/>
  </mergeCells>
  <dataValidations count="1">
    <dataValidation sqref="Q8:Q88"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21.xml><?xml version="1.0" encoding="utf-8"?>
<worksheet xmlns="http://schemas.openxmlformats.org/spreadsheetml/2006/main">
  <sheetPr>
    <outlinePr summaryBelow="1" summaryRight="1"/>
    <pageSetUpPr/>
  </sheetPr>
  <dimension ref="A1:Q88"/>
  <sheetViews>
    <sheetView workbookViewId="0">
      <pane ySplit="6" topLeftCell="A7" activePane="bottomLeft" state="frozen"/>
      <selection pane="bottomLeft" activeCell="A1" sqref="A1"/>
    </sheetView>
  </sheetViews>
  <sheetFormatPr baseColWidth="8" defaultRowHeight="14.25"/>
  <cols>
    <col width="50" customWidth="1" style="7" min="1" max="1"/>
    <col width="18"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UC17 — Manual Uploads | Non-Hand Raiser | 3rd Party Events | Booth Scan</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3rd Party Events</t>
        </is>
      </c>
    </row>
    <row r="6">
      <c r="A6" s="4" t="inlineStr">
        <is>
          <t>Activity Type</t>
        </is>
      </c>
      <c r="B6" t="inlineStr">
        <is>
          <t>Booth Scan</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Event Attended</t>
        </is>
      </c>
      <c r="B82" s="5" t="inlineStr">
        <is>
          <t>Derived</t>
        </is>
      </c>
      <c r="C82" s="5" t="inlineStr">
        <is>
          <t>Supports activity context, seller follow-up, and operational validation.</t>
        </is>
      </c>
      <c r="D82" s="5" t="inlineStr">
        <is>
          <t>Tray.io</t>
        </is>
      </c>
      <c r="E82" s="5" t="inlineStr">
        <is>
          <t>If booth scan completed it is assumed that the customer attended the event</t>
        </is>
      </c>
      <c r="F82" s="5" t="inlineStr">
        <is>
          <t>N/A - appended by Tray.io after upload</t>
        </is>
      </c>
      <c r="G82" s="5" t="inlineStr">
        <is>
          <t>System lookup</t>
        </is>
      </c>
      <c r="H82" s="5" t="inlineStr">
        <is>
          <t>Will adding an attended Booth Value double up the attendance values?</t>
        </is>
      </c>
      <c r="I82" s="5" t="inlineStr">
        <is>
          <t>Yes</t>
        </is>
      </c>
      <c r="J82" s="5" t="inlineStr">
        <is>
          <t>Yes</t>
        </is>
      </c>
      <c r="K82" s="5" t="inlineStr">
        <is>
          <t>Yes</t>
        </is>
      </c>
      <c r="L82" s="5" t="n"/>
      <c r="M82" s="5" t="inlineStr">
        <is>
          <t>Yes</t>
        </is>
      </c>
      <c r="Q82" s="5" t="n"/>
    </row>
    <row r="83">
      <c r="A83" t="inlineStr">
        <is>
          <t>Booth Name / Location</t>
        </is>
      </c>
      <c r="B83" t="inlineStr">
        <is>
          <t>Derived</t>
        </is>
      </c>
      <c r="C83" t="inlineStr">
        <is>
          <t>Supports booth traffic and scanner utilization reporting.</t>
        </is>
      </c>
      <c r="D83" t="inlineStr">
        <is>
          <t>Tray.io</t>
        </is>
      </c>
      <c r="E83" t="inlineStr">
        <is>
          <t>How will we know the Booth Name? is it of any use in the events data set?</t>
        </is>
      </c>
      <c r="F83" t="inlineStr">
        <is>
          <t>N/A - appended by Tray.io after upload</t>
        </is>
      </c>
      <c r="G83" t="inlineStr">
        <is>
          <t>System lookup</t>
        </is>
      </c>
      <c r="H83" t="inlineStr">
        <is>
          <t>How will we know the Booth Name? is it of any use in the events data set?</t>
        </is>
      </c>
      <c r="J83" t="inlineStr">
        <is>
          <t>Yes</t>
        </is>
      </c>
      <c r="M83" t="inlineStr">
        <is>
          <t>Yes</t>
        </is>
      </c>
    </row>
    <row r="84">
      <c r="A84" s="5" t="inlineStr">
        <is>
          <t>Booth Scan Date</t>
        </is>
      </c>
      <c r="B84" s="5" t="inlineStr">
        <is>
          <t>Derived</t>
        </is>
      </c>
      <c r="C84" s="5" t="inlineStr">
        <is>
          <t>Supports floor traffic reporting, attribution sequencing, and scoring time decay.</t>
        </is>
      </c>
      <c r="D84" s="5" t="inlineStr">
        <is>
          <t>Tray.io</t>
        </is>
      </c>
      <c r="E84" s="5" t="inlineStr">
        <is>
          <t>If booth scan completed it is assumed that the customer attended the event</t>
        </is>
      </c>
      <c r="F84" s="5" t="inlineStr">
        <is>
          <t>N/A - appended by Tray.io after upload</t>
        </is>
      </c>
      <c r="G84" s="5" t="inlineStr">
        <is>
          <t>System lookup</t>
        </is>
      </c>
      <c r="H84" s="5" t="inlineStr">
        <is>
          <t>Will adding an attended Booth Value double up the attendance values?</t>
        </is>
      </c>
      <c r="I84" s="5" t="inlineStr">
        <is>
          <t>Yes</t>
        </is>
      </c>
      <c r="J84" s="5" t="inlineStr">
        <is>
          <t>Yes</t>
        </is>
      </c>
      <c r="K84" s="5" t="n"/>
      <c r="L84" s="5" t="n"/>
      <c r="M84" s="5" t="inlineStr">
        <is>
          <t>Yes</t>
        </is>
      </c>
      <c r="Q84" s="5" t="n"/>
    </row>
    <row r="85">
      <c r="A85" t="inlineStr">
        <is>
          <t>Customer Comments</t>
        </is>
      </c>
      <c r="B85" t="inlineStr">
        <is>
          <t>Optional</t>
        </is>
      </c>
      <c r="D85" t="inlineStr">
        <is>
          <t>Marketing team input</t>
        </is>
      </c>
      <c r="F85" t="inlineStr">
        <is>
          <t>What context or comments should be passed to the seller?</t>
        </is>
      </c>
      <c r="G85" t="inlineStr">
        <is>
          <t>Text</t>
        </is>
      </c>
      <c r="H85" t="inlineStr">
        <is>
          <t>Do we really need this for Non Hand Raisers</t>
        </is>
      </c>
      <c r="M85" t="inlineStr">
        <is>
          <t>Yes</t>
        </is>
      </c>
    </row>
    <row r="86">
      <c r="A86" s="5" t="inlineStr">
        <is>
          <t>Transaction Date</t>
        </is>
      </c>
    </row>
    <row r="87">
      <c r="A87" s="6" t="inlineStr">
        <is>
          <t>8 - Activity Detail</t>
        </is>
      </c>
    </row>
    <row r="88">
      <c r="A88" t="inlineStr">
        <is>
          <t>Privacy ID</t>
        </is>
      </c>
      <c r="B88" t="inlineStr">
        <is>
          <t>Required</t>
        </is>
      </c>
      <c r="C88" t="inlineStr">
        <is>
          <t>Supports privacy, compliance, auditability, and source-system traceability for non-1st Party Events activity.</t>
        </is>
      </c>
      <c r="D88" t="inlineStr">
        <is>
          <t>Marketing team input</t>
        </is>
      </c>
      <c r="E88" t="inlineStr">
        <is>
          <t>Capture for non-1st Party Events use cases when supplied by the source activity or vendor.</t>
        </is>
      </c>
      <c r="F88" t="inlineStr">
        <is>
          <t>What is the Privacy ID for this activity?</t>
        </is>
      </c>
      <c r="G88" t="inlineStr">
        <is>
          <t>Text</t>
        </is>
      </c>
      <c r="M88" t="inlineStr">
        <is>
          <t>Yes</t>
        </is>
      </c>
    </row>
  </sheetData>
  <mergeCells count="11">
    <mergeCell ref="A56:Q56"/>
    <mergeCell ref="A30:Q30"/>
    <mergeCell ref="A86:Q86"/>
    <mergeCell ref="A76:Q76"/>
    <mergeCell ref="A11:Q11"/>
    <mergeCell ref="A49:Q49"/>
    <mergeCell ref="A1:Q1"/>
    <mergeCell ref="B5:Q5"/>
    <mergeCell ref="A65:Q65"/>
    <mergeCell ref="B4:Q4"/>
    <mergeCell ref="B3:Q3"/>
  </mergeCells>
  <dataValidations count="1">
    <dataValidation sqref="Q8:Q88"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22.xml><?xml version="1.0" encoding="utf-8"?>
<worksheet xmlns="http://schemas.openxmlformats.org/spreadsheetml/2006/main">
  <sheetPr>
    <outlinePr summaryBelow="1" summaryRight="1"/>
    <pageSetUpPr/>
  </sheetPr>
  <dimension ref="A1:Q86"/>
  <sheetViews>
    <sheetView workbookViewId="0">
      <pane ySplit="6" topLeftCell="A7" activePane="bottomLeft" state="frozen"/>
      <selection pane="bottomLeft" activeCell="A1" sqref="A1"/>
    </sheetView>
  </sheetViews>
  <sheetFormatPr baseColWidth="8" defaultRowHeight="14.25"/>
  <cols>
    <col width="50" customWidth="1" style="7" min="1" max="1"/>
    <col width="20"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UC18 — Manual Uploads | Non-Hand Raiser | 3rd Party Events | Contact Registered</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3rd Party Events</t>
        </is>
      </c>
    </row>
    <row r="6">
      <c r="A6" s="4" t="inlineStr">
        <is>
          <t>Activity Type</t>
        </is>
      </c>
      <c r="B6" t="inlineStr">
        <is>
          <t>Contact Registered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Registration Date</t>
        </is>
      </c>
      <c r="B82" s="5" t="inlineStr">
        <is>
          <t>Derived</t>
        </is>
      </c>
      <c r="C82" s="5" t="inlineStr">
        <is>
          <t>Supports registration lead-time analysis, attribution timeline, and scoring decay.</t>
        </is>
      </c>
      <c r="D82" s="5" t="inlineStr">
        <is>
          <t>Tray.io</t>
        </is>
      </c>
      <c r="E82" s="5" t="inlineStr">
        <is>
          <t>Auto populated from either the Transaction Date or the Event Start Date</t>
        </is>
      </c>
      <c r="F82" s="5" t="inlineStr">
        <is>
          <t>N/A - appended by Tray.io after upload</t>
        </is>
      </c>
      <c r="G82" s="5" t="inlineStr">
        <is>
          <t>System lookup</t>
        </is>
      </c>
      <c r="H82" s="5" t="inlineStr">
        <is>
          <t>Confirm if we should default date to transaction date or event start date</t>
        </is>
      </c>
      <c r="I82" s="5" t="inlineStr">
        <is>
          <t>Yes</t>
        </is>
      </c>
      <c r="J82" s="5" t="inlineStr">
        <is>
          <t>Yes</t>
        </is>
      </c>
      <c r="K82" s="5" t="n"/>
      <c r="L82" s="5" t="n"/>
      <c r="M82" s="5" t="inlineStr">
        <is>
          <t>Yes</t>
        </is>
      </c>
      <c r="Q82" s="5" t="n"/>
    </row>
    <row r="83">
      <c r="A83" t="inlineStr">
        <is>
          <t>Customer Comments</t>
        </is>
      </c>
      <c r="B83" t="inlineStr">
        <is>
          <t>Optional</t>
        </is>
      </c>
      <c r="C83" t="inlineStr">
        <is>
          <t>Supports activity context, seller follow-up, and operational validation.</t>
        </is>
      </c>
      <c r="D83" t="inlineStr">
        <is>
          <t>Marketing team input</t>
        </is>
      </c>
      <c r="E83" t="inlineStr">
        <is>
          <t>Maximum of 3200 Characters Please add any information obtained from the customer that can be passed to the seller to enhance the converstation</t>
        </is>
      </c>
      <c r="F83" t="inlineStr">
        <is>
          <t>What context or comments should be passed to the seller?</t>
        </is>
      </c>
      <c r="G83" t="inlineStr">
        <is>
          <t>Text</t>
        </is>
      </c>
      <c r="H83" t="inlineStr">
        <is>
          <t>Do we really need comments for Non-Hand Raisers?</t>
        </is>
      </c>
      <c r="M83" t="inlineStr">
        <is>
          <t>Yes</t>
        </is>
      </c>
    </row>
    <row r="84">
      <c r="A84" s="5" t="inlineStr">
        <is>
          <t>Transaction Date</t>
        </is>
      </c>
    </row>
    <row r="85">
      <c r="A85" s="6" t="inlineStr">
        <is>
          <t>8 - Activity Detail</t>
        </is>
      </c>
    </row>
    <row r="86">
      <c r="A86" t="inlineStr">
        <is>
          <t>Privacy ID</t>
        </is>
      </c>
      <c r="B86" t="inlineStr">
        <is>
          <t>Required</t>
        </is>
      </c>
      <c r="C86" t="inlineStr">
        <is>
          <t>Supports privacy, compliance, auditability, and source-system traceability for non-1st Party Events activity.</t>
        </is>
      </c>
      <c r="D86" t="inlineStr">
        <is>
          <t>Marketing team input</t>
        </is>
      </c>
      <c r="E86" t="inlineStr">
        <is>
          <t>Capture for non-1st Party Events use cases when supplied by the source activity or vendor.</t>
        </is>
      </c>
      <c r="F86" t="inlineStr">
        <is>
          <t>What is the Privacy ID for this activity?</t>
        </is>
      </c>
      <c r="G86" t="inlineStr">
        <is>
          <t>Text</t>
        </is>
      </c>
      <c r="M86" t="inlineStr">
        <is>
          <t>Yes</t>
        </is>
      </c>
    </row>
  </sheetData>
  <mergeCells count="11">
    <mergeCell ref="A56:Q56"/>
    <mergeCell ref="A30:Q30"/>
    <mergeCell ref="A76:Q76"/>
    <mergeCell ref="A11:Q11"/>
    <mergeCell ref="A49:Q49"/>
    <mergeCell ref="B3:Q3"/>
    <mergeCell ref="A1:Q1"/>
    <mergeCell ref="B5:Q5"/>
    <mergeCell ref="A65:Q65"/>
    <mergeCell ref="B4:Q4"/>
    <mergeCell ref="A84:Q84"/>
  </mergeCells>
  <dataValidations count="1">
    <dataValidation sqref="Q8:Q86"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23.xml><?xml version="1.0" encoding="utf-8"?>
<worksheet xmlns="http://schemas.openxmlformats.org/spreadsheetml/2006/main">
  <sheetPr>
    <outlinePr summaryBelow="1" summaryRight="1"/>
    <pageSetUpPr/>
  </sheetPr>
  <dimension ref="A1:Q87"/>
  <sheetViews>
    <sheetView workbookViewId="0">
      <pane ySplit="6" topLeftCell="A7" activePane="bottomLeft" state="frozen"/>
      <selection pane="bottomLeft" activeCell="A1" sqref="A1"/>
    </sheetView>
  </sheetViews>
  <sheetFormatPr baseColWidth="8" defaultRowHeight="14.25"/>
  <cols>
    <col width="50" customWidth="1" style="7" min="1" max="1"/>
    <col width="25"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UC19 — Manual Uploads | Non-Hand Raiser | Event Sponsorships | Attended Live In-Person</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Event Sponsorships</t>
        </is>
      </c>
    </row>
    <row r="6">
      <c r="A6" s="4" t="inlineStr">
        <is>
          <t>Activity Type</t>
        </is>
      </c>
      <c r="B6" t="inlineStr">
        <is>
          <t>Attended Live In-Person</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Event Attended</t>
        </is>
      </c>
      <c r="B82" s="5" t="inlineStr">
        <is>
          <t>Derived</t>
        </is>
      </c>
      <c r="C82" s="5" t="inlineStr">
        <is>
          <t>Supports activity context and operational validation.</t>
        </is>
      </c>
      <c r="D82" s="5" t="inlineStr">
        <is>
          <t>Tray.io</t>
        </is>
      </c>
      <c r="E82" s="5" t="inlineStr">
        <is>
          <t>If you are using this use case then it is assumed the customers attended the Live In Person Event</t>
        </is>
      </c>
      <c r="F82" s="5" t="inlineStr">
        <is>
          <t>N/A - appended by Tray.io after upload</t>
        </is>
      </c>
      <c r="G82" s="5" t="inlineStr">
        <is>
          <t>System lookup</t>
        </is>
      </c>
      <c r="H82" s="5" t="n"/>
      <c r="I82" s="5" t="inlineStr">
        <is>
          <t>Yes</t>
        </is>
      </c>
      <c r="J82" s="5" t="inlineStr">
        <is>
          <t>Yes</t>
        </is>
      </c>
      <c r="K82" s="5" t="inlineStr">
        <is>
          <t>Yes</t>
        </is>
      </c>
      <c r="L82" s="5" t="n"/>
      <c r="M82" s="5" t="inlineStr">
        <is>
          <t>Yes</t>
        </is>
      </c>
      <c r="Q82" s="5" t="n"/>
    </row>
    <row r="83">
      <c r="A83" t="inlineStr">
        <is>
          <t>Attendance Date</t>
        </is>
      </c>
      <c r="B83" t="inlineStr">
        <is>
          <t>Derived</t>
        </is>
      </c>
      <c r="C83" t="inlineStr">
        <is>
          <t>Captures high-commitment physical attendance for attribution, operations, and scoring.</t>
        </is>
      </c>
      <c r="D83" t="inlineStr">
        <is>
          <t>Tray.io</t>
        </is>
      </c>
      <c r="E83" t="inlineStr">
        <is>
          <t>Default attendance date to the Transaction Date</t>
        </is>
      </c>
      <c r="F83" t="inlineStr">
        <is>
          <t>N/A - appended by Tray.io after upload</t>
        </is>
      </c>
      <c r="G83" t="inlineStr">
        <is>
          <t>System lookup</t>
        </is>
      </c>
      <c r="H83" t="inlineStr">
        <is>
          <t>Should we default the attendance date to the Transaction Date or the Event Start Date?</t>
        </is>
      </c>
      <c r="I83" t="inlineStr">
        <is>
          <t>Yes</t>
        </is>
      </c>
      <c r="J83" t="inlineStr">
        <is>
          <t>Yes</t>
        </is>
      </c>
      <c r="M83" t="inlineStr">
        <is>
          <t>Yes</t>
        </is>
      </c>
    </row>
    <row r="84">
      <c r="A84" s="5" t="inlineStr">
        <is>
          <t>Customer Comments</t>
        </is>
      </c>
      <c r="B84" s="5" t="inlineStr">
        <is>
          <t>Optional</t>
        </is>
      </c>
      <c r="C84" s="5" t="inlineStr">
        <is>
          <t>Supports activity context, seller follow-up, and operational validation.</t>
        </is>
      </c>
      <c r="D84" s="5" t="inlineStr">
        <is>
          <t>Marketing team input</t>
        </is>
      </c>
      <c r="E84" s="5" t="inlineStr">
        <is>
          <t>Maximum of 3200 Characters Please add any information obtained from the customer that can be passed to the seller to enhance the converstation</t>
        </is>
      </c>
      <c r="F84" s="5" t="inlineStr">
        <is>
          <t>What context or comments should be passed to the seller?</t>
        </is>
      </c>
      <c r="G84" s="5" t="inlineStr">
        <is>
          <t>Text</t>
        </is>
      </c>
      <c r="H84" s="5" t="inlineStr">
        <is>
          <t>Do we really need comments for Non-Hand Raisers?</t>
        </is>
      </c>
      <c r="I84" s="5" t="n"/>
      <c r="J84" s="5" t="n"/>
      <c r="K84" s="5" t="n"/>
      <c r="L84" s="5" t="n"/>
      <c r="M84" s="5" t="inlineStr">
        <is>
          <t>Yes</t>
        </is>
      </c>
      <c r="Q84" s="5" t="n"/>
    </row>
    <row r="85">
      <c r="A85" t="inlineStr">
        <is>
          <t>Transaction Date</t>
        </is>
      </c>
    </row>
    <row r="86">
      <c r="A86" s="6" t="inlineStr">
        <is>
          <t>8 - Activity Detail</t>
        </is>
      </c>
    </row>
    <row r="87">
      <c r="A87" s="5" t="inlineStr">
        <is>
          <t>Privacy ID</t>
        </is>
      </c>
      <c r="B87" s="5" t="inlineStr">
        <is>
          <t>Required</t>
        </is>
      </c>
      <c r="C87" s="5" t="inlineStr">
        <is>
          <t>Supports privacy, compliance, auditability, and source-system traceability for non-1st Party Events activity.</t>
        </is>
      </c>
      <c r="D87" s="5" t="inlineStr">
        <is>
          <t>Marketing team input</t>
        </is>
      </c>
      <c r="E87" s="5" t="inlineStr">
        <is>
          <t>Capture for non-1st Party Events use cases when supplied by the source activity or vendor.</t>
        </is>
      </c>
      <c r="F87" s="5" t="inlineStr">
        <is>
          <t>What is the Privacy ID for this activity?</t>
        </is>
      </c>
      <c r="G87" s="5" t="inlineStr">
        <is>
          <t>Text</t>
        </is>
      </c>
      <c r="H87" s="5" t="n"/>
      <c r="I87" s="5" t="n"/>
      <c r="J87" s="5" t="n"/>
      <c r="K87" s="5" t="n"/>
      <c r="L87" s="5" t="n"/>
      <c r="M87" s="5" t="inlineStr">
        <is>
          <t>Yes</t>
        </is>
      </c>
      <c r="Q87" s="5" t="n"/>
    </row>
  </sheetData>
  <mergeCells count="11">
    <mergeCell ref="A56:Q56"/>
    <mergeCell ref="A30:Q30"/>
    <mergeCell ref="A76:Q76"/>
    <mergeCell ref="A11:Q11"/>
    <mergeCell ref="A49:Q49"/>
    <mergeCell ref="A85:Q85"/>
    <mergeCell ref="A1:Q1"/>
    <mergeCell ref="B5:Q5"/>
    <mergeCell ref="A65:Q65"/>
    <mergeCell ref="B4:Q4"/>
    <mergeCell ref="B3:Q3"/>
  </mergeCells>
  <dataValidations count="1">
    <dataValidation sqref="Q8:Q87"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24.xml><?xml version="1.0" encoding="utf-8"?>
<worksheet xmlns="http://schemas.openxmlformats.org/spreadsheetml/2006/main">
  <sheetPr>
    <outlinePr summaryBelow="1" summaryRight="1"/>
    <pageSetUpPr/>
  </sheetPr>
  <dimension ref="A1:Q90"/>
  <sheetViews>
    <sheetView workbookViewId="0">
      <pane ySplit="6" topLeftCell="A7" activePane="bottomLeft" state="frozen"/>
      <selection pane="bottomLeft" activeCell="A1" sqref="A1"/>
    </sheetView>
  </sheetViews>
  <sheetFormatPr baseColWidth="8" defaultRowHeight="14.25"/>
  <cols>
    <col width="50" customWidth="1" style="7" min="1" max="1"/>
    <col width="20"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UC20 — Manual Uploads | Non-Hand Raiser | Event Sponsorships | Attended Session</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Event Sponsorships</t>
        </is>
      </c>
    </row>
    <row r="6">
      <c r="A6" s="4" t="inlineStr">
        <is>
          <t>Activity Type</t>
        </is>
      </c>
      <c r="B6" t="inlineStr">
        <is>
          <t>Attended Session</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Event Attended</t>
        </is>
      </c>
      <c r="B82" s="5" t="inlineStr">
        <is>
          <t>Derived</t>
        </is>
      </c>
      <c r="C82" s="5" t="inlineStr">
        <is>
          <t>Supports activity context, seller follow-up, and operational validation.</t>
        </is>
      </c>
      <c r="D82" s="5" t="inlineStr">
        <is>
          <t>Tray.io</t>
        </is>
      </c>
      <c r="E82" s="5" t="inlineStr">
        <is>
          <t>Using this use case implies that they attended</t>
        </is>
      </c>
      <c r="F82" s="5" t="inlineStr">
        <is>
          <t>N/A - appended by Tray.io after upload</t>
        </is>
      </c>
      <c r="G82" s="5" t="inlineStr">
        <is>
          <t>System lookup</t>
        </is>
      </c>
      <c r="H82" s="5" t="n"/>
      <c r="I82" s="5" t="inlineStr">
        <is>
          <t>Yes</t>
        </is>
      </c>
      <c r="J82" s="5" t="inlineStr">
        <is>
          <t>Yes</t>
        </is>
      </c>
      <c r="K82" s="5" t="inlineStr">
        <is>
          <t>Yes</t>
        </is>
      </c>
      <c r="L82" s="5" t="n"/>
      <c r="M82" s="5" t="inlineStr">
        <is>
          <t>Yes</t>
        </is>
      </c>
      <c r="Q82" s="5" t="n"/>
    </row>
    <row r="83">
      <c r="A83" t="inlineStr">
        <is>
          <t>Session Name</t>
        </is>
      </c>
      <c r="B83" t="inlineStr">
        <is>
          <t>Required</t>
        </is>
      </c>
      <c r="C83" t="inlineStr">
        <is>
          <t>Supports content-interest reporting and seller context.</t>
        </is>
      </c>
      <c r="D83" t="inlineStr">
        <is>
          <t>Marketing team input</t>
        </is>
      </c>
      <c r="E83" t="inlineStr">
        <is>
          <t>Provided by uploader unless session catalog lookup exists.</t>
        </is>
      </c>
      <c r="F83" t="inlineStr">
        <is>
          <t>Which session did the contact attend?</t>
        </is>
      </c>
      <c r="G83" t="inlineStr">
        <is>
          <t>Picklist/Text</t>
        </is>
      </c>
      <c r="H83" t="inlineStr">
        <is>
          <t>Confirm whether sessions can be selected from a controlled list or if we have an identifier to look it up</t>
        </is>
      </c>
      <c r="J83" t="inlineStr">
        <is>
          <t>Yes</t>
        </is>
      </c>
      <c r="M83" t="inlineStr">
        <is>
          <t>Yes</t>
        </is>
      </c>
    </row>
    <row r="84">
      <c r="A84" s="5" t="inlineStr">
        <is>
          <t>Session Topic / Track</t>
        </is>
      </c>
      <c r="B84" s="5" t="inlineStr">
        <is>
          <t>Required</t>
        </is>
      </c>
      <c r="C84" s="5" t="inlineStr">
        <is>
          <t>Supports topic performance reporting and targeted follow-up.</t>
        </is>
      </c>
      <c r="D84" s="5" t="inlineStr">
        <is>
          <t>Marketing team input or tool derived</t>
        </is>
      </c>
      <c r="E84" s="5" t="inlineStr">
        <is>
          <t>Prefer Tray.io/session catalog derivation when Session Name has a controlled lookup.</t>
        </is>
      </c>
      <c r="F84" s="5" t="inlineStr">
        <is>
          <t>What topic or track was the session part of?</t>
        </is>
      </c>
      <c r="G84" s="5" t="inlineStr">
        <is>
          <t>Picklist/Text</t>
        </is>
      </c>
      <c r="H84" s="5" t="inlineStr">
        <is>
          <t>Confirm if a session catalog exists.</t>
        </is>
      </c>
      <c r="I84" s="5" t="n"/>
      <c r="J84" s="5" t="n"/>
      <c r="K84" s="5" t="n"/>
      <c r="L84" s="5" t="n"/>
      <c r="M84" s="5" t="inlineStr">
        <is>
          <t>Yes</t>
        </is>
      </c>
      <c r="Q84" s="5" t="n"/>
    </row>
    <row r="85">
      <c r="A85" t="inlineStr">
        <is>
          <t>Session Attendance Date</t>
        </is>
      </c>
      <c r="B85" t="inlineStr">
        <is>
          <t>Derived</t>
        </is>
      </c>
      <c r="C85" t="inlineStr">
        <is>
          <t>Supports attribution sequencing, operations, and scoring time decay.</t>
        </is>
      </c>
      <c r="D85" t="inlineStr">
        <is>
          <t>Tray.io</t>
        </is>
      </c>
      <c r="E85" t="inlineStr">
        <is>
          <t>Default to the transaction date or the session start date</t>
        </is>
      </c>
      <c r="F85" t="inlineStr">
        <is>
          <t>N/A - appended by Tray.io after upload</t>
        </is>
      </c>
      <c r="G85" t="inlineStr">
        <is>
          <t>System lookup</t>
        </is>
      </c>
      <c r="I85" t="inlineStr">
        <is>
          <t>Yes</t>
        </is>
      </c>
      <c r="J85" t="inlineStr">
        <is>
          <t>Yes</t>
        </is>
      </c>
      <c r="M85" t="inlineStr">
        <is>
          <t>Yes</t>
        </is>
      </c>
    </row>
    <row r="86">
      <c r="A86" s="5" t="inlineStr">
        <is>
          <t>Sponsored Session Name</t>
        </is>
      </c>
      <c r="B86" s="5" t="inlineStr">
        <is>
          <t>Required</t>
        </is>
      </c>
      <c r="C86" s="5" t="inlineStr">
        <is>
          <t>Supports content-interest reporting and seller context.</t>
        </is>
      </c>
      <c r="D86" s="5" t="inlineStr">
        <is>
          <t>Marketing team input</t>
        </is>
      </c>
      <c r="E86" s="5" t="inlineStr">
        <is>
          <t>Provided by uploader unless session catalog lookup exists.</t>
        </is>
      </c>
      <c r="F86" s="5" t="inlineStr">
        <is>
          <t>Which session did the contact attend?</t>
        </is>
      </c>
      <c r="G86" s="5" t="inlineStr">
        <is>
          <t>Picklist/Text</t>
        </is>
      </c>
      <c r="H86" s="5" t="inlineStr">
        <is>
          <t>Confirm whether sessions can be selected from a controlled list or if we have an identifier to look it up</t>
        </is>
      </c>
      <c r="I86" s="5" t="inlineStr">
        <is>
          <t>Yes</t>
        </is>
      </c>
      <c r="J86" s="5" t="inlineStr">
        <is>
          <t>Yes</t>
        </is>
      </c>
      <c r="K86" s="5" t="inlineStr">
        <is>
          <t>Yes</t>
        </is>
      </c>
      <c r="L86" s="5" t="n"/>
      <c r="M86" s="5" t="inlineStr">
        <is>
          <t>Yes</t>
        </is>
      </c>
      <c r="Q86" s="5" t="n"/>
    </row>
    <row r="87">
      <c r="A87" t="inlineStr">
        <is>
          <t>Customer Comments</t>
        </is>
      </c>
      <c r="B87" t="inlineStr">
        <is>
          <t>Optional</t>
        </is>
      </c>
      <c r="C87" t="inlineStr">
        <is>
          <t>Supports activity context, seller follow-up, and operational validation.</t>
        </is>
      </c>
      <c r="D87" t="inlineStr">
        <is>
          <t>Marketing team input</t>
        </is>
      </c>
      <c r="E87" t="inlineStr">
        <is>
          <t>Maximum of 3200 Characters Please add any information obtained from the customer that can be passed to the seller to enhance the converstation</t>
        </is>
      </c>
      <c r="F87" t="inlineStr">
        <is>
          <t>What context or comments should be passed to the seller?</t>
        </is>
      </c>
      <c r="G87" t="inlineStr">
        <is>
          <t>Text</t>
        </is>
      </c>
      <c r="H87" t="inlineStr">
        <is>
          <t>Do we really need comments for Non-Hand Raisers?</t>
        </is>
      </c>
      <c r="M87" t="inlineStr">
        <is>
          <t>Yes</t>
        </is>
      </c>
    </row>
    <row r="88">
      <c r="A88" s="5" t="inlineStr">
        <is>
          <t>Transaction Date</t>
        </is>
      </c>
    </row>
    <row r="89">
      <c r="A89" s="6" t="inlineStr">
        <is>
          <t>8 - Activity Detail</t>
        </is>
      </c>
    </row>
    <row r="90">
      <c r="A90" t="inlineStr">
        <is>
          <t>Privacy ID</t>
        </is>
      </c>
      <c r="B90" t="inlineStr">
        <is>
          <t>Required</t>
        </is>
      </c>
      <c r="C90" t="inlineStr">
        <is>
          <t>Supports privacy, compliance, auditability, and source-system traceability for non-1st Party Events activity.</t>
        </is>
      </c>
      <c r="D90" t="inlineStr">
        <is>
          <t>Marketing team input</t>
        </is>
      </c>
      <c r="E90" t="inlineStr">
        <is>
          <t>Capture for non-1st Party Events use cases when supplied by the source activity or vendor.</t>
        </is>
      </c>
      <c r="F90" t="inlineStr">
        <is>
          <t>What is the Privacy ID for this activity?</t>
        </is>
      </c>
      <c r="G90" t="inlineStr">
        <is>
          <t>Text</t>
        </is>
      </c>
      <c r="M90" t="inlineStr">
        <is>
          <t>Yes</t>
        </is>
      </c>
    </row>
  </sheetData>
  <mergeCells count="11">
    <mergeCell ref="A56:Q56"/>
    <mergeCell ref="A30:Q30"/>
    <mergeCell ref="A76:Q76"/>
    <mergeCell ref="A11:Q11"/>
    <mergeCell ref="A49:Q49"/>
    <mergeCell ref="A1:Q1"/>
    <mergeCell ref="B5:Q5"/>
    <mergeCell ref="A88:Q88"/>
    <mergeCell ref="A65:Q65"/>
    <mergeCell ref="B4:Q4"/>
    <mergeCell ref="B3:Q3"/>
  </mergeCells>
  <dataValidations count="1">
    <dataValidation sqref="Q8:Q90"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25.xml><?xml version="1.0" encoding="utf-8"?>
<worksheet xmlns="http://schemas.openxmlformats.org/spreadsheetml/2006/main">
  <sheetPr>
    <outlinePr summaryBelow="1" summaryRight="1"/>
    <pageSetUpPr/>
  </sheetPr>
  <dimension ref="A1:Q87"/>
  <sheetViews>
    <sheetView workbookViewId="0">
      <pane ySplit="6" topLeftCell="A7" activePane="bottomLeft" state="frozen"/>
      <selection pane="bottomLeft" activeCell="A1" sqref="A1"/>
    </sheetView>
  </sheetViews>
  <sheetFormatPr baseColWidth="8" defaultRowHeight="14.25"/>
  <cols>
    <col width="50" customWidth="1" style="7" min="1" max="1"/>
    <col width="20"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UC21 — Manual Uploads | Non-Hand Raiser | Event Sponsorships | Registered</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Event Sponsorships</t>
        </is>
      </c>
    </row>
    <row r="6">
      <c r="A6" s="4" t="inlineStr">
        <is>
          <t>Activity Type</t>
        </is>
      </c>
      <c r="B6" t="inlineStr">
        <is>
          <t>Registered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Registration Date</t>
        </is>
      </c>
      <c r="B82" s="5" t="inlineStr">
        <is>
          <t>Derived</t>
        </is>
      </c>
      <c r="C82" s="5" t="n"/>
      <c r="D82" s="5" t="inlineStr">
        <is>
          <t>Tray</t>
        </is>
      </c>
      <c r="E82" s="5" t="inlineStr">
        <is>
          <t>Populated from Transaction Date</t>
        </is>
      </c>
      <c r="F82" s="5" t="inlineStr">
        <is>
          <t>N/A - appended by Tray.io after upload</t>
        </is>
      </c>
      <c r="G82" s="5" t="inlineStr">
        <is>
          <t>Date</t>
        </is>
      </c>
      <c r="H82" s="5" t="inlineStr">
        <is>
          <t>OK to use Transaction Date</t>
        </is>
      </c>
      <c r="I82" s="5" t="inlineStr">
        <is>
          <t>Yes</t>
        </is>
      </c>
      <c r="J82" s="5" t="inlineStr">
        <is>
          <t>Yes</t>
        </is>
      </c>
      <c r="K82" s="5" t="n"/>
      <c r="L82" s="5" t="n"/>
      <c r="M82" s="5" t="inlineStr">
        <is>
          <t>Yes</t>
        </is>
      </c>
      <c r="Q82" s="5" t="n"/>
    </row>
    <row r="83">
      <c r="A83" t="inlineStr">
        <is>
          <t>Event Attended</t>
        </is>
      </c>
      <c r="B83" t="inlineStr">
        <is>
          <t>Derived</t>
        </is>
      </c>
      <c r="C83" t="inlineStr">
        <is>
          <t>Supports activity context, seller follow-up, and operational validation.</t>
        </is>
      </c>
      <c r="D83" t="inlineStr">
        <is>
          <t>Tray.io</t>
        </is>
      </c>
      <c r="E83" t="inlineStr">
        <is>
          <t>Using this use case implies that they attended</t>
        </is>
      </c>
      <c r="F83" t="inlineStr">
        <is>
          <t>N/A - appended by Tray.io after upload</t>
        </is>
      </c>
      <c r="G83" t="inlineStr">
        <is>
          <t>System lookup</t>
        </is>
      </c>
      <c r="I83" t="inlineStr">
        <is>
          <t>Yes</t>
        </is>
      </c>
      <c r="J83" t="inlineStr">
        <is>
          <t>Yes</t>
        </is>
      </c>
      <c r="K83" t="inlineStr">
        <is>
          <t>Yes</t>
        </is>
      </c>
      <c r="M83" t="inlineStr">
        <is>
          <t>Yes</t>
        </is>
      </c>
    </row>
    <row r="84">
      <c r="A84" s="5" t="inlineStr">
        <is>
          <t>Customer Comments</t>
        </is>
      </c>
      <c r="B84" s="5" t="inlineStr">
        <is>
          <t>Optional</t>
        </is>
      </c>
      <c r="C84" s="5" t="inlineStr">
        <is>
          <t>Supports activity context, seller follow-up, and operational validation.</t>
        </is>
      </c>
      <c r="D84" s="5" t="inlineStr">
        <is>
          <t>Marketing team input</t>
        </is>
      </c>
      <c r="E84" s="5" t="inlineStr">
        <is>
          <t>Maximum of 3200 Characters Please add any information obtained from the customer that can be passed to the seller to enhance the converstation</t>
        </is>
      </c>
      <c r="F84" s="5" t="inlineStr">
        <is>
          <t>What context or comments should be passed to the seller?</t>
        </is>
      </c>
      <c r="G84" s="5" t="inlineStr">
        <is>
          <t>Text</t>
        </is>
      </c>
      <c r="H84" s="5" t="inlineStr">
        <is>
          <t>Do we really need comments for Non-Hand Raisers?</t>
        </is>
      </c>
      <c r="I84" s="5" t="n"/>
      <c r="J84" s="5" t="n"/>
      <c r="K84" s="5" t="n"/>
      <c r="L84" s="5" t="n"/>
      <c r="M84" s="5" t="inlineStr">
        <is>
          <t>Yes</t>
        </is>
      </c>
      <c r="Q84" s="5" t="n"/>
    </row>
    <row r="85">
      <c r="A85" t="inlineStr">
        <is>
          <t>Transaction Date</t>
        </is>
      </c>
    </row>
    <row r="86">
      <c r="A86" s="6" t="inlineStr">
        <is>
          <t>8 - Activity Detail</t>
        </is>
      </c>
    </row>
    <row r="87">
      <c r="A87" s="5" t="inlineStr">
        <is>
          <t>Privacy ID</t>
        </is>
      </c>
      <c r="B87" s="5" t="inlineStr">
        <is>
          <t>Required</t>
        </is>
      </c>
      <c r="C87" s="5" t="inlineStr">
        <is>
          <t>Supports privacy, compliance, auditability, and source-system traceability for non-1st Party Events activity.</t>
        </is>
      </c>
      <c r="D87" s="5" t="inlineStr">
        <is>
          <t>Marketing team input</t>
        </is>
      </c>
      <c r="E87" s="5" t="inlineStr">
        <is>
          <t>Capture for non-1st Party Events use cases when supplied by the source activity or vendor.</t>
        </is>
      </c>
      <c r="F87" s="5" t="inlineStr">
        <is>
          <t>What is the Privacy ID for this activity?</t>
        </is>
      </c>
      <c r="G87" s="5" t="inlineStr">
        <is>
          <t>Text</t>
        </is>
      </c>
      <c r="H87" s="5" t="n"/>
      <c r="I87" s="5" t="n"/>
      <c r="J87" s="5" t="n"/>
      <c r="K87" s="5" t="n"/>
      <c r="L87" s="5" t="n"/>
      <c r="M87" s="5" t="inlineStr">
        <is>
          <t>Yes</t>
        </is>
      </c>
      <c r="Q87" s="5" t="n"/>
    </row>
  </sheetData>
  <mergeCells count="11">
    <mergeCell ref="A56:Q56"/>
    <mergeCell ref="A30:Q30"/>
    <mergeCell ref="A76:Q76"/>
    <mergeCell ref="A11:Q11"/>
    <mergeCell ref="A49:Q49"/>
    <mergeCell ref="A85:Q85"/>
    <mergeCell ref="A1:Q1"/>
    <mergeCell ref="B5:Q5"/>
    <mergeCell ref="A65:Q65"/>
    <mergeCell ref="B4:Q4"/>
    <mergeCell ref="B3:Q3"/>
  </mergeCells>
  <dataValidations count="1">
    <dataValidation sqref="Q8:Q87"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26.xml><?xml version="1.0" encoding="utf-8"?>
<worksheet xmlns="http://schemas.openxmlformats.org/spreadsheetml/2006/main">
  <sheetPr>
    <outlinePr summaryBelow="1" summaryRight="1"/>
    <pageSetUpPr/>
  </sheetPr>
  <dimension ref="A1:Q90"/>
  <sheetViews>
    <sheetView workbookViewId="0">
      <pane ySplit="6" topLeftCell="A7" activePane="bottomLeft" state="frozen"/>
      <selection pane="bottomLeft" activeCell="A1" sqref="A1"/>
    </sheetView>
  </sheetViews>
  <sheetFormatPr baseColWidth="8" defaultRowHeight="14.25"/>
  <cols>
    <col width="50" customWidth="1" style="7" min="1" max="1"/>
    <col width="23"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UC22 — Manual Uploads | Non-Hand Raiser | Webinars | Attended Live Virtual</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Webinars</t>
        </is>
      </c>
    </row>
    <row r="6">
      <c r="A6" s="4" t="inlineStr">
        <is>
          <t>Activity Type</t>
        </is>
      </c>
      <c r="B6" t="inlineStr">
        <is>
          <t>Attended Live Virtual</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Required</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Which Drive To ID is associated with this activity?</t>
        </is>
      </c>
      <c r="G63" t="inlineStr">
        <is>
          <t>Text</t>
        </is>
      </c>
      <c r="H63" t="inlineStr">
        <is>
          <t>Need to validate the default DTID to use to ensure correct MSP Alignment</t>
        </is>
      </c>
      <c r="I63" t="inlineStr">
        <is>
          <t>Yes</t>
        </is>
      </c>
      <c r="J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Required</t>
        </is>
      </c>
      <c r="C66" s="5" t="inlineStr">
        <is>
          <t>Maintains legacy offer attribution and seller/content context during transition.</t>
        </is>
      </c>
      <c r="D66" s="5" t="inlineStr">
        <is>
          <t>Marketing team input</t>
        </is>
      </c>
      <c r="E66" s="5" t="inlineStr">
        <is>
          <t>Capture while downstream offer/content attribution still requires it; retire after future-state identifiers cover the reporting need.</t>
        </is>
      </c>
      <c r="F66" s="5" t="inlineStr">
        <is>
          <t>What is the Offer ID?</t>
        </is>
      </c>
      <c r="G66" s="5" t="inlineStr">
        <is>
          <t>Text</t>
        </is>
      </c>
      <c r="H66" s="5" t="inlineStr">
        <is>
          <t>Need to confirm rules around which vendors can be manually uploaded</t>
        </is>
      </c>
      <c r="I66" s="5" t="inlineStr">
        <is>
          <t>Yes</t>
        </is>
      </c>
      <c r="J66" s="5" t="inlineStr">
        <is>
          <t>Yes</t>
        </is>
      </c>
      <c r="K66" s="5" t="n"/>
      <c r="L66" s="5" t="n"/>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 if available</t>
        </is>
      </c>
      <c r="G67" t="inlineStr">
        <is>
          <t>System lookup</t>
        </is>
      </c>
      <c r="J67" t="inlineStr">
        <is>
          <t>Yes</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 if available</t>
        </is>
      </c>
      <c r="G68" s="5" t="inlineStr">
        <is>
          <t>System lookup</t>
        </is>
      </c>
      <c r="H68" s="5" t="n"/>
      <c r="I68" s="5" t="n"/>
      <c r="J68" s="5" t="inlineStr">
        <is>
          <t>Yes</t>
        </is>
      </c>
      <c r="K68" s="5" t="n"/>
      <c r="L68" s="5" t="n"/>
      <c r="M68" s="5" t="inlineStr">
        <is>
          <t>Yes</t>
        </is>
      </c>
      <c r="Q68" s="5" t="n"/>
    </row>
    <row r="69">
      <c r="A69" t="inlineStr">
        <is>
          <t>Offer Type</t>
        </is>
      </c>
    </row>
    <row r="70">
      <c r="A70" s="6" t="inlineStr">
        <is>
          <t>6 - Future Tracking Parameters</t>
        </is>
      </c>
    </row>
    <row r="71">
      <c r="A71" s="5" t="inlineStr">
        <is>
          <t>Workfront Channel ID</t>
        </is>
      </c>
      <c r="B71" s="5" t="inlineStr">
        <is>
          <t>Required</t>
        </is>
      </c>
      <c r="C71" s="5" t="inlineStr">
        <is>
          <t>Connects the upload to the Workfront channel taxonomy for durable operational and attribution alignment.</t>
        </is>
      </c>
      <c r="D71" s="5" t="inlineStr">
        <is>
          <t>Marketing team input</t>
        </is>
      </c>
      <c r="E71" s="5" t="n"/>
      <c r="F71" s="5" t="inlineStr">
        <is>
          <t>What is the Workfront Channel ID?</t>
        </is>
      </c>
      <c r="G71" s="5" t="inlineStr">
        <is>
          <t>Text</t>
        </is>
      </c>
      <c r="H71" s="5" t="inlineStr">
        <is>
          <t>Will events data come from Workfront, or can all of this information come from the Global Events Table?</t>
        </is>
      </c>
      <c r="I71" s="5" t="inlineStr">
        <is>
          <t>Yes</t>
        </is>
      </c>
      <c r="J71" s="5" t="inlineStr">
        <is>
          <t>Yes</t>
        </is>
      </c>
      <c r="K71" s="5" t="n"/>
      <c r="L71" s="5" t="n"/>
      <c r="M71" s="5" t="inlineStr">
        <is>
          <t>Yes</t>
        </is>
      </c>
      <c r="Q71" s="5" t="n"/>
    </row>
    <row r="72">
      <c r="A72" t="inlineStr">
        <is>
          <t>Primary Technology</t>
        </is>
      </c>
      <c r="B72" t="inlineStr">
        <is>
          <t>Derived</t>
        </is>
      </c>
      <c r="C72" t="inlineStr">
        <is>
          <t>Identifies the primary technology associated with the content for future attribution, operational, and seller enablement reporting.</t>
        </is>
      </c>
      <c r="D72" t="inlineStr">
        <is>
          <t>Tray.io / Workfront derived</t>
        </is>
      </c>
      <c r="E72" t="inlineStr">
        <is>
          <t>Tray.io derives Primary Technology from Workfront Content ID and Workfront Channel ID alignment.</t>
        </is>
      </c>
      <c r="F72" t="inlineStr">
        <is>
          <t>N/A - appended by Tray.io after upload</t>
        </is>
      </c>
      <c r="G72" t="inlineStr">
        <is>
          <t>System lookup</t>
        </is>
      </c>
      <c r="I72" t="inlineStr">
        <is>
          <t>Yes</t>
        </is>
      </c>
      <c r="J72" t="inlineStr">
        <is>
          <t>Yes</t>
        </is>
      </c>
      <c r="M72" t="inlineStr">
        <is>
          <t>Yes</t>
        </is>
      </c>
    </row>
    <row r="73">
      <c r="A73" s="5" t="inlineStr">
        <is>
          <t>Campaign</t>
        </is>
      </c>
      <c r="B73" s="5" t="inlineStr">
        <is>
          <t>Derived</t>
        </is>
      </c>
      <c r="C73" s="5" t="inlineStr">
        <is>
          <t>Connects the touchpoint to campaign-level attribution and marketing sourced pipeline reporting aligned to Workfront Content ID and Channel ID.</t>
        </is>
      </c>
      <c r="D73" s="5" t="inlineStr">
        <is>
          <t>Tray.io / Workfront derived</t>
        </is>
      </c>
      <c r="E73" s="5" t="inlineStr">
        <is>
          <t>Tray.io derives Campaign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Program</t>
        </is>
      </c>
      <c r="B74" t="inlineStr">
        <is>
          <t>Derived</t>
        </is>
      </c>
      <c r="C74" t="inlineStr">
        <is>
          <t>Connects the touchpoint to program-level attribution and marketing sourced pipeline reporting aligned to Workfront Content ID and Channel ID.</t>
        </is>
      </c>
      <c r="D74" t="inlineStr">
        <is>
          <t>Tray.io / Workfront derived</t>
        </is>
      </c>
      <c r="E74" t="inlineStr">
        <is>
          <t>Tray.io derives Program from Workfront Content ID and Workfront Channel ID alignment.</t>
        </is>
      </c>
      <c r="F74" t="inlineStr">
        <is>
          <t>N/A - appended by Tray.io after upload</t>
        </is>
      </c>
      <c r="G74" t="inlineStr">
        <is>
          <t>System lookup</t>
        </is>
      </c>
      <c r="I74" t="inlineStr">
        <is>
          <t>Yes</t>
        </is>
      </c>
      <c r="J74" t="inlineStr">
        <is>
          <t>Yes</t>
        </is>
      </c>
      <c r="M74" t="inlineStr">
        <is>
          <t>Yes</t>
        </is>
      </c>
    </row>
    <row r="75">
      <c r="A75" s="5" t="inlineStr">
        <is>
          <t>Channel Type</t>
        </is>
      </c>
      <c r="B75" s="5" t="inlineStr">
        <is>
          <t>Derived</t>
        </is>
      </c>
      <c r="C75" s="5" t="inlineStr">
        <is>
          <t>Identifies the driving channel for future attribution, operational, and funnel reporting after legacy IDs are decommissioned.</t>
        </is>
      </c>
      <c r="D75" s="5" t="inlineStr">
        <is>
          <t>Tray.io derived</t>
        </is>
      </c>
      <c r="E75" s="5" t="inlineStr">
        <is>
          <t>Tray.io appends from Workfront Channel ID in the Workfront Data tables</t>
        </is>
      </c>
      <c r="F75" s="5" t="inlineStr">
        <is>
          <t>N/A - appended by Tray.io after upload</t>
        </is>
      </c>
      <c r="G75" s="5" t="inlineStr">
        <is>
          <t>Text</t>
        </is>
      </c>
      <c r="H75" s="5" t="n"/>
      <c r="I75" s="5" t="inlineStr">
        <is>
          <t>Yes</t>
        </is>
      </c>
      <c r="J75" s="5" t="inlineStr">
        <is>
          <t>Yes</t>
        </is>
      </c>
      <c r="K75" s="5" t="n"/>
      <c r="L75" s="5" t="n"/>
      <c r="M75" s="5" t="inlineStr">
        <is>
          <t>Yes</t>
        </is>
      </c>
      <c r="Q75" s="5" t="n"/>
    </row>
    <row r="76">
      <c r="A76" t="inlineStr">
        <is>
          <t>Channel Source</t>
        </is>
      </c>
      <c r="B76" t="inlineStr">
        <is>
          <t>Derived</t>
        </is>
      </c>
      <c r="C76" t="inlineStr">
        <is>
          <t>Identifies platform/vendor source for future attribution, operational, and funnel reporting.</t>
        </is>
      </c>
      <c r="D76" t="inlineStr">
        <is>
          <t>Tray.io derived</t>
        </is>
      </c>
      <c r="E76" t="inlineStr">
        <is>
          <t>Tray.io appends from Workfront Channel ID in the Workfront Data tables</t>
        </is>
      </c>
      <c r="F76" t="inlineStr">
        <is>
          <t>N/A - appended by Tray.io after upload</t>
        </is>
      </c>
      <c r="G76" t="inlineStr">
        <is>
          <t>Text</t>
        </is>
      </c>
      <c r="I76" t="inlineStr">
        <is>
          <t>Yes</t>
        </is>
      </c>
      <c r="J76" t="inlineStr">
        <is>
          <t>Yes</t>
        </is>
      </c>
      <c r="L76" t="inlineStr">
        <is>
          <t>Yes</t>
        </is>
      </c>
      <c r="M76" t="inlineStr">
        <is>
          <t>Yes</t>
        </is>
      </c>
    </row>
    <row r="77">
      <c r="A77" s="5" t="inlineStr">
        <is>
          <t>Funnel Stage</t>
        </is>
      </c>
      <c r="B77" s="5" t="inlineStr">
        <is>
          <t>Derived</t>
        </is>
      </c>
      <c r="C77" s="5" t="inlineStr">
        <is>
          <t>Supports funnel-based routing, lead scoring, and operational reporting aligned to Workfront Content ID and Channel ID.</t>
        </is>
      </c>
      <c r="D77" s="5" t="inlineStr">
        <is>
          <t>Tray.io / Workfront derived</t>
        </is>
      </c>
      <c r="E77" s="5" t="inlineStr">
        <is>
          <t>Tray.io derives Funnel Stage from Workfront Content ID and Workfront Channel ID alignment.</t>
        </is>
      </c>
      <c r="F77" s="5" t="inlineStr">
        <is>
          <t>N/A - appended by Tray.io after upload</t>
        </is>
      </c>
      <c r="G77" s="5" t="inlineStr">
        <is>
          <t>System lookup</t>
        </is>
      </c>
      <c r="H77" s="5" t="n"/>
      <c r="I77" s="5" t="inlineStr">
        <is>
          <t>Yes</t>
        </is>
      </c>
      <c r="J77" s="5" t="inlineStr">
        <is>
          <t>Yes</t>
        </is>
      </c>
      <c r="K77" s="5" t="n"/>
      <c r="L77" s="5" t="n"/>
      <c r="M77" s="5" t="inlineStr">
        <is>
          <t>Yes</t>
        </is>
      </c>
      <c r="Q77" s="5" t="n"/>
    </row>
    <row r="78">
      <c r="A78" t="inlineStr">
        <is>
          <t>Workfront Content ID</t>
        </is>
      </c>
      <c r="B78" t="inlineStr">
        <is>
          <t>Required</t>
        </is>
      </c>
      <c r="C78" t="inlineStr">
        <is>
          <t>Connects the upload to the Workfront Content taxonomy for durable operational and attribution alignment.</t>
        </is>
      </c>
      <c r="D78" t="inlineStr">
        <is>
          <t>Marketing team input</t>
        </is>
      </c>
      <c r="F78" t="inlineStr">
        <is>
          <t>What is the Workfront Content ID?</t>
        </is>
      </c>
      <c r="G78" t="inlineStr">
        <is>
          <t>Text</t>
        </is>
      </c>
      <c r="H78" t="inlineStr">
        <is>
          <t>Would the manual Upload use cases really capture a Workfront Content ID</t>
        </is>
      </c>
      <c r="I78" t="inlineStr">
        <is>
          <t>Yes</t>
        </is>
      </c>
      <c r="J78" t="inlineStr">
        <is>
          <t>Yes</t>
        </is>
      </c>
      <c r="M78" t="inlineStr">
        <is>
          <t>Yes</t>
        </is>
      </c>
    </row>
    <row r="79">
      <c r="A79" s="5" t="inlineStr">
        <is>
          <t>Content Type</t>
        </is>
      </c>
      <c r="B79" s="5" t="inlineStr">
        <is>
          <t>Derived</t>
        </is>
      </c>
      <c r="C79" s="5" t="inlineStr">
        <is>
          <t>Identifies the content classification for future attribution, operational, and funnel reporting aligned to Workfront Content ID.</t>
        </is>
      </c>
      <c r="D79" s="5" t="inlineStr">
        <is>
          <t>Tray.io / Workfront derived</t>
        </is>
      </c>
      <c r="E79" s="5" t="inlineStr">
        <is>
          <t>Tray.io derives Content Type from Workfront Content ID alignment.</t>
        </is>
      </c>
      <c r="F79" s="5" t="inlineStr">
        <is>
          <t>N/A - appended by Tray.io after upload</t>
        </is>
      </c>
      <c r="G79" s="5" t="inlineStr">
        <is>
          <t>System lookup</t>
        </is>
      </c>
      <c r="H79" s="5" t="inlineStr">
        <is>
          <t>This field relates to Web Content Type, Webinar Type and Event Type from Workfront.</t>
        </is>
      </c>
      <c r="I79" s="5" t="inlineStr">
        <is>
          <t>Yes</t>
        </is>
      </c>
      <c r="J79" s="5" t="inlineStr">
        <is>
          <t>Yes</t>
        </is>
      </c>
      <c r="K79" s="5" t="n"/>
      <c r="L79" s="5" t="n"/>
      <c r="M79" s="5" t="inlineStr">
        <is>
          <t>Yes</t>
        </is>
      </c>
      <c r="Q79" s="5" t="n"/>
    </row>
    <row r="80">
      <c r="A80" t="inlineStr">
        <is>
          <t>Vendor</t>
        </is>
      </c>
    </row>
    <row r="81">
      <c r="A81" s="6" t="inlineStr">
        <is>
          <t>7 - Event Tracking Parameters</t>
        </is>
      </c>
    </row>
    <row r="82">
      <c r="A82" s="5" t="inlineStr">
        <is>
          <t>Event ID / EID</t>
        </is>
      </c>
      <c r="B82" s="5" t="inlineStr">
        <is>
          <t>Optional</t>
        </is>
      </c>
      <c r="C82" s="5" t="inlineStr">
        <is>
          <t>Supports current-template tracking and downstream operational, attribution, and funnel reporting during the transition period.</t>
        </is>
      </c>
      <c r="D82" s="5" t="inlineStr">
        <is>
          <t>Marketing team input</t>
        </is>
      </c>
      <c r="E82" s="5" t="inlineStr">
        <is>
          <t>If source is PathFactory or Cvent then reject the data upload for Attendees.  Webex uploads must align the EID to the Registration data</t>
        </is>
      </c>
      <c r="F82" s="5" t="inlineStr">
        <is>
          <t>Which Event ID is this upload for?</t>
        </is>
      </c>
      <c r="G82" s="5" t="inlineStr">
        <is>
          <t>Picklist/Text</t>
        </is>
      </c>
      <c r="H82" s="5" t="inlineStr">
        <is>
          <t>Which use cases need and EID and which rely on Offer Information</t>
        </is>
      </c>
      <c r="I82" s="5" t="inlineStr">
        <is>
          <t>Yes</t>
        </is>
      </c>
      <c r="J82" s="5" t="inlineStr">
        <is>
          <t>Yes</t>
        </is>
      </c>
      <c r="K82" s="5" t="n"/>
      <c r="L82" s="5" t="n"/>
      <c r="M82" s="5" t="inlineStr">
        <is>
          <t>Yes</t>
        </is>
      </c>
      <c r="Q82" s="5" t="n"/>
    </row>
    <row r="83">
      <c r="A83" t="inlineStr">
        <is>
          <t>Event Name</t>
        </is>
      </c>
      <c r="B83" t="inlineStr">
        <is>
          <t>Derived</t>
        </is>
      </c>
      <c r="C83" t="inlineStr">
        <is>
          <t>Human-readable event reporting and validation without requiring uploaders to re-type event names.</t>
        </is>
      </c>
      <c r="D83" t="inlineStr">
        <is>
          <t>Tray.io / Global Events Table derived</t>
        </is>
      </c>
      <c r="E83" t="inlineStr">
        <is>
          <t>Tray.io appends from Global Events Table using Event ID / EID.</t>
        </is>
      </c>
      <c r="F83" t="inlineStr">
        <is>
          <t>N/A - appended by Tray.io after upload</t>
        </is>
      </c>
      <c r="G83" t="inlineStr">
        <is>
          <t>Picklist/Text</t>
        </is>
      </c>
      <c r="H83" t="inlineStr">
        <is>
          <t>Which use cases need and EID and which rely on Offer Information</t>
        </is>
      </c>
      <c r="J83" t="inlineStr">
        <is>
          <t>Yes</t>
        </is>
      </c>
      <c r="M83" t="inlineStr">
        <is>
          <t>Yes</t>
        </is>
      </c>
    </row>
    <row r="84">
      <c r="A84" s="5" t="inlineStr">
        <is>
          <t>Event Attended</t>
        </is>
      </c>
      <c r="B84" s="5" t="inlineStr">
        <is>
          <t>Derived</t>
        </is>
      </c>
      <c r="C84" s="5" t="inlineStr">
        <is>
          <t>Supports activity context, seller follow-up, and operational validation.</t>
        </is>
      </c>
      <c r="D84" s="5" t="inlineStr">
        <is>
          <t>Tray.io</t>
        </is>
      </c>
      <c r="E84" s="5" t="inlineStr">
        <is>
          <t>It is assumed as you are using this use case then you attended</t>
        </is>
      </c>
      <c r="F84" s="5" t="inlineStr">
        <is>
          <t>N/A - appended by Tray.io after upload</t>
        </is>
      </c>
      <c r="G84" s="5" t="inlineStr">
        <is>
          <t>System lookup</t>
        </is>
      </c>
      <c r="H84" s="5" t="inlineStr">
        <is>
          <t>Which use cases need and EID and which rely on Offer Information</t>
        </is>
      </c>
      <c r="I84" s="5" t="inlineStr">
        <is>
          <t>Yes</t>
        </is>
      </c>
      <c r="J84" s="5" t="inlineStr">
        <is>
          <t>Yes</t>
        </is>
      </c>
      <c r="K84" s="5" t="inlineStr">
        <is>
          <t>Yes</t>
        </is>
      </c>
      <c r="L84" s="5" t="n"/>
      <c r="M84" s="5" t="inlineStr">
        <is>
          <t>Yes</t>
        </is>
      </c>
      <c r="Q84" s="5" t="n"/>
    </row>
    <row r="85">
      <c r="A85" t="inlineStr">
        <is>
          <t>Live Attendance Date</t>
        </is>
      </c>
    </row>
    <row r="86">
      <c r="A86" s="6" t="inlineStr">
        <is>
          <t>8 - Activity Detail</t>
        </is>
      </c>
    </row>
    <row r="87">
      <c r="A87" s="5" t="inlineStr">
        <is>
          <t>Webinar Date</t>
        </is>
      </c>
      <c r="B87" s="5" t="inlineStr">
        <is>
          <t>Derived</t>
        </is>
      </c>
      <c r="C87" s="5" t="inlineStr">
        <is>
          <t>Supports attribution windows, operational reporting, and scoring recency.</t>
        </is>
      </c>
      <c r="D87" s="5" t="inlineStr">
        <is>
          <t>Tray.io  derived</t>
        </is>
      </c>
      <c r="E87" s="5" t="inlineStr">
        <is>
          <t>Tray.io appends webinar date as Transaction Date</t>
        </is>
      </c>
      <c r="F87" s="5" t="inlineStr">
        <is>
          <t>N/A - appended by Tray.io after upload</t>
        </is>
      </c>
      <c r="G87" s="5" t="inlineStr">
        <is>
          <t>System lookup</t>
        </is>
      </c>
      <c r="H87" s="5" t="inlineStr">
        <is>
          <t>Confirm if OK to derive Webinar Date from Transaction Date</t>
        </is>
      </c>
      <c r="I87" s="5" t="inlineStr">
        <is>
          <t>Yes</t>
        </is>
      </c>
      <c r="J87" s="5" t="inlineStr">
        <is>
          <t>Yes</t>
        </is>
      </c>
      <c r="K87" s="5" t="n"/>
      <c r="L87" s="5" t="n"/>
      <c r="M87" s="5" t="inlineStr">
        <is>
          <t>Yes</t>
        </is>
      </c>
      <c r="Q87" s="5" t="n"/>
    </row>
    <row r="88">
      <c r="A88" t="inlineStr">
        <is>
          <t>Transaction Date</t>
        </is>
      </c>
      <c r="B88" t="inlineStr">
        <is>
          <t>Required</t>
        </is>
      </c>
      <c r="C88" t="inlineStr">
        <is>
          <t>Common date field for attribution sequencing, operational SLA reporting, and lead scoring time decay.</t>
        </is>
      </c>
      <c r="D88" t="inlineStr">
        <is>
          <t>Marketing team input</t>
        </is>
      </c>
      <c r="E88" t="inlineStr">
        <is>
          <t>Provided in uploaded file; may represent registration date, attendance date, scan date, meeting date, view date, form submission date, or follow-up request date.</t>
        </is>
      </c>
      <c r="F88" t="inlineStr">
        <is>
          <t>When did this activity happen?</t>
        </is>
      </c>
      <c r="G88" t="inlineStr">
        <is>
          <t>Date</t>
        </is>
      </c>
      <c r="I88" t="inlineStr">
        <is>
          <t>Yes</t>
        </is>
      </c>
      <c r="J88" t="inlineStr">
        <is>
          <t>Yes</t>
        </is>
      </c>
      <c r="M88" t="inlineStr">
        <is>
          <t>Yes</t>
        </is>
      </c>
    </row>
    <row r="89">
      <c r="A89" s="5" t="inlineStr">
        <is>
          <t>Customer Comments</t>
        </is>
      </c>
      <c r="B89" s="5" t="inlineStr">
        <is>
          <t>Optional</t>
        </is>
      </c>
      <c r="C89" s="5" t="inlineStr">
        <is>
          <t>Supports activity context, seller follow-up, and operational validation.</t>
        </is>
      </c>
      <c r="D89" s="5" t="inlineStr">
        <is>
          <t>Marketing team input</t>
        </is>
      </c>
      <c r="E89" s="5" t="inlineStr">
        <is>
          <t xml:space="preserve"> Maximum of 3200 Characters Please add any information obtained from the customer that can be passed to the seller to enhance the converstation</t>
        </is>
      </c>
      <c r="F89" s="5" t="inlineStr">
        <is>
          <t>What context or comments should be passed to the seller?</t>
        </is>
      </c>
      <c r="G89" s="5" t="inlineStr">
        <is>
          <t>Text</t>
        </is>
      </c>
      <c r="H89" s="5" t="inlineStr">
        <is>
          <t>Do we need to capture this for Non-Hand Raisers?</t>
        </is>
      </c>
      <c r="I89" s="5" t="n"/>
      <c r="J89" s="5" t="n"/>
      <c r="K89" s="5" t="n"/>
      <c r="L89" s="5" t="n"/>
      <c r="M89" s="5" t="inlineStr">
        <is>
          <t>Yes</t>
        </is>
      </c>
      <c r="Q89" s="5" t="n"/>
    </row>
    <row r="90">
      <c r="A90" t="inlineStr">
        <is>
          <t>Privacy ID</t>
        </is>
      </c>
      <c r="B90" t="inlineStr">
        <is>
          <t>Required</t>
        </is>
      </c>
      <c r="C90" t="inlineStr">
        <is>
          <t>Supports privacy, compliance, auditability, and source-system traceability for non-1st Party Events activity.</t>
        </is>
      </c>
      <c r="D90" t="inlineStr">
        <is>
          <t>Marketing team input</t>
        </is>
      </c>
      <c r="E90" t="inlineStr">
        <is>
          <t>Capture for non-1st Party Events use cases when supplied by the source activity or vendor.</t>
        </is>
      </c>
      <c r="F90" t="inlineStr">
        <is>
          <t>What is the Privacy ID for this activity?</t>
        </is>
      </c>
      <c r="G90" t="inlineStr">
        <is>
          <t>Text</t>
        </is>
      </c>
      <c r="M90" t="inlineStr">
        <is>
          <t>Yes</t>
        </is>
      </c>
    </row>
  </sheetData>
  <mergeCells count="11">
    <mergeCell ref="A56:Q56"/>
    <mergeCell ref="A30:Q30"/>
    <mergeCell ref="A11:Q11"/>
    <mergeCell ref="A49:Q49"/>
    <mergeCell ref="A1:Q1"/>
    <mergeCell ref="A85:Q85"/>
    <mergeCell ref="B5:Q5"/>
    <mergeCell ref="A69:Q69"/>
    <mergeCell ref="B4:Q4"/>
    <mergeCell ref="A80:Q80"/>
    <mergeCell ref="B3:Q3"/>
  </mergeCells>
  <dataValidations count="1">
    <dataValidation sqref="Q8:Q90"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27.xml><?xml version="1.0" encoding="utf-8"?>
<worksheet xmlns="http://schemas.openxmlformats.org/spreadsheetml/2006/main">
  <sheetPr>
    <outlinePr summaryBelow="1" summaryRight="1"/>
    <pageSetUpPr/>
  </sheetPr>
  <dimension ref="A1:Q89"/>
  <sheetViews>
    <sheetView workbookViewId="0">
      <pane ySplit="6" topLeftCell="A7" activePane="bottomLeft" state="frozen"/>
      <selection pane="bottomLeft" activeCell="A1" sqref="A1"/>
    </sheetView>
  </sheetViews>
  <sheetFormatPr baseColWidth="8" defaultRowHeight="14.25"/>
  <cols>
    <col width="50" customWidth="1" style="7" min="1" max="1"/>
    <col width="20"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UC23 — Manual Uploads | Non-Hand Raiser | Webinars | Attended On-Demand</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Webinars</t>
        </is>
      </c>
    </row>
    <row r="6">
      <c r="A6" s="4" t="inlineStr">
        <is>
          <t>Activity Type</t>
        </is>
      </c>
      <c r="B6" t="inlineStr">
        <is>
          <t>Attended On-Demand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Required</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Which Drive To ID is associated with this activity?</t>
        </is>
      </c>
      <c r="G63" t="inlineStr">
        <is>
          <t>Text</t>
        </is>
      </c>
      <c r="H63" t="inlineStr">
        <is>
          <t>Need to validate the default DTID to use to ensure correct MSP Alignment</t>
        </is>
      </c>
      <c r="I63" t="inlineStr">
        <is>
          <t>Yes</t>
        </is>
      </c>
      <c r="J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Required</t>
        </is>
      </c>
      <c r="C66" s="5" t="inlineStr">
        <is>
          <t>Maintains legacy offer attribution and seller/content context during transition.</t>
        </is>
      </c>
      <c r="D66" s="5" t="inlineStr">
        <is>
          <t>Marketing team input</t>
        </is>
      </c>
      <c r="E66" s="5" t="inlineStr">
        <is>
          <t>Capture while downstream offer/content attribution still requires it; retire after future-state identifiers cover the reporting need.</t>
        </is>
      </c>
      <c r="F66" s="5" t="inlineStr">
        <is>
          <t>What is the Offer ID?</t>
        </is>
      </c>
      <c r="G66" s="5" t="inlineStr">
        <is>
          <t>Text</t>
        </is>
      </c>
      <c r="H66" s="5" t="inlineStr">
        <is>
          <t>Need to confirm rules around which vendors can be manually uploaded</t>
        </is>
      </c>
      <c r="I66" s="5" t="inlineStr">
        <is>
          <t>Yes</t>
        </is>
      </c>
      <c r="J66" s="5" t="inlineStr">
        <is>
          <t>Yes</t>
        </is>
      </c>
      <c r="K66" s="5" t="n"/>
      <c r="L66" s="5" t="n"/>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 if available</t>
        </is>
      </c>
      <c r="G67" t="inlineStr">
        <is>
          <t>System lookup</t>
        </is>
      </c>
      <c r="J67" t="inlineStr">
        <is>
          <t>Yes</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 if available</t>
        </is>
      </c>
      <c r="G68" s="5" t="inlineStr">
        <is>
          <t>System lookup</t>
        </is>
      </c>
      <c r="H68" s="5" t="n"/>
      <c r="I68" s="5" t="n"/>
      <c r="J68" s="5" t="inlineStr">
        <is>
          <t>Yes</t>
        </is>
      </c>
      <c r="K68" s="5" t="n"/>
      <c r="L68" s="5" t="n"/>
      <c r="M68" s="5" t="inlineStr">
        <is>
          <t>Yes</t>
        </is>
      </c>
      <c r="Q68" s="5" t="n"/>
    </row>
    <row r="69">
      <c r="A69" t="inlineStr">
        <is>
          <t>Offer Type</t>
        </is>
      </c>
    </row>
    <row r="70">
      <c r="A70" s="6" t="inlineStr">
        <is>
          <t>6 - Future Tracking Parameters</t>
        </is>
      </c>
    </row>
    <row r="71">
      <c r="A71" s="5" t="inlineStr">
        <is>
          <t>Workfront Channel ID</t>
        </is>
      </c>
      <c r="B71" s="5" t="inlineStr">
        <is>
          <t>Required</t>
        </is>
      </c>
      <c r="C71" s="5" t="inlineStr">
        <is>
          <t>Connects the upload to the Workfront channel taxonomy for durable operational and attribution alignment.</t>
        </is>
      </c>
      <c r="D71" s="5" t="inlineStr">
        <is>
          <t>Marketing team input</t>
        </is>
      </c>
      <c r="E71" s="5" t="n"/>
      <c r="F71" s="5" t="inlineStr">
        <is>
          <t>What is the Workfront Channel ID?</t>
        </is>
      </c>
      <c r="G71" s="5" t="inlineStr">
        <is>
          <t>Text</t>
        </is>
      </c>
      <c r="H71" s="5" t="inlineStr">
        <is>
          <t>Will events data come from Workfront, or can all of this information come from the Global Events Table?</t>
        </is>
      </c>
      <c r="I71" s="5" t="inlineStr">
        <is>
          <t>Yes</t>
        </is>
      </c>
      <c r="J71" s="5" t="inlineStr">
        <is>
          <t>Yes</t>
        </is>
      </c>
      <c r="K71" s="5" t="n"/>
      <c r="L71" s="5" t="n"/>
      <c r="M71" s="5" t="inlineStr">
        <is>
          <t>Yes</t>
        </is>
      </c>
      <c r="Q71" s="5" t="n"/>
    </row>
    <row r="72">
      <c r="A72" t="inlineStr">
        <is>
          <t>Primary Technology</t>
        </is>
      </c>
      <c r="B72" t="inlineStr">
        <is>
          <t>Derived</t>
        </is>
      </c>
      <c r="C72" t="inlineStr">
        <is>
          <t>Identifies the primary technology associated with the content for future attribution, operational, and seller enablement reporting.</t>
        </is>
      </c>
      <c r="D72" t="inlineStr">
        <is>
          <t>Tray.io / Workfront derived</t>
        </is>
      </c>
      <c r="E72" t="inlineStr">
        <is>
          <t>Tray.io derives Primary Technology from Workfront Content ID and Workfront Channel ID alignment.</t>
        </is>
      </c>
      <c r="F72" t="inlineStr">
        <is>
          <t>N/A - appended by Tray.io after upload</t>
        </is>
      </c>
      <c r="G72" t="inlineStr">
        <is>
          <t>System lookup</t>
        </is>
      </c>
      <c r="I72" t="inlineStr">
        <is>
          <t>Yes</t>
        </is>
      </c>
      <c r="J72" t="inlineStr">
        <is>
          <t>Yes</t>
        </is>
      </c>
      <c r="M72" t="inlineStr">
        <is>
          <t>Yes</t>
        </is>
      </c>
    </row>
    <row r="73">
      <c r="A73" s="5" t="inlineStr">
        <is>
          <t>Campaign</t>
        </is>
      </c>
      <c r="B73" s="5" t="inlineStr">
        <is>
          <t>Derived</t>
        </is>
      </c>
      <c r="C73" s="5" t="inlineStr">
        <is>
          <t>Connects the touchpoint to campaign-level attribution and marketing sourced pipeline reporting aligned to Workfront Content ID and Channel ID.</t>
        </is>
      </c>
      <c r="D73" s="5" t="inlineStr">
        <is>
          <t>Tray.io / Workfront derived</t>
        </is>
      </c>
      <c r="E73" s="5" t="inlineStr">
        <is>
          <t>Tray.io derives Campaign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Program</t>
        </is>
      </c>
      <c r="B74" t="inlineStr">
        <is>
          <t>Derived</t>
        </is>
      </c>
      <c r="C74" t="inlineStr">
        <is>
          <t>Connects the touchpoint to program-level attribution and marketing sourced pipeline reporting aligned to Workfront Content ID and Channel ID.</t>
        </is>
      </c>
      <c r="D74" t="inlineStr">
        <is>
          <t>Tray.io / Workfront derived</t>
        </is>
      </c>
      <c r="E74" t="inlineStr">
        <is>
          <t>Tray.io derives Program from Workfront Content ID and Workfront Channel ID alignment.</t>
        </is>
      </c>
      <c r="F74" t="inlineStr">
        <is>
          <t>N/A - appended by Tray.io after upload</t>
        </is>
      </c>
      <c r="G74" t="inlineStr">
        <is>
          <t>System lookup</t>
        </is>
      </c>
      <c r="I74" t="inlineStr">
        <is>
          <t>Yes</t>
        </is>
      </c>
      <c r="J74" t="inlineStr">
        <is>
          <t>Yes</t>
        </is>
      </c>
      <c r="M74" t="inlineStr">
        <is>
          <t>Yes</t>
        </is>
      </c>
    </row>
    <row r="75">
      <c r="A75" s="5" t="inlineStr">
        <is>
          <t>Channel Type</t>
        </is>
      </c>
      <c r="B75" s="5" t="inlineStr">
        <is>
          <t>Derived</t>
        </is>
      </c>
      <c r="C75" s="5" t="inlineStr">
        <is>
          <t>Identifies the driving channel for future attribution, operational, and funnel reporting after legacy IDs are decommissioned.</t>
        </is>
      </c>
      <c r="D75" s="5" t="inlineStr">
        <is>
          <t>Tray.io derived</t>
        </is>
      </c>
      <c r="E75" s="5" t="inlineStr">
        <is>
          <t>Tray.io appends from Workfront Channel ID in the Workfront Data tables</t>
        </is>
      </c>
      <c r="F75" s="5" t="inlineStr">
        <is>
          <t>N/A - appended by Tray.io after upload</t>
        </is>
      </c>
      <c r="G75" s="5" t="inlineStr">
        <is>
          <t>Text</t>
        </is>
      </c>
      <c r="H75" s="5" t="n"/>
      <c r="I75" s="5" t="inlineStr">
        <is>
          <t>Yes</t>
        </is>
      </c>
      <c r="J75" s="5" t="inlineStr">
        <is>
          <t>Yes</t>
        </is>
      </c>
      <c r="K75" s="5" t="n"/>
      <c r="L75" s="5" t="n"/>
      <c r="M75" s="5" t="inlineStr">
        <is>
          <t>Yes</t>
        </is>
      </c>
      <c r="Q75" s="5" t="n"/>
    </row>
    <row r="76">
      <c r="A76" t="inlineStr">
        <is>
          <t>Channel Source</t>
        </is>
      </c>
      <c r="B76" t="inlineStr">
        <is>
          <t>Derived</t>
        </is>
      </c>
      <c r="C76" t="inlineStr">
        <is>
          <t>Identifies platform/vendor source for future attribution, operational, and funnel reporting.</t>
        </is>
      </c>
      <c r="D76" t="inlineStr">
        <is>
          <t>Tray.io derived</t>
        </is>
      </c>
      <c r="E76" t="inlineStr">
        <is>
          <t>Tray.io appends from Workfront Channel ID in the Workfront Data tables</t>
        </is>
      </c>
      <c r="F76" t="inlineStr">
        <is>
          <t>N/A - appended by Tray.io after upload</t>
        </is>
      </c>
      <c r="G76" t="inlineStr">
        <is>
          <t>Text</t>
        </is>
      </c>
      <c r="I76" t="inlineStr">
        <is>
          <t>Yes</t>
        </is>
      </c>
      <c r="J76" t="inlineStr">
        <is>
          <t>Yes</t>
        </is>
      </c>
      <c r="L76" t="inlineStr">
        <is>
          <t>Yes</t>
        </is>
      </c>
      <c r="M76" t="inlineStr">
        <is>
          <t>Yes</t>
        </is>
      </c>
    </row>
    <row r="77">
      <c r="A77" s="5" t="inlineStr">
        <is>
          <t>Funnel Stage</t>
        </is>
      </c>
      <c r="B77" s="5" t="inlineStr">
        <is>
          <t>Derived</t>
        </is>
      </c>
      <c r="C77" s="5" t="inlineStr">
        <is>
          <t>Supports funnel-based routing, lead scoring, and operational reporting aligned to Workfront Content ID and Channel ID.</t>
        </is>
      </c>
      <c r="D77" s="5" t="inlineStr">
        <is>
          <t>Tray.io / Workfront derived</t>
        </is>
      </c>
      <c r="E77" s="5" t="inlineStr">
        <is>
          <t>Tray.io derives Funnel Stage from Workfront Content ID and Workfront Channel ID alignment.</t>
        </is>
      </c>
      <c r="F77" s="5" t="inlineStr">
        <is>
          <t>N/A - appended by Tray.io after upload</t>
        </is>
      </c>
      <c r="G77" s="5" t="inlineStr">
        <is>
          <t>System lookup</t>
        </is>
      </c>
      <c r="H77" s="5" t="n"/>
      <c r="I77" s="5" t="inlineStr">
        <is>
          <t>Yes</t>
        </is>
      </c>
      <c r="J77" s="5" t="inlineStr">
        <is>
          <t>Yes</t>
        </is>
      </c>
      <c r="K77" s="5" t="n"/>
      <c r="L77" s="5" t="n"/>
      <c r="M77" s="5" t="inlineStr">
        <is>
          <t>Yes</t>
        </is>
      </c>
      <c r="Q77" s="5" t="n"/>
    </row>
    <row r="78">
      <c r="A78" t="inlineStr">
        <is>
          <t>Workfront Content ID</t>
        </is>
      </c>
      <c r="B78" t="inlineStr">
        <is>
          <t>Required</t>
        </is>
      </c>
      <c r="C78" t="inlineStr">
        <is>
          <t>Connects the upload to the Workfront Content taxonomy for durable operational and attribution alignment.</t>
        </is>
      </c>
      <c r="D78" t="inlineStr">
        <is>
          <t>Marketing team input</t>
        </is>
      </c>
      <c r="F78" t="inlineStr">
        <is>
          <t>What is the Workfront Content ID?</t>
        </is>
      </c>
      <c r="G78" t="inlineStr">
        <is>
          <t>Text</t>
        </is>
      </c>
      <c r="H78" t="inlineStr">
        <is>
          <t>Would the manual Upload use cases really capture a Workfront Content ID</t>
        </is>
      </c>
      <c r="I78" t="inlineStr">
        <is>
          <t>Yes</t>
        </is>
      </c>
      <c r="J78" t="inlineStr">
        <is>
          <t>Yes</t>
        </is>
      </c>
      <c r="M78" t="inlineStr">
        <is>
          <t>Yes</t>
        </is>
      </c>
    </row>
    <row r="79">
      <c r="A79" s="5" t="inlineStr">
        <is>
          <t>Content Type</t>
        </is>
      </c>
      <c r="B79" s="5" t="inlineStr">
        <is>
          <t>Derived</t>
        </is>
      </c>
      <c r="C79" s="5" t="inlineStr">
        <is>
          <t>Identifies the content classification for future attribution, operational, and funnel reporting aligned to Workfront Content ID.</t>
        </is>
      </c>
      <c r="D79" s="5" t="inlineStr">
        <is>
          <t>Tray.io / Workfront derived</t>
        </is>
      </c>
      <c r="E79" s="5" t="inlineStr">
        <is>
          <t>Tray.io derives Content Type from Workfront Content ID alignment.</t>
        </is>
      </c>
      <c r="F79" s="5" t="inlineStr">
        <is>
          <t>N/A - appended by Tray.io after upload</t>
        </is>
      </c>
      <c r="G79" s="5" t="inlineStr">
        <is>
          <t>System lookup</t>
        </is>
      </c>
      <c r="H79" s="5" t="inlineStr">
        <is>
          <t>This field relates to Web Content Type, Webinar Type and Event Type from Workfront.</t>
        </is>
      </c>
      <c r="I79" s="5" t="inlineStr">
        <is>
          <t>Yes</t>
        </is>
      </c>
      <c r="J79" s="5" t="inlineStr">
        <is>
          <t>Yes</t>
        </is>
      </c>
      <c r="K79" s="5" t="n"/>
      <c r="L79" s="5" t="n"/>
      <c r="M79" s="5" t="inlineStr">
        <is>
          <t>Yes</t>
        </is>
      </c>
      <c r="Q79" s="5" t="n"/>
    </row>
    <row r="80">
      <c r="A80" t="inlineStr">
        <is>
          <t>Vendor</t>
        </is>
      </c>
    </row>
    <row r="81">
      <c r="A81" s="6" t="inlineStr">
        <is>
          <t>7 - Event Tracking Parameters</t>
        </is>
      </c>
    </row>
    <row r="82">
      <c r="A82" s="5" t="inlineStr">
        <is>
          <t>Event ID / EID</t>
        </is>
      </c>
      <c r="B82" s="5" t="inlineStr">
        <is>
          <t>Optional</t>
        </is>
      </c>
      <c r="C82" s="5" t="inlineStr">
        <is>
          <t>Supports current-template tracking and downstream operational, attribution, and funnel reporting during the transition period.</t>
        </is>
      </c>
      <c r="D82" s="5" t="inlineStr">
        <is>
          <t>Marketing team input</t>
        </is>
      </c>
      <c r="E82" s="5" t="inlineStr">
        <is>
          <t>If source is PathFactory or Cvent then reject the data upload for Attendees.  Webex uploads must align the EID to the Registration data</t>
        </is>
      </c>
      <c r="F82" s="5" t="inlineStr">
        <is>
          <t>Which Event ID is this upload for?</t>
        </is>
      </c>
      <c r="G82" s="5" t="inlineStr">
        <is>
          <t>Picklist/Text</t>
        </is>
      </c>
      <c r="H82" s="5" t="inlineStr">
        <is>
          <t>Which use cases need and EID and which rely on Offer Information</t>
        </is>
      </c>
      <c r="I82" s="5" t="inlineStr">
        <is>
          <t>Yes</t>
        </is>
      </c>
      <c r="J82" s="5" t="inlineStr">
        <is>
          <t>Yes</t>
        </is>
      </c>
      <c r="K82" s="5" t="n"/>
      <c r="L82" s="5" t="n"/>
      <c r="M82" s="5" t="inlineStr">
        <is>
          <t>Yes</t>
        </is>
      </c>
      <c r="Q82" s="5" t="n"/>
    </row>
    <row r="83">
      <c r="A83" t="inlineStr">
        <is>
          <t>Event Name</t>
        </is>
      </c>
      <c r="B83" t="inlineStr">
        <is>
          <t>Derived</t>
        </is>
      </c>
      <c r="C83" t="inlineStr">
        <is>
          <t>Human-readable event reporting and validation without requiring uploaders to re-type event names.</t>
        </is>
      </c>
      <c r="D83" t="inlineStr">
        <is>
          <t>Tray.io / Global Events Table derived</t>
        </is>
      </c>
      <c r="E83" t="inlineStr">
        <is>
          <t>Tray.io appends from Global Events Table using Event ID / EID.</t>
        </is>
      </c>
      <c r="F83" t="inlineStr">
        <is>
          <t>N/A - appended by Tray.io after upload</t>
        </is>
      </c>
      <c r="G83" t="inlineStr">
        <is>
          <t>Picklist/Text</t>
        </is>
      </c>
      <c r="H83" t="inlineStr">
        <is>
          <t>Which use cases need and EID and which rely on Offer Information</t>
        </is>
      </c>
      <c r="J83" t="inlineStr">
        <is>
          <t>Yes</t>
        </is>
      </c>
      <c r="M83" t="inlineStr">
        <is>
          <t>Yes</t>
        </is>
      </c>
    </row>
    <row r="84">
      <c r="A84" s="5" t="inlineStr">
        <is>
          <t>Event Attended</t>
        </is>
      </c>
    </row>
    <row r="85">
      <c r="A85" s="6" t="inlineStr">
        <is>
          <t>8 - Activity Detail</t>
        </is>
      </c>
    </row>
    <row r="86">
      <c r="A86" t="inlineStr">
        <is>
          <t>On-Demand View Date</t>
        </is>
      </c>
      <c r="B86" t="inlineStr">
        <is>
          <t>Required</t>
        </is>
      </c>
      <c r="C86" t="inlineStr">
        <is>
          <t>Supports long-tail content attribution and scoring recency.</t>
        </is>
      </c>
      <c r="D86" t="inlineStr">
        <is>
          <t>Tray.io  derived</t>
        </is>
      </c>
      <c r="E86" t="inlineStr">
        <is>
          <t>Tray.io appends webinar date as Transaction Date</t>
        </is>
      </c>
      <c r="F86" t="inlineStr">
        <is>
          <t>N/A - appended by Tray.io after upload</t>
        </is>
      </c>
      <c r="G86" t="inlineStr">
        <is>
          <t>System lookup</t>
        </is>
      </c>
      <c r="H86" t="inlineStr">
        <is>
          <t>Confirm if OK to derive Webinar Date from Transaction Date</t>
        </is>
      </c>
      <c r="J86" t="inlineStr">
        <is>
          <t>Yes</t>
        </is>
      </c>
      <c r="M86" t="inlineStr">
        <is>
          <t>Yes</t>
        </is>
      </c>
    </row>
    <row r="87">
      <c r="A87" s="5" t="inlineStr">
        <is>
          <t>Transaction Date</t>
        </is>
      </c>
      <c r="B87" s="5" t="inlineStr">
        <is>
          <t>Required</t>
        </is>
      </c>
      <c r="C87" s="5" t="inlineStr">
        <is>
          <t>Common date field for attribution sequencing, operational SLA reporting, and lead scoring time decay.</t>
        </is>
      </c>
      <c r="D87" s="5" t="inlineStr">
        <is>
          <t>Marketing team input</t>
        </is>
      </c>
      <c r="E87" s="5" t="inlineStr">
        <is>
          <t>Provided in uploaded file; may represent registration date, attendance date, scan date, meeting date, view date, form submission date, or follow-up request date.</t>
        </is>
      </c>
      <c r="F87" s="5" t="inlineStr">
        <is>
          <t>When did this activity happen?</t>
        </is>
      </c>
      <c r="G87" s="5" t="inlineStr">
        <is>
          <t>Date</t>
        </is>
      </c>
      <c r="H87" s="5" t="n"/>
      <c r="I87" s="5" t="inlineStr">
        <is>
          <t>Yes</t>
        </is>
      </c>
      <c r="J87" s="5" t="inlineStr">
        <is>
          <t>Yes</t>
        </is>
      </c>
      <c r="K87" s="5" t="n"/>
      <c r="L87" s="5" t="n"/>
      <c r="M87" s="5" t="inlineStr">
        <is>
          <t>Yes</t>
        </is>
      </c>
      <c r="Q87" s="5" t="n"/>
    </row>
    <row r="88">
      <c r="A88" t="inlineStr">
        <is>
          <t>Customer Comments</t>
        </is>
      </c>
      <c r="B88" t="inlineStr">
        <is>
          <t>Optional</t>
        </is>
      </c>
      <c r="C88" t="inlineStr">
        <is>
          <t>Supports activity context, seller follow-up, and operational validation.</t>
        </is>
      </c>
      <c r="D88" t="inlineStr">
        <is>
          <t>Marketing team input</t>
        </is>
      </c>
      <c r="E88" t="inlineStr">
        <is>
          <t xml:space="preserve"> Maximum of 3200 Characters Please add any information obtained from the customer that can be passed to the seller to enhance the converstation</t>
        </is>
      </c>
      <c r="F88" t="inlineStr">
        <is>
          <t>What context or comments should be passed to the seller?</t>
        </is>
      </c>
      <c r="G88" t="inlineStr">
        <is>
          <t>Text</t>
        </is>
      </c>
      <c r="H88" t="inlineStr">
        <is>
          <t>Do we need to capture this for Non-Hand Raisers?</t>
        </is>
      </c>
      <c r="M88" t="inlineStr">
        <is>
          <t>Yes</t>
        </is>
      </c>
    </row>
    <row r="89">
      <c r="A89" s="5" t="inlineStr">
        <is>
          <t>Privacy ID</t>
        </is>
      </c>
      <c r="B89" s="5" t="inlineStr">
        <is>
          <t>Required</t>
        </is>
      </c>
      <c r="C89" s="5" t="inlineStr">
        <is>
          <t>Supports privacy, compliance, auditability, and source-system traceability for non-1st Party Events activity.</t>
        </is>
      </c>
      <c r="D89" s="5" t="inlineStr">
        <is>
          <t>Marketing team input</t>
        </is>
      </c>
      <c r="E89" s="5" t="inlineStr">
        <is>
          <t>Capture for non-1st Party Events use cases when supplied by the source activity or vendor.</t>
        </is>
      </c>
      <c r="F89" s="5" t="inlineStr">
        <is>
          <t>What is the Privacy ID for this activity?</t>
        </is>
      </c>
      <c r="G89" s="5" t="inlineStr">
        <is>
          <t>Text</t>
        </is>
      </c>
      <c r="H89" s="5" t="n"/>
      <c r="I89" s="5" t="n"/>
      <c r="J89" s="5" t="n"/>
      <c r="K89" s="5" t="n"/>
      <c r="L89" s="5" t="n"/>
      <c r="M89" s="5" t="inlineStr">
        <is>
          <t>Yes</t>
        </is>
      </c>
      <c r="Q89" s="5" t="n"/>
    </row>
  </sheetData>
  <mergeCells count="11">
    <mergeCell ref="A56:Q56"/>
    <mergeCell ref="A30:Q30"/>
    <mergeCell ref="A11:Q11"/>
    <mergeCell ref="A49:Q49"/>
    <mergeCell ref="B3:Q3"/>
    <mergeCell ref="A1:Q1"/>
    <mergeCell ref="B5:Q5"/>
    <mergeCell ref="A69:Q69"/>
    <mergeCell ref="B4:Q4"/>
    <mergeCell ref="A80:Q80"/>
    <mergeCell ref="A84:Q84"/>
  </mergeCells>
  <dataValidations count="1">
    <dataValidation sqref="Q8:Q89"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28.xml><?xml version="1.0" encoding="utf-8"?>
<worksheet xmlns="http://schemas.openxmlformats.org/spreadsheetml/2006/main">
  <sheetPr>
    <outlinePr summaryBelow="1" summaryRight="1"/>
    <pageSetUpPr/>
  </sheetPr>
  <dimension ref="A1:Q88"/>
  <sheetViews>
    <sheetView workbookViewId="0">
      <pane ySplit="6" topLeftCell="A7" activePane="bottomLeft" state="frozen"/>
      <selection pane="bottomLeft" activeCell="A1" sqref="A1"/>
    </sheetView>
  </sheetViews>
  <sheetFormatPr baseColWidth="8" defaultRowHeight="14.25"/>
  <cols>
    <col width="50" customWidth="1" style="7" min="1" max="1"/>
    <col width="17"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UC24 — Manual Uploads | Non-Hand Raiser | Webinars | Registered</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Webinars</t>
        </is>
      </c>
    </row>
    <row r="6">
      <c r="A6" s="4" t="inlineStr">
        <is>
          <t>Activity Type</t>
        </is>
      </c>
      <c r="B6" t="inlineStr">
        <is>
          <t>Registered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Required</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Which Drive To ID is associated with this activity?</t>
        </is>
      </c>
      <c r="G63" t="inlineStr">
        <is>
          <t>Text</t>
        </is>
      </c>
      <c r="H63" t="inlineStr">
        <is>
          <t>Need to validate the default DTID to use to ensure correct MSP Alignment</t>
        </is>
      </c>
      <c r="I63" t="inlineStr">
        <is>
          <t>Yes</t>
        </is>
      </c>
      <c r="J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Required</t>
        </is>
      </c>
      <c r="C66" s="5" t="inlineStr">
        <is>
          <t>Maintains legacy offer attribution and seller/content context during transition.</t>
        </is>
      </c>
      <c r="D66" s="5" t="inlineStr">
        <is>
          <t>Marketing team input</t>
        </is>
      </c>
      <c r="E66" s="5" t="inlineStr">
        <is>
          <t>Capture while downstream offer/content attribution still requires it; retire after future-state identifiers cover the reporting need.</t>
        </is>
      </c>
      <c r="F66" s="5" t="inlineStr">
        <is>
          <t>What is the Offer ID?</t>
        </is>
      </c>
      <c r="G66" s="5" t="inlineStr">
        <is>
          <t>Text</t>
        </is>
      </c>
      <c r="H66" s="5" t="inlineStr">
        <is>
          <t>Need to confirm rules around which vendors can be manually uploaded</t>
        </is>
      </c>
      <c r="I66" s="5" t="inlineStr">
        <is>
          <t>Yes</t>
        </is>
      </c>
      <c r="J66" s="5" t="inlineStr">
        <is>
          <t>Yes</t>
        </is>
      </c>
      <c r="K66" s="5" t="n"/>
      <c r="L66" s="5" t="n"/>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 if available</t>
        </is>
      </c>
      <c r="G67" t="inlineStr">
        <is>
          <t>System lookup</t>
        </is>
      </c>
      <c r="J67" t="inlineStr">
        <is>
          <t>Yes</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 if available</t>
        </is>
      </c>
      <c r="G68" s="5" t="inlineStr">
        <is>
          <t>System lookup</t>
        </is>
      </c>
      <c r="H68" s="5" t="n"/>
      <c r="I68" s="5" t="n"/>
      <c r="J68" s="5" t="inlineStr">
        <is>
          <t>Yes</t>
        </is>
      </c>
      <c r="K68" s="5" t="n"/>
      <c r="L68" s="5" t="n"/>
      <c r="M68" s="5" t="inlineStr">
        <is>
          <t>Yes</t>
        </is>
      </c>
      <c r="Q68" s="5" t="n"/>
    </row>
    <row r="69">
      <c r="A69" t="inlineStr">
        <is>
          <t>Offer Type</t>
        </is>
      </c>
    </row>
    <row r="70">
      <c r="A70" s="6" t="inlineStr">
        <is>
          <t>6 - Future Tracking Parameters</t>
        </is>
      </c>
    </row>
    <row r="71">
      <c r="A71" s="5" t="inlineStr">
        <is>
          <t>Workfront Channel ID</t>
        </is>
      </c>
      <c r="B71" s="5" t="inlineStr">
        <is>
          <t>Required</t>
        </is>
      </c>
      <c r="C71" s="5" t="inlineStr">
        <is>
          <t>Connects the upload to the Workfront channel taxonomy for durable operational and attribution alignment.</t>
        </is>
      </c>
      <c r="D71" s="5" t="inlineStr">
        <is>
          <t>Marketing team input</t>
        </is>
      </c>
      <c r="E71" s="5" t="n"/>
      <c r="F71" s="5" t="inlineStr">
        <is>
          <t>What is the Workfront Channel ID?</t>
        </is>
      </c>
      <c r="G71" s="5" t="inlineStr">
        <is>
          <t>Text</t>
        </is>
      </c>
      <c r="H71" s="5" t="inlineStr">
        <is>
          <t>Will events data come from Workfront, or can all of this information come from the Global Events Table?</t>
        </is>
      </c>
      <c r="I71" s="5" t="inlineStr">
        <is>
          <t>Yes</t>
        </is>
      </c>
      <c r="J71" s="5" t="inlineStr">
        <is>
          <t>Yes</t>
        </is>
      </c>
      <c r="K71" s="5" t="n"/>
      <c r="L71" s="5" t="n"/>
      <c r="M71" s="5" t="inlineStr">
        <is>
          <t>Yes</t>
        </is>
      </c>
      <c r="Q71" s="5" t="n"/>
    </row>
    <row r="72">
      <c r="A72" t="inlineStr">
        <is>
          <t>Primary Technology</t>
        </is>
      </c>
      <c r="B72" t="inlineStr">
        <is>
          <t>Derived</t>
        </is>
      </c>
      <c r="C72" t="inlineStr">
        <is>
          <t>Identifies the primary technology associated with the content for future attribution, operational, and seller enablement reporting.</t>
        </is>
      </c>
      <c r="D72" t="inlineStr">
        <is>
          <t>Tray.io / Workfront derived</t>
        </is>
      </c>
      <c r="E72" t="inlineStr">
        <is>
          <t>Tray.io derives Primary Technology from Workfront Content ID and Workfront Channel ID alignment.</t>
        </is>
      </c>
      <c r="F72" t="inlineStr">
        <is>
          <t>N/A - appended by Tray.io after upload</t>
        </is>
      </c>
      <c r="G72" t="inlineStr">
        <is>
          <t>System lookup</t>
        </is>
      </c>
      <c r="I72" t="inlineStr">
        <is>
          <t>Yes</t>
        </is>
      </c>
      <c r="J72" t="inlineStr">
        <is>
          <t>Yes</t>
        </is>
      </c>
      <c r="M72" t="inlineStr">
        <is>
          <t>Yes</t>
        </is>
      </c>
    </row>
    <row r="73">
      <c r="A73" s="5" t="inlineStr">
        <is>
          <t>Campaign</t>
        </is>
      </c>
      <c r="B73" s="5" t="inlineStr">
        <is>
          <t>Derived</t>
        </is>
      </c>
      <c r="C73" s="5" t="inlineStr">
        <is>
          <t>Connects the touchpoint to campaign-level attribution and marketing sourced pipeline reporting aligned to Workfront Content ID and Channel ID.</t>
        </is>
      </c>
      <c r="D73" s="5" t="inlineStr">
        <is>
          <t>Tray.io / Workfront derived</t>
        </is>
      </c>
      <c r="E73" s="5" t="inlineStr">
        <is>
          <t>Tray.io derives Campaign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Program</t>
        </is>
      </c>
      <c r="B74" t="inlineStr">
        <is>
          <t>Derived</t>
        </is>
      </c>
      <c r="C74" t="inlineStr">
        <is>
          <t>Connects the touchpoint to program-level attribution and marketing sourced pipeline reporting aligned to Workfront Content ID and Channel ID.</t>
        </is>
      </c>
      <c r="D74" t="inlineStr">
        <is>
          <t>Tray.io / Workfront derived</t>
        </is>
      </c>
      <c r="E74" t="inlineStr">
        <is>
          <t>Tray.io derives Program from Workfront Content ID and Workfront Channel ID alignment.</t>
        </is>
      </c>
      <c r="F74" t="inlineStr">
        <is>
          <t>N/A - appended by Tray.io after upload</t>
        </is>
      </c>
      <c r="G74" t="inlineStr">
        <is>
          <t>System lookup</t>
        </is>
      </c>
      <c r="I74" t="inlineStr">
        <is>
          <t>Yes</t>
        </is>
      </c>
      <c r="J74" t="inlineStr">
        <is>
          <t>Yes</t>
        </is>
      </c>
      <c r="M74" t="inlineStr">
        <is>
          <t>Yes</t>
        </is>
      </c>
    </row>
    <row r="75">
      <c r="A75" s="5" t="inlineStr">
        <is>
          <t>Channel Type</t>
        </is>
      </c>
      <c r="B75" s="5" t="inlineStr">
        <is>
          <t>Derived</t>
        </is>
      </c>
      <c r="C75" s="5" t="inlineStr">
        <is>
          <t>Identifies the driving channel for future attribution, operational, and funnel reporting after legacy IDs are decommissioned.</t>
        </is>
      </c>
      <c r="D75" s="5" t="inlineStr">
        <is>
          <t>Tray.io derived</t>
        </is>
      </c>
      <c r="E75" s="5" t="inlineStr">
        <is>
          <t>Tray.io appends from Workfront Channel ID in the Workfront Data tables</t>
        </is>
      </c>
      <c r="F75" s="5" t="inlineStr">
        <is>
          <t>N/A - appended by Tray.io after upload</t>
        </is>
      </c>
      <c r="G75" s="5" t="inlineStr">
        <is>
          <t>Text</t>
        </is>
      </c>
      <c r="H75" s="5" t="n"/>
      <c r="I75" s="5" t="inlineStr">
        <is>
          <t>Yes</t>
        </is>
      </c>
      <c r="J75" s="5" t="inlineStr">
        <is>
          <t>Yes</t>
        </is>
      </c>
      <c r="K75" s="5" t="n"/>
      <c r="L75" s="5" t="n"/>
      <c r="M75" s="5" t="inlineStr">
        <is>
          <t>Yes</t>
        </is>
      </c>
      <c r="Q75" s="5" t="n"/>
    </row>
    <row r="76">
      <c r="A76" t="inlineStr">
        <is>
          <t>Channel Source</t>
        </is>
      </c>
      <c r="B76" t="inlineStr">
        <is>
          <t>Derived</t>
        </is>
      </c>
      <c r="C76" t="inlineStr">
        <is>
          <t>Identifies platform/vendor source for future attribution, operational, and funnel reporting.</t>
        </is>
      </c>
      <c r="D76" t="inlineStr">
        <is>
          <t>Tray.io derived</t>
        </is>
      </c>
      <c r="E76" t="inlineStr">
        <is>
          <t>Tray.io appends from Workfront Channel ID in the Workfront Data tables</t>
        </is>
      </c>
      <c r="F76" t="inlineStr">
        <is>
          <t>N/A - appended by Tray.io after upload</t>
        </is>
      </c>
      <c r="G76" t="inlineStr">
        <is>
          <t>Text</t>
        </is>
      </c>
      <c r="I76" t="inlineStr">
        <is>
          <t>Yes</t>
        </is>
      </c>
      <c r="J76" t="inlineStr">
        <is>
          <t>Yes</t>
        </is>
      </c>
      <c r="L76" t="inlineStr">
        <is>
          <t>Yes</t>
        </is>
      </c>
      <c r="M76" t="inlineStr">
        <is>
          <t>Yes</t>
        </is>
      </c>
    </row>
    <row r="77">
      <c r="A77" s="5" t="inlineStr">
        <is>
          <t>Funnel Stage</t>
        </is>
      </c>
      <c r="B77" s="5" t="inlineStr">
        <is>
          <t>Derived</t>
        </is>
      </c>
      <c r="C77" s="5" t="inlineStr">
        <is>
          <t>Supports funnel-based routing, lead scoring, and operational reporting aligned to Workfront Content ID and Channel ID.</t>
        </is>
      </c>
      <c r="D77" s="5" t="inlineStr">
        <is>
          <t>Tray.io / Workfront derived</t>
        </is>
      </c>
      <c r="E77" s="5" t="inlineStr">
        <is>
          <t>Tray.io derives Funnel Stage from Workfront Content ID and Workfront Channel ID alignment.</t>
        </is>
      </c>
      <c r="F77" s="5" t="inlineStr">
        <is>
          <t>N/A - appended by Tray.io after upload</t>
        </is>
      </c>
      <c r="G77" s="5" t="inlineStr">
        <is>
          <t>System lookup</t>
        </is>
      </c>
      <c r="H77" s="5" t="n"/>
      <c r="I77" s="5" t="inlineStr">
        <is>
          <t>Yes</t>
        </is>
      </c>
      <c r="J77" s="5" t="inlineStr">
        <is>
          <t>Yes</t>
        </is>
      </c>
      <c r="K77" s="5" t="n"/>
      <c r="L77" s="5" t="n"/>
      <c r="M77" s="5" t="inlineStr">
        <is>
          <t>Yes</t>
        </is>
      </c>
      <c r="Q77" s="5" t="n"/>
    </row>
    <row r="78">
      <c r="A78" t="inlineStr">
        <is>
          <t>Workfront Content ID</t>
        </is>
      </c>
      <c r="B78" t="inlineStr">
        <is>
          <t>Required</t>
        </is>
      </c>
      <c r="C78" t="inlineStr">
        <is>
          <t>Connects the upload to the Workfront Content taxonomy for durable operational and attribution alignment.</t>
        </is>
      </c>
      <c r="D78" t="inlineStr">
        <is>
          <t>Marketing team input</t>
        </is>
      </c>
      <c r="F78" t="inlineStr">
        <is>
          <t>What is the Workfront Content ID?</t>
        </is>
      </c>
      <c r="G78" t="inlineStr">
        <is>
          <t>Text</t>
        </is>
      </c>
      <c r="H78" t="inlineStr">
        <is>
          <t>Would the manual Upload use cases really capture a Workfront Content ID</t>
        </is>
      </c>
      <c r="I78" t="inlineStr">
        <is>
          <t>Yes</t>
        </is>
      </c>
      <c r="J78" t="inlineStr">
        <is>
          <t>Yes</t>
        </is>
      </c>
      <c r="M78" t="inlineStr">
        <is>
          <t>Yes</t>
        </is>
      </c>
    </row>
    <row r="79">
      <c r="A79" s="5" t="inlineStr">
        <is>
          <t>Content Type</t>
        </is>
      </c>
      <c r="B79" s="5" t="inlineStr">
        <is>
          <t>Derived</t>
        </is>
      </c>
      <c r="C79" s="5" t="inlineStr">
        <is>
          <t>Identifies the content classification for future attribution, operational, and funnel reporting aligned to Workfront Content ID.</t>
        </is>
      </c>
      <c r="D79" s="5" t="inlineStr">
        <is>
          <t>Tray.io / Workfront derived</t>
        </is>
      </c>
      <c r="E79" s="5" t="inlineStr">
        <is>
          <t>Tray.io derives Content Type from Workfront Content ID alignment.</t>
        </is>
      </c>
      <c r="F79" s="5" t="inlineStr">
        <is>
          <t>N/A - appended by Tray.io after upload</t>
        </is>
      </c>
      <c r="G79" s="5" t="inlineStr">
        <is>
          <t>System lookup</t>
        </is>
      </c>
      <c r="H79" s="5" t="inlineStr">
        <is>
          <t>This field relates to Web Content Type, Webinar Type and Event Type from Workfront.</t>
        </is>
      </c>
      <c r="I79" s="5" t="inlineStr">
        <is>
          <t>Yes</t>
        </is>
      </c>
      <c r="J79" s="5" t="inlineStr">
        <is>
          <t>Yes</t>
        </is>
      </c>
      <c r="K79" s="5" t="n"/>
      <c r="L79" s="5" t="n"/>
      <c r="M79" s="5" t="inlineStr">
        <is>
          <t>Yes</t>
        </is>
      </c>
      <c r="Q79" s="5" t="n"/>
    </row>
    <row r="80">
      <c r="A80" t="inlineStr">
        <is>
          <t>Vendor</t>
        </is>
      </c>
    </row>
    <row r="81">
      <c r="A81" s="6" t="inlineStr">
        <is>
          <t>7 - Event Tracking Parameters</t>
        </is>
      </c>
    </row>
    <row r="82">
      <c r="A82" s="5" t="inlineStr">
        <is>
          <t>Event ID / EID</t>
        </is>
      </c>
      <c r="B82" s="5" t="inlineStr">
        <is>
          <t>Optional</t>
        </is>
      </c>
      <c r="C82" s="5" t="inlineStr">
        <is>
          <t>Supports current-template tracking and downstream operational, attribution, and funnel reporting during the transition period.</t>
        </is>
      </c>
      <c r="D82" s="5" t="inlineStr">
        <is>
          <t>Marketing team input</t>
        </is>
      </c>
      <c r="E82" s="5" t="inlineStr">
        <is>
          <t>If source is PathFactory, Webex or Cvent then reject the data upload for registrations</t>
        </is>
      </c>
      <c r="F82" s="5" t="inlineStr">
        <is>
          <t>Which Event ID is this upload for?</t>
        </is>
      </c>
      <c r="G82" s="5" t="inlineStr">
        <is>
          <t>Picklist/Text</t>
        </is>
      </c>
      <c r="H82" s="5" t="inlineStr">
        <is>
          <t>Which use cases need and EID and which rely on Offer Information</t>
        </is>
      </c>
      <c r="I82" s="5" t="inlineStr">
        <is>
          <t>Yes</t>
        </is>
      </c>
      <c r="J82" s="5" t="inlineStr">
        <is>
          <t>Yes</t>
        </is>
      </c>
      <c r="K82" s="5" t="n"/>
      <c r="L82" s="5" t="n"/>
      <c r="M82" s="5" t="inlineStr">
        <is>
          <t>Yes</t>
        </is>
      </c>
      <c r="Q82" s="5" t="n"/>
    </row>
    <row r="83">
      <c r="A83" t="inlineStr">
        <is>
          <t>Event Name</t>
        </is>
      </c>
    </row>
    <row r="84">
      <c r="A84" s="6" t="inlineStr">
        <is>
          <t>8 - Activity Detail</t>
        </is>
      </c>
    </row>
    <row r="85">
      <c r="A85" s="5" t="inlineStr">
        <is>
          <t>Registration Date</t>
        </is>
      </c>
      <c r="B85" s="5" t="inlineStr">
        <is>
          <t>Required</t>
        </is>
      </c>
      <c r="C85" s="5" t="inlineStr">
        <is>
          <t>Captures digital registration intent for attribution and scoring decay.</t>
        </is>
      </c>
      <c r="D85" s="5" t="inlineStr">
        <is>
          <t>Marketing team input</t>
        </is>
      </c>
      <c r="E85" s="5" t="inlineStr">
        <is>
          <t>Provided in uploaded file or represented by generic Activity Date.</t>
        </is>
      </c>
      <c r="F85" s="5" t="inlineStr">
        <is>
          <t>When did the contact register?</t>
        </is>
      </c>
      <c r="G85" s="5" t="inlineStr">
        <is>
          <t>Date</t>
        </is>
      </c>
      <c r="H85" s="5" t="n"/>
      <c r="I85" s="5" t="inlineStr">
        <is>
          <t>Yes</t>
        </is>
      </c>
      <c r="J85" s="5" t="inlineStr">
        <is>
          <t>Yes</t>
        </is>
      </c>
      <c r="K85" s="5" t="n"/>
      <c r="L85" s="5" t="n"/>
      <c r="M85" s="5" t="inlineStr">
        <is>
          <t>Yes</t>
        </is>
      </c>
      <c r="Q85" s="5" t="n"/>
    </row>
    <row r="86">
      <c r="A86" t="inlineStr">
        <is>
          <t>Transaction Date</t>
        </is>
      </c>
      <c r="B86" t="inlineStr">
        <is>
          <t>Required</t>
        </is>
      </c>
      <c r="C86" t="inlineStr">
        <is>
          <t>Common date field for attribution sequencing, operational SLA reporting, and lead scoring time decay.</t>
        </is>
      </c>
      <c r="D86" t="inlineStr">
        <is>
          <t>Marketing team input</t>
        </is>
      </c>
      <c r="E86" t="inlineStr">
        <is>
          <t>Provided in uploaded file; may represent registration date, attendance date, scan date, meeting date, view date, form submission date, or follow-up request date.</t>
        </is>
      </c>
      <c r="F86" t="inlineStr">
        <is>
          <t>When did this activity happen?</t>
        </is>
      </c>
      <c r="G86" t="inlineStr">
        <is>
          <t>Date</t>
        </is>
      </c>
      <c r="I86" t="inlineStr">
        <is>
          <t>Yes</t>
        </is>
      </c>
      <c r="J86" t="inlineStr">
        <is>
          <t>Yes</t>
        </is>
      </c>
      <c r="M86" t="inlineStr">
        <is>
          <t>Yes</t>
        </is>
      </c>
    </row>
    <row r="87">
      <c r="A87" s="5" t="inlineStr">
        <is>
          <t>Customer Comments</t>
        </is>
      </c>
      <c r="B87" s="5" t="inlineStr">
        <is>
          <t>Optional</t>
        </is>
      </c>
      <c r="C87" s="5" t="inlineStr">
        <is>
          <t>Supports activity context, seller follow-up, and operational validation.</t>
        </is>
      </c>
      <c r="D87" s="5" t="inlineStr">
        <is>
          <t>Marketing team input</t>
        </is>
      </c>
      <c r="E87" s="5" t="inlineStr">
        <is>
          <t xml:space="preserve"> Maximum of 3200 Characters Please add any information obtained from the customer that can be passed to the seller to enhance the converstation</t>
        </is>
      </c>
      <c r="F87" s="5" t="inlineStr">
        <is>
          <t>What context or comments should be passed to the seller?</t>
        </is>
      </c>
      <c r="G87" s="5" t="inlineStr">
        <is>
          <t>Text</t>
        </is>
      </c>
      <c r="H87" s="5" t="inlineStr">
        <is>
          <t>Do we need to capture this for Non-Hand Raisers?</t>
        </is>
      </c>
      <c r="I87" s="5" t="n"/>
      <c r="J87" s="5" t="n"/>
      <c r="K87" s="5" t="n"/>
      <c r="L87" s="5" t="n"/>
      <c r="M87" s="5" t="inlineStr">
        <is>
          <t>Yes</t>
        </is>
      </c>
      <c r="Q87" s="5" t="n"/>
    </row>
    <row r="88">
      <c r="A88" t="inlineStr">
        <is>
          <t>Privacy ID</t>
        </is>
      </c>
      <c r="B88" t="inlineStr">
        <is>
          <t>Required</t>
        </is>
      </c>
      <c r="C88" t="inlineStr">
        <is>
          <t>Supports privacy, compliance, auditability, and source-system traceability for non-1st Party Events activity.</t>
        </is>
      </c>
      <c r="D88" t="inlineStr">
        <is>
          <t>Marketing team input</t>
        </is>
      </c>
      <c r="E88" t="inlineStr">
        <is>
          <t>Capture for non-1st Party Events use cases when supplied by the source activity or vendor.</t>
        </is>
      </c>
      <c r="F88" t="inlineStr">
        <is>
          <t>What is the Privacy ID for this activity?</t>
        </is>
      </c>
      <c r="G88" t="inlineStr">
        <is>
          <t>Text</t>
        </is>
      </c>
      <c r="M88" t="inlineStr">
        <is>
          <t>Yes</t>
        </is>
      </c>
    </row>
  </sheetData>
  <mergeCells count="11">
    <mergeCell ref="A56:Q56"/>
    <mergeCell ref="A30:Q30"/>
    <mergeCell ref="A83:Q83"/>
    <mergeCell ref="A11:Q11"/>
    <mergeCell ref="A49:Q49"/>
    <mergeCell ref="A1:Q1"/>
    <mergeCell ref="B5:Q5"/>
    <mergeCell ref="A69:Q69"/>
    <mergeCell ref="B4:Q4"/>
    <mergeCell ref="A80:Q80"/>
    <mergeCell ref="B3:Q3"/>
  </mergeCells>
  <dataValidations count="1">
    <dataValidation sqref="Q8:Q88"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29.xml><?xml version="1.0" encoding="utf-8"?>
<worksheet xmlns="http://schemas.openxmlformats.org/spreadsheetml/2006/main">
  <sheetPr>
    <outlinePr summaryBelow="1" summaryRight="1"/>
    <pageSetUpPr/>
  </sheetPr>
  <dimension ref="A1:Q105"/>
  <sheetViews>
    <sheetView workbookViewId="0">
      <pane ySplit="6" topLeftCell="A7" activePane="bottomLeft" state="frozen"/>
      <selection pane="bottomLeft" activeCell="A1" sqref="A1"/>
    </sheetView>
  </sheetViews>
  <sheetFormatPr baseColWidth="8" defaultRowHeight="14.25"/>
  <cols>
    <col width="50" customWidth="1" style="7" min="1" max="1"/>
    <col width="21"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UC25 — Online Forms | Hand Raiser | Offers - Contact Us | Form Submit</t>
        </is>
      </c>
    </row>
    <row r="2">
      <c r="A2" s="14" t="inlineStr">
        <is>
          <t>← Use Case Index</t>
        </is>
      </c>
      <c r="Q2" s="14" t="inlineStr">
        <is>
          <t>Data Element Matrix →</t>
        </is>
      </c>
    </row>
    <row r="3">
      <c r="A3" s="4" t="inlineStr">
        <is>
          <t>Process</t>
        </is>
      </c>
      <c r="B3" t="inlineStr">
        <is>
          <t>Online Forms</t>
        </is>
      </c>
    </row>
    <row r="4">
      <c r="A4" s="4" t="inlineStr">
        <is>
          <t>Lead Category</t>
        </is>
      </c>
      <c r="B4" t="inlineStr">
        <is>
          <t>Hand Raiser</t>
        </is>
      </c>
    </row>
    <row r="5">
      <c r="A5" s="4" t="inlineStr">
        <is>
          <t>Use Case</t>
        </is>
      </c>
      <c r="B5" t="inlineStr">
        <is>
          <t>Offers - Contact Us</t>
        </is>
      </c>
    </row>
    <row r="6">
      <c r="A6" s="4" t="inlineStr">
        <is>
          <t>Activity Type</t>
        </is>
      </c>
      <c r="B6" t="inlineStr">
        <is>
          <t>Form Submit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To be able to align to lead scoring and attribution models</t>
        </is>
      </c>
      <c r="D9" t="inlineStr">
        <is>
          <t>Tray.io derived</t>
        </is>
      </c>
      <c r="E9" t="inlineStr">
        <is>
          <t>Set by Tray.io on receipt of form from Marketing Automation Tool.</t>
        </is>
      </c>
      <c r="F9" t="inlineStr">
        <is>
          <t>What is the Activity we are aligning attribution to?</t>
        </is>
      </c>
      <c r="G9" t="inlineStr">
        <is>
          <t>Text</t>
        </is>
      </c>
      <c r="I9" t="inlineStr">
        <is>
          <t>Yes</t>
        </is>
      </c>
      <c r="J9" t="inlineStr">
        <is>
          <t>Yes</t>
        </is>
      </c>
      <c r="K9" t="inlineStr">
        <is>
          <t>Yes</t>
        </is>
      </c>
      <c r="M9" t="inlineStr">
        <is>
          <t>Yes</t>
        </is>
      </c>
    </row>
    <row r="10">
      <c r="A10" s="5" t="inlineStr">
        <is>
          <t>Use Case</t>
        </is>
      </c>
      <c r="B10" s="5" t="inlineStr">
        <is>
          <t>Derived</t>
        </is>
      </c>
      <c r="C10" s="5" t="inlineStr">
        <is>
          <t>Separated the type of Form Submit for Attribution models to score separately</t>
        </is>
      </c>
      <c r="D10" s="5" t="inlineStr">
        <is>
          <t>Marketing Automation Tool</t>
        </is>
      </c>
      <c r="E10" s="5" t="inlineStr">
        <is>
          <t>Set by Marketing Automation Tool</t>
        </is>
      </c>
      <c r="F10" s="5" t="inlineStr">
        <is>
          <t>What type of form submit is this?</t>
        </is>
      </c>
      <c r="G10" s="5" t="inlineStr">
        <is>
          <t>Picklist/Text</t>
        </is>
      </c>
      <c r="H10" s="5" t="n"/>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Eloqua contact identifier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Customer Input</t>
        </is>
      </c>
      <c r="E17" s="5" t="inlineStr">
        <is>
          <t>Provided in uploaded contact file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Customer Input</t>
        </is>
      </c>
      <c r="E18" t="inlineStr">
        <is>
          <t>Provided in uploaded contact file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Customer Input</t>
        </is>
      </c>
      <c r="E19" s="5" t="inlineStr">
        <is>
          <t>Provided in uploaded contact file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Recommended</t>
        </is>
      </c>
      <c r="C20" t="inlineStr">
        <is>
          <t>Supports contact matching, enrichment, routing, and lead scoring</t>
        </is>
      </c>
      <c r="D20" t="inlineStr">
        <is>
          <t>Customer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level?</t>
        </is>
      </c>
      <c r="G20" t="inlineStr">
        <is>
          <t>List of values / derived</t>
        </is>
      </c>
      <c r="K20" t="inlineStr">
        <is>
          <t>Yes</t>
        </is>
      </c>
      <c r="L20" t="inlineStr">
        <is>
          <t>Yes</t>
        </is>
      </c>
      <c r="M20" t="inlineStr">
        <is>
          <t>Yes</t>
        </is>
      </c>
    </row>
    <row r="21">
      <c r="A21" s="5" t="inlineStr">
        <is>
          <t>Job Department</t>
        </is>
      </c>
      <c r="B21" s="5" t="inlineStr">
        <is>
          <t>Recommended</t>
        </is>
      </c>
      <c r="C21" s="5" t="inlineStr">
        <is>
          <t>Supports contact matching, enrichment, routing, and lead scoring</t>
        </is>
      </c>
      <c r="D21" s="5" t="inlineStr">
        <is>
          <t>Derived in Contact Database</t>
        </is>
      </c>
      <c r="E21" s="5" t="inlineStr">
        <is>
          <t>Marketing Source when available; if not provided, the value is programmatically derived from the existing Job Title within the contact database</t>
        </is>
      </c>
      <c r="F21" s="5" t="inlineStr">
        <is>
          <t>What is the contact job department?</t>
        </is>
      </c>
      <c r="G21" s="5" t="inlineStr">
        <is>
          <t>List of values / derived</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Customer Input</t>
        </is>
      </c>
      <c r="E22" t="inlineStr">
        <is>
          <t>Provided in Form</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Customer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Customer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Customer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Customer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Customer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Customer Input</t>
        </is>
      </c>
      <c r="E39" t="inlineStr">
        <is>
          <t>Provided in uploaded contact file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inlineStr">
        <is>
          <t>Yes</t>
        </is>
      </c>
      <c r="M48" s="5" t="inlineStr">
        <is>
          <t>Yes</t>
        </is>
      </c>
      <c r="Q48" s="5" t="n"/>
    </row>
    <row r="49">
      <c r="A49" t="inlineStr">
        <is>
          <t>Phone Extension</t>
        </is>
      </c>
      <c r="B49" t="inlineStr">
        <is>
          <t>Optional</t>
        </is>
      </c>
      <c r="C49" t="inlineStr">
        <is>
          <t>Excluded from standard performance reporting</t>
        </is>
      </c>
      <c r="D49" t="inlineStr">
        <is>
          <t>Customer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Customer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Customer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n"/>
      <c r="I53" s="5" t="n"/>
      <c r="J53" s="5" t="n"/>
      <c r="K53" s="5" t="n"/>
      <c r="L53" s="5" t="inlineStr">
        <is>
          <t>Yes</t>
        </is>
      </c>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Customer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L54" t="inlineStr">
        <is>
          <t>Yes</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Customer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inlineStr">
        <is>
          <t>Yes</t>
        </is>
      </c>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inlineStr">
        <is>
          <t>Yes</t>
        </is>
      </c>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L59" t="inlineStr">
        <is>
          <t>Yes</t>
        </is>
      </c>
      <c r="M59" t="inlineStr">
        <is>
          <t>Yes</t>
        </is>
      </c>
    </row>
    <row r="60">
      <c r="A60" s="5" t="inlineStr">
        <is>
          <t>Activity ID</t>
        </is>
      </c>
      <c r="B60" s="5" t="inlineStr">
        <is>
          <t>Derived</t>
        </is>
      </c>
      <c r="C60" s="5" t="inlineStr">
        <is>
          <t>Maintains compatibility with existing operational, attribution, and funnel reporting during transition.</t>
        </is>
      </c>
      <c r="D60" s="5" t="inlineStr">
        <is>
          <t>Marketing Automation Tool/Tealium</t>
        </is>
      </c>
      <c r="E60" s="5" t="inlineStr">
        <is>
          <t>Captured by Tealium from customers driving URL and passed to Marketing Automation Tool</t>
        </is>
      </c>
      <c r="F60" s="5" t="inlineStr">
        <is>
          <t>What is the  Activity ID for this activity?</t>
        </is>
      </c>
      <c r="G60" s="5" t="inlineStr">
        <is>
          <t>Text</t>
        </is>
      </c>
      <c r="H60" s="5" t="n"/>
      <c r="I60" s="5" t="inlineStr">
        <is>
          <t>Yes</t>
        </is>
      </c>
      <c r="J60" s="5" t="inlineStr">
        <is>
          <t>Yes</t>
        </is>
      </c>
      <c r="K60" s="5" t="inlineStr">
        <is>
          <t>Yes</t>
        </is>
      </c>
      <c r="L60" s="5" t="inlineStr">
        <is>
          <t>Yes</t>
        </is>
      </c>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L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inlineStr">
        <is>
          <t>Yes</t>
        </is>
      </c>
      <c r="M62" s="5" t="inlineStr">
        <is>
          <t>Yes</t>
        </is>
      </c>
      <c r="Q62" s="5" t="n"/>
    </row>
    <row r="63">
      <c r="A63" t="inlineStr">
        <is>
          <t>Drive To ID</t>
        </is>
      </c>
      <c r="B63" t="inlineStr">
        <is>
          <t>Required</t>
        </is>
      </c>
      <c r="C63" t="inlineStr">
        <is>
          <t>Maintains legacy destination and drive-to reporting alignment during transition.</t>
        </is>
      </c>
      <c r="D63" t="inlineStr">
        <is>
          <t>Marketing Automation Tool/Tealium</t>
        </is>
      </c>
      <c r="E63" t="inlineStr">
        <is>
          <t>Captured by Tealium from customers driving URL and passed to Marketing Automation Tool</t>
        </is>
      </c>
      <c r="F63" t="inlineStr">
        <is>
          <t>What is the Drive To ID?</t>
        </is>
      </c>
      <c r="G63" t="inlineStr">
        <is>
          <t>Text</t>
        </is>
      </c>
      <c r="I63" t="inlineStr">
        <is>
          <t>Yes</t>
        </is>
      </c>
      <c r="J63" t="inlineStr">
        <is>
          <t>Yes</t>
        </is>
      </c>
      <c r="L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Optional</t>
        </is>
      </c>
      <c r="C66" s="5" t="inlineStr">
        <is>
          <t>Maintains legacy offer identification for attribution, campaign reporting, and operational alignment during transition.</t>
        </is>
      </c>
      <c r="D66" s="5" t="inlineStr">
        <is>
          <t>Marketing Automation Tool/Tealium</t>
        </is>
      </c>
      <c r="E66" s="5" t="inlineStr">
        <is>
          <t>Captured by Marketing Automation Tool from Offer Consumed</t>
        </is>
      </c>
      <c r="F66" s="5" t="inlineStr">
        <is>
          <t>What is the Offer ID?</t>
        </is>
      </c>
      <c r="G66" s="5" t="inlineStr">
        <is>
          <t>Text</t>
        </is>
      </c>
      <c r="H66" s="5" t="n"/>
      <c r="I66" s="5" t="inlineStr">
        <is>
          <t>Yes</t>
        </is>
      </c>
      <c r="J66" s="5" t="inlineStr">
        <is>
          <t>Yes</t>
        </is>
      </c>
      <c r="K66" s="5" t="n"/>
      <c r="L66" s="5" t="inlineStr">
        <is>
          <t>Yes</t>
        </is>
      </c>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t>
        </is>
      </c>
      <c r="G67" t="inlineStr">
        <is>
          <t>System lookup</t>
        </is>
      </c>
      <c r="L67" t="inlineStr">
        <is>
          <t>Yes</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t>
        </is>
      </c>
      <c r="G68" s="5" t="inlineStr">
        <is>
          <t>System lookup</t>
        </is>
      </c>
      <c r="H68" s="5" t="n"/>
      <c r="I68" s="5" t="n"/>
      <c r="J68" s="5" t="n"/>
      <c r="K68" s="5" t="n"/>
      <c r="L68" s="5" t="inlineStr">
        <is>
          <t>Yes</t>
        </is>
      </c>
      <c r="M68" s="5" t="inlineStr">
        <is>
          <t>Yes</t>
        </is>
      </c>
      <c r="Q68" s="5" t="n"/>
    </row>
    <row r="69">
      <c r="A69" t="inlineStr">
        <is>
          <t>Offer Type</t>
        </is>
      </c>
    </row>
    <row r="70">
      <c r="A70" s="6" t="inlineStr">
        <is>
          <t>6 - Future Tracking Parameters</t>
        </is>
      </c>
    </row>
    <row r="71">
      <c r="A71" s="5" t="inlineStr">
        <is>
          <t>Workfront Channel ID</t>
        </is>
      </c>
      <c r="B71" s="5" t="inlineStr">
        <is>
          <t>Derived</t>
        </is>
      </c>
      <c r="C71" s="5" t="inlineStr">
        <is>
          <t>Connects the upload to the Workfront channel taxonomy for durable operational and attribution alignment.</t>
        </is>
      </c>
      <c r="D71" s="5" t="inlineStr">
        <is>
          <t>Marketing Automation Tool/Tealium</t>
        </is>
      </c>
      <c r="E71" s="5" t="inlineStr">
        <is>
          <t>Captured by Tealium from customers driving URL and passed to Marketing Automation Tool</t>
        </is>
      </c>
      <c r="F71" s="5" t="inlineStr">
        <is>
          <t>N/A - appended by Tray.io after upload</t>
        </is>
      </c>
      <c r="G71" s="5" t="inlineStr">
        <is>
          <t>Text</t>
        </is>
      </c>
      <c r="H71" s="5" t="n"/>
      <c r="I71" s="5" t="inlineStr">
        <is>
          <t>Yes</t>
        </is>
      </c>
      <c r="J71" s="5" t="inlineStr">
        <is>
          <t>Yes</t>
        </is>
      </c>
      <c r="K71" s="5" t="n"/>
      <c r="L71" s="5" t="inlineStr">
        <is>
          <t>Yes</t>
        </is>
      </c>
      <c r="M71" s="5" t="inlineStr">
        <is>
          <t>Yes</t>
        </is>
      </c>
      <c r="Q71" s="5" t="n"/>
    </row>
    <row r="72">
      <c r="A72" t="inlineStr">
        <is>
          <t>Primary Technology</t>
        </is>
      </c>
      <c r="B72" t="inlineStr">
        <is>
          <t>Derived</t>
        </is>
      </c>
      <c r="C72" t="inlineStr">
        <is>
          <t>Identifies the primary technology associated with the content for future attribution, operational, and seller enablement reporting.</t>
        </is>
      </c>
      <c r="D72" t="inlineStr">
        <is>
          <t>Tray.io / Workfront derived</t>
        </is>
      </c>
      <c r="E72" t="inlineStr">
        <is>
          <t>Tray.io derives Primary Technology from Workfront Content ID and Workfront Channel ID alignment.</t>
        </is>
      </c>
      <c r="F72" t="inlineStr">
        <is>
          <t>N/A - appended by Tray.io after upload</t>
        </is>
      </c>
      <c r="G72" t="inlineStr">
        <is>
          <t>System lookup</t>
        </is>
      </c>
      <c r="I72" t="inlineStr">
        <is>
          <t>Yes</t>
        </is>
      </c>
      <c r="J72" t="inlineStr">
        <is>
          <t>Yes</t>
        </is>
      </c>
      <c r="L72" t="inlineStr">
        <is>
          <t>Yes</t>
        </is>
      </c>
      <c r="M72" t="inlineStr">
        <is>
          <t>Yes</t>
        </is>
      </c>
    </row>
    <row r="73">
      <c r="A73" s="5" t="inlineStr">
        <is>
          <t>Campaign</t>
        </is>
      </c>
      <c r="B73" s="5" t="inlineStr">
        <is>
          <t>Derived</t>
        </is>
      </c>
      <c r="C73" s="5" t="inlineStr">
        <is>
          <t>Connects the touchpoint to campaign-level attribution and marketing sourced pipeline reporting aligned to Workfront Content ID and Channel ID.</t>
        </is>
      </c>
      <c r="D73" s="5" t="inlineStr">
        <is>
          <t>Tray.io / Workfront derived</t>
        </is>
      </c>
      <c r="E73" s="5" t="inlineStr">
        <is>
          <t>Tray.io derives Campaign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inlineStr">
        <is>
          <t>Yes</t>
        </is>
      </c>
      <c r="M73" s="5" t="inlineStr">
        <is>
          <t>Yes</t>
        </is>
      </c>
      <c r="Q73" s="5" t="n"/>
    </row>
    <row r="74">
      <c r="A74" t="inlineStr">
        <is>
          <t>Program</t>
        </is>
      </c>
      <c r="B74" t="inlineStr">
        <is>
          <t>Derived</t>
        </is>
      </c>
      <c r="C74" t="inlineStr">
        <is>
          <t>Connects the touchpoint to program-level attribution and marketing sourced pipeline reporting aligned to Workfront Content ID and Channel ID.</t>
        </is>
      </c>
      <c r="D74" t="inlineStr">
        <is>
          <t>Tray.io / Workfront derived</t>
        </is>
      </c>
      <c r="E74" t="inlineStr">
        <is>
          <t>Tray.io derives Program from Workfront Content ID and Workfront Channel ID alignment.</t>
        </is>
      </c>
      <c r="F74" t="inlineStr">
        <is>
          <t>N/A - appended by Tray.io after upload</t>
        </is>
      </c>
      <c r="G74" t="inlineStr">
        <is>
          <t>System lookup</t>
        </is>
      </c>
      <c r="I74" t="inlineStr">
        <is>
          <t>Yes</t>
        </is>
      </c>
      <c r="J74" t="inlineStr">
        <is>
          <t>Yes</t>
        </is>
      </c>
      <c r="L74" t="inlineStr">
        <is>
          <t>Yes</t>
        </is>
      </c>
      <c r="M74" t="inlineStr">
        <is>
          <t>Yes</t>
        </is>
      </c>
    </row>
    <row r="75">
      <c r="A75" s="5" t="inlineStr">
        <is>
          <t>Funnel Stage</t>
        </is>
      </c>
      <c r="B75" s="5" t="inlineStr">
        <is>
          <t>Derived</t>
        </is>
      </c>
      <c r="C75" s="5" t="inlineStr">
        <is>
          <t>Supports funnel-based routing, lead scoring, and operational reporting aligned to Workfront Content ID and Channel ID.</t>
        </is>
      </c>
      <c r="D75" s="5" t="inlineStr">
        <is>
          <t>Tray.io / Workfront derived</t>
        </is>
      </c>
      <c r="E75" s="5" t="inlineStr">
        <is>
          <t>Tray.io derives Funnel Stage from Workfront Content ID and Workfront Channel ID alignment.</t>
        </is>
      </c>
      <c r="F75" s="5" t="inlineStr">
        <is>
          <t>N/A - appended by Tray.io after upload</t>
        </is>
      </c>
      <c r="G75" s="5" t="inlineStr">
        <is>
          <t>System lookup</t>
        </is>
      </c>
      <c r="H75" s="5" t="n"/>
      <c r="I75" s="5" t="inlineStr">
        <is>
          <t>Yes</t>
        </is>
      </c>
      <c r="J75" s="5" t="inlineStr">
        <is>
          <t>Yes</t>
        </is>
      </c>
      <c r="K75" s="5" t="n"/>
      <c r="L75" s="5" t="n"/>
      <c r="M75" s="5" t="inlineStr">
        <is>
          <t>Yes</t>
        </is>
      </c>
      <c r="Q75" s="5" t="n"/>
    </row>
    <row r="76">
      <c r="A76" t="inlineStr">
        <is>
          <t>Workfront Content ID</t>
        </is>
      </c>
      <c r="B76" t="inlineStr">
        <is>
          <t>Derived</t>
        </is>
      </c>
      <c r="C76" t="inlineStr">
        <is>
          <t>Connects the upload to the Workfront Content taxonomy for durable operational and attribution alignment.</t>
        </is>
      </c>
      <c r="D76" t="inlineStr">
        <is>
          <t>Marketing Automation Tool/Tealium</t>
        </is>
      </c>
      <c r="E76" t="inlineStr">
        <is>
          <t>Captured by Marketing Automation Tool from Offer Consumed aligned to the Workfront Project that created it</t>
        </is>
      </c>
      <c r="F76" t="inlineStr">
        <is>
          <t>N/A - Appended by Telium and Marketing Automation Tool</t>
        </is>
      </c>
      <c r="G76" t="inlineStr">
        <is>
          <t>Text</t>
        </is>
      </c>
      <c r="I76" t="inlineStr">
        <is>
          <t>Yes</t>
        </is>
      </c>
      <c r="J76" t="inlineStr">
        <is>
          <t>Yes</t>
        </is>
      </c>
      <c r="L76" t="inlineStr">
        <is>
          <t>Yes</t>
        </is>
      </c>
      <c r="M76" t="inlineStr">
        <is>
          <t>Yes</t>
        </is>
      </c>
    </row>
    <row r="77">
      <c r="A77" s="5" t="inlineStr">
        <is>
          <t>Content Type</t>
        </is>
      </c>
      <c r="B77" s="5" t="inlineStr">
        <is>
          <t>Derived</t>
        </is>
      </c>
      <c r="C77" s="5" t="inlineStr">
        <is>
          <t>Identifies the content classification for future attribution, operational, and funnel reporting aligned to Workfront Content ID.</t>
        </is>
      </c>
      <c r="D77" s="5" t="inlineStr">
        <is>
          <t>Tray.io / Workfront derived</t>
        </is>
      </c>
      <c r="E77" s="5" t="inlineStr">
        <is>
          <t>Tray.io derives Content Type from Workfront Content ID alignment.</t>
        </is>
      </c>
      <c r="F77" s="5" t="inlineStr">
        <is>
          <t>N/A - appended by Tray.io after upload</t>
        </is>
      </c>
      <c r="G77" s="5" t="inlineStr">
        <is>
          <t>System lookup</t>
        </is>
      </c>
      <c r="H77" s="5" t="inlineStr">
        <is>
          <t>This field relates to Web Content Type, Webinar Type and Event Type from Workfront.</t>
        </is>
      </c>
      <c r="I77" s="5" t="inlineStr">
        <is>
          <t>Yes</t>
        </is>
      </c>
      <c r="J77" s="5" t="inlineStr">
        <is>
          <t>Yes</t>
        </is>
      </c>
      <c r="K77" s="5" t="n"/>
      <c r="L77" s="5" t="inlineStr">
        <is>
          <t>Yes</t>
        </is>
      </c>
      <c r="M77" s="5" t="inlineStr">
        <is>
          <t>Yes</t>
        </is>
      </c>
      <c r="Q77" s="5" t="n"/>
    </row>
    <row r="78">
      <c r="A78" t="inlineStr">
        <is>
          <t>C_ECID</t>
        </is>
      </c>
      <c r="B78" t="inlineStr">
        <is>
          <t>Derived</t>
        </is>
      </c>
      <c r="C78" t="inlineStr">
        <is>
          <t>Supports cross-session identity stitching for attribution and operational reporting.</t>
        </is>
      </c>
      <c r="D78" t="inlineStr">
        <is>
          <t>Marketing Automation Tool/Tealium</t>
        </is>
      </c>
      <c r="E78" t="inlineStr">
        <is>
          <t>Captured by Tealium as First Party Cookie and passed to Marketing Automation Tool</t>
        </is>
      </c>
      <c r="F78" t="inlineStr">
        <is>
          <t>N/A - Appended by Telium and Marketing Automation Tool</t>
        </is>
      </c>
      <c r="G78" t="inlineStr">
        <is>
          <t>Text</t>
        </is>
      </c>
      <c r="I78" t="inlineStr">
        <is>
          <t>Yes</t>
        </is>
      </c>
      <c r="J78" t="inlineStr">
        <is>
          <t>Yes</t>
        </is>
      </c>
      <c r="M78" t="inlineStr">
        <is>
          <t>Yes</t>
        </is>
      </c>
    </row>
    <row r="79">
      <c r="A79" s="5" t="inlineStr">
        <is>
          <t>C_FPID</t>
        </is>
      </c>
      <c r="B79" s="5" t="inlineStr">
        <is>
          <t>Derived</t>
        </is>
      </c>
      <c r="C79" s="5" t="inlineStr">
        <is>
          <t>Supports first-party identity stitching for attribution and operational reporting.</t>
        </is>
      </c>
      <c r="D79" s="5" t="inlineStr">
        <is>
          <t>Marketing Automation Tool/Tealium</t>
        </is>
      </c>
      <c r="E79" s="5" t="inlineStr">
        <is>
          <t>Captured by Tealium as First Party Cookie and passed to Marketing Automation Tool</t>
        </is>
      </c>
      <c r="F79" s="5" t="inlineStr">
        <is>
          <t>N/A - Appended by Telium and Marketing Automation Tool</t>
        </is>
      </c>
      <c r="G79" s="5" t="inlineStr">
        <is>
          <t>Text</t>
        </is>
      </c>
      <c r="H79" s="5" t="n"/>
      <c r="I79" s="5" t="inlineStr">
        <is>
          <t>Yes</t>
        </is>
      </c>
      <c r="J79" s="5" t="inlineStr">
        <is>
          <t>Yes</t>
        </is>
      </c>
      <c r="K79" s="5" t="n"/>
      <c r="L79" s="5" t="n"/>
      <c r="M79" s="5" t="inlineStr">
        <is>
          <t>Yes</t>
        </is>
      </c>
      <c r="Q79" s="5" t="n"/>
    </row>
    <row r="80">
      <c r="A80" t="inlineStr">
        <is>
          <t>Call to Action URL</t>
        </is>
      </c>
      <c r="B80" t="inlineStr">
        <is>
          <t>Derived</t>
        </is>
      </c>
      <c r="C80" t="inlineStr">
        <is>
          <t>Captures the CTA destination for attribution, seller enablement, and downstream follow-up context.</t>
        </is>
      </c>
      <c r="D80" t="inlineStr">
        <is>
          <t>Marketing Automation Tool/Tealium</t>
        </is>
      </c>
      <c r="E80" t="inlineStr">
        <is>
          <t>Captured by Tealium from the Customers selection of the Call to Action to access the Gated Offer and passed to Marketing Automation Tool</t>
        </is>
      </c>
      <c r="F80" t="inlineStr">
        <is>
          <t>N/A - Appended by Telium and Marketing Automation Tool</t>
        </is>
      </c>
      <c r="G80" t="inlineStr">
        <is>
          <t>Text</t>
        </is>
      </c>
      <c r="L80" t="inlineStr">
        <is>
          <t>Yes</t>
        </is>
      </c>
      <c r="M80" t="inlineStr">
        <is>
          <t>Yes</t>
        </is>
      </c>
    </row>
    <row r="81">
      <c r="A81" s="5" t="inlineStr">
        <is>
          <t>CP_GUTC</t>
        </is>
      </c>
      <c r="B81" s="5" t="inlineStr">
        <is>
          <t>Derived</t>
        </is>
      </c>
      <c r="C81" s="5" t="inlineStr">
        <is>
          <t>Supports visitor tracking, identity stitching, and attribution analysis.</t>
        </is>
      </c>
      <c r="D81" s="5" t="inlineStr">
        <is>
          <t>Marketing Automation Tool/Tealium</t>
        </is>
      </c>
      <c r="E81" s="5" t="inlineStr">
        <is>
          <t>Captured by Tealium tracking cookie and passed to Marketing Automation Tool.</t>
        </is>
      </c>
      <c r="F81" s="5" t="inlineStr">
        <is>
          <t>What is the Cisco tracking cookie value for this submission?</t>
        </is>
      </c>
      <c r="G81" s="5" t="inlineStr">
        <is>
          <t>Text</t>
        </is>
      </c>
      <c r="H81" s="5" t="n"/>
      <c r="I81" s="5" t="inlineStr">
        <is>
          <t>Yes</t>
        </is>
      </c>
      <c r="J81" s="5" t="inlineStr">
        <is>
          <t>Yes</t>
        </is>
      </c>
      <c r="K81" s="5" t="n"/>
      <c r="L81" s="5" t="n"/>
      <c r="M81" s="5" t="inlineStr">
        <is>
          <t>Yes</t>
        </is>
      </c>
      <c r="Q81" s="5" t="n"/>
    </row>
    <row r="82">
      <c r="A82" t="inlineStr">
        <is>
          <t>Entry URL</t>
        </is>
      </c>
      <c r="B82" t="inlineStr">
        <is>
          <t>Derived</t>
        </is>
      </c>
      <c r="C82" t="inlineStr">
        <is>
          <t>Captures first-entry URL for attribution journey analysis and operational reporting.</t>
        </is>
      </c>
      <c r="D82" t="inlineStr">
        <is>
          <t>Marketing Automation Tool/Tealium</t>
        </is>
      </c>
      <c r="E82" t="inlineStr">
        <is>
          <t>Captured by Tealium from the Customers first entry to .com and passed to Marketing Automation Tool</t>
        </is>
      </c>
      <c r="F82" t="inlineStr">
        <is>
          <t>N/A - Appended by Telium and Marketing Automation Tool</t>
        </is>
      </c>
      <c r="G82" t="inlineStr">
        <is>
          <t>Text</t>
        </is>
      </c>
      <c r="I82" t="inlineStr">
        <is>
          <t>Yes</t>
        </is>
      </c>
      <c r="J82" t="inlineStr">
        <is>
          <t>Yes</t>
        </is>
      </c>
      <c r="M82" t="inlineStr">
        <is>
          <t>Yes</t>
        </is>
      </c>
    </row>
    <row r="83">
      <c r="A83" s="5" t="inlineStr">
        <is>
          <t>Gated Page URL</t>
        </is>
      </c>
      <c r="B83" s="5" t="inlineStr">
        <is>
          <t>Derived</t>
        </is>
      </c>
      <c r="C83" s="5" t="inlineStr">
        <is>
          <t>Captures gated offer page context for operational reporting, seller enablement, and downstream follow-up.</t>
        </is>
      </c>
      <c r="D83" s="5" t="inlineStr">
        <is>
          <t>Marketing Automation Tool/Tealium</t>
        </is>
      </c>
      <c r="E83" s="5" t="inlineStr">
        <is>
          <t>Captured by Tealium from gated offer page consumed by the customer and passed to Marketing Automation Tool</t>
        </is>
      </c>
      <c r="F83" s="5" t="inlineStr">
        <is>
          <t>N/A - Appended by Telium and Marketing Automation Tool</t>
        </is>
      </c>
      <c r="G83" s="5" t="inlineStr">
        <is>
          <t>Text</t>
        </is>
      </c>
      <c r="H83" s="5" t="n"/>
      <c r="I83" s="5" t="n"/>
      <c r="J83" s="5" t="inlineStr">
        <is>
          <t>Yes</t>
        </is>
      </c>
      <c r="K83" s="5" t="n"/>
      <c r="L83" s="5" t="inlineStr">
        <is>
          <t>Yes</t>
        </is>
      </c>
      <c r="M83" s="5" t="inlineStr">
        <is>
          <t>Yes</t>
        </is>
      </c>
      <c r="Q83" s="5" t="n"/>
    </row>
    <row r="84">
      <c r="A84" t="inlineStr">
        <is>
          <t>Google Click ID</t>
        </is>
      </c>
      <c r="B84" t="inlineStr">
        <is>
          <t>Derived</t>
        </is>
      </c>
      <c r="C84" t="inlineStr">
        <is>
          <t>Supports paid search click-level attribution and campaign performance reporting.</t>
        </is>
      </c>
      <c r="D84" t="inlineStr">
        <is>
          <t>Marketing Automation Tool/Tealium</t>
        </is>
      </c>
      <c r="E84" t="inlineStr">
        <is>
          <t>Captured from Google Ads click tracking parameters and passed to Marketing Automation Tool.</t>
        </is>
      </c>
      <c r="F84" t="inlineStr">
        <is>
          <t>What is the Google click identifier (gclid) for this submission?</t>
        </is>
      </c>
      <c r="G84" t="inlineStr">
        <is>
          <t>Text</t>
        </is>
      </c>
      <c r="I84" t="inlineStr">
        <is>
          <t>Yes</t>
        </is>
      </c>
      <c r="J84" t="inlineStr">
        <is>
          <t>Yes</t>
        </is>
      </c>
      <c r="M84" t="inlineStr">
        <is>
          <t>Yes</t>
        </is>
      </c>
    </row>
    <row r="85">
      <c r="A85" s="5" t="inlineStr">
        <is>
          <t>Link Click ID</t>
        </is>
      </c>
      <c r="B85" s="5" t="inlineStr">
        <is>
          <t>Derived</t>
        </is>
      </c>
      <c r="C85" s="5" t="inlineStr">
        <is>
          <t>Supports click-level attribution and operational reporting for paid media touchpoints.</t>
        </is>
      </c>
      <c r="D85" s="5" t="inlineStr">
        <is>
          <t>Marketing Automation Tool/Tealium</t>
        </is>
      </c>
      <c r="E85" s="5" t="inlineStr">
        <is>
          <t>Captured by Tealium system-generated alphanumeric code appended to an ad's destination URL when a user clicks it and passed to Marketing Automation Tool</t>
        </is>
      </c>
      <c r="F85" s="5" t="inlineStr">
        <is>
          <t>N/A - Appended by Telium and Marketing Automation Tool</t>
        </is>
      </c>
      <c r="G85" s="5" t="inlineStr">
        <is>
          <t>Text</t>
        </is>
      </c>
      <c r="H85" s="5" t="n"/>
      <c r="I85" s="5" t="inlineStr">
        <is>
          <t>Yes</t>
        </is>
      </c>
      <c r="J85" s="5" t="inlineStr">
        <is>
          <t>Yes</t>
        </is>
      </c>
      <c r="K85" s="5" t="n"/>
      <c r="L85" s="5" t="n"/>
      <c r="M85" s="5" t="inlineStr">
        <is>
          <t>Yes</t>
        </is>
      </c>
      <c r="Q85" s="5" t="n"/>
    </row>
    <row r="86">
      <c r="A86" t="inlineStr">
        <is>
          <t>Source Domain</t>
        </is>
      </c>
      <c r="B86" t="inlineStr">
        <is>
          <t>Derived</t>
        </is>
      </c>
      <c r="C86" t="inlineStr">
        <is>
          <t>Captures referring domain for attribution journey analysis and operational reporting.</t>
        </is>
      </c>
      <c r="D86" t="inlineStr">
        <is>
          <t>Marketing Automation Tool/Tealium</t>
        </is>
      </c>
      <c r="E86" t="inlineStr">
        <is>
          <t>Captured by Tealium from the Customers previous state to .com and passed to Marketing Automation Tool</t>
        </is>
      </c>
      <c r="F86" t="inlineStr">
        <is>
          <t>N/A - Appended by Telium and Marketing Automation Tool</t>
        </is>
      </c>
      <c r="G86" t="inlineStr">
        <is>
          <t>Text</t>
        </is>
      </c>
      <c r="I86" t="inlineStr">
        <is>
          <t>Yes</t>
        </is>
      </c>
      <c r="J86" t="inlineStr">
        <is>
          <t>Yes</t>
        </is>
      </c>
      <c r="M86" t="inlineStr">
        <is>
          <t>Yes</t>
        </is>
      </c>
    </row>
    <row r="87">
      <c r="A87" s="5" t="inlineStr">
        <is>
          <t>utm_campaign</t>
        </is>
      </c>
      <c r="B87" s="5" t="inlineStr">
        <is>
          <t>Derived</t>
        </is>
      </c>
      <c r="C87" s="5" t="inlineStr">
        <is>
          <t>Identifies the campaign for future attribution, operational, and funnel reporting after legacy IDs are decommissioned.</t>
        </is>
      </c>
      <c r="D87" s="5" t="inlineStr">
        <is>
          <t>Marketing Automation Tool/Tealium</t>
        </is>
      </c>
      <c r="E87" s="5" t="inlineStr">
        <is>
          <t>Captured by Tealium from customers driving URL and passed to Marketing Automation Tool</t>
        </is>
      </c>
      <c r="F87" s="5" t="inlineStr">
        <is>
          <t>N/A - Appended by Telium and Marketing Automation Tool</t>
        </is>
      </c>
      <c r="G87" s="5" t="inlineStr">
        <is>
          <t>Text</t>
        </is>
      </c>
      <c r="H87" s="5" t="n"/>
      <c r="I87" s="5" t="n"/>
      <c r="J87" s="5" t="inlineStr">
        <is>
          <t>Yes</t>
        </is>
      </c>
      <c r="K87" s="5" t="n"/>
      <c r="L87" s="5" t="n"/>
      <c r="M87" s="5" t="inlineStr">
        <is>
          <t>Yes</t>
        </is>
      </c>
      <c r="Q87" s="5" t="n"/>
    </row>
    <row r="88">
      <c r="A88" t="inlineStr">
        <is>
          <t>utm_content</t>
        </is>
      </c>
      <c r="B88" t="inlineStr">
        <is>
          <t>Derived</t>
        </is>
      </c>
      <c r="C88" t="inlineStr">
        <is>
          <t>Identifies the content variant for future attribution, operational, and funnel reporting after legacy IDs are decommissioned.</t>
        </is>
      </c>
      <c r="D88" t="inlineStr">
        <is>
          <t>Marketing Automation Tool/Tealium</t>
        </is>
      </c>
      <c r="E88" t="inlineStr">
        <is>
          <t>Captured by Tealium from customers driving URL and passed to Marketing Automation Tool</t>
        </is>
      </c>
      <c r="F88" t="inlineStr">
        <is>
          <t>N/A - Appended by Telium and Marketing Automation Tool</t>
        </is>
      </c>
      <c r="G88" t="inlineStr">
        <is>
          <t>Text</t>
        </is>
      </c>
      <c r="J88" t="inlineStr">
        <is>
          <t>Yes</t>
        </is>
      </c>
      <c r="M88" t="inlineStr">
        <is>
          <t>Yes</t>
        </is>
      </c>
    </row>
    <row r="89">
      <c r="A89" s="5" t="inlineStr">
        <is>
          <t>utm_creative</t>
        </is>
      </c>
      <c r="B89" s="5" t="inlineStr">
        <is>
          <t>Derived</t>
        </is>
      </c>
      <c r="C89" s="5" t="inlineStr">
        <is>
          <t>Identifies the creative for future attribution, operational, and funnel reporting after legacy IDs are decommissioned.</t>
        </is>
      </c>
      <c r="D89" s="5" t="inlineStr">
        <is>
          <t>Marketing Automation Tool/Tealium</t>
        </is>
      </c>
      <c r="E89" s="5" t="inlineStr">
        <is>
          <t>Captured by Tealium from customers driving URL and passed to Marketing Automation Tool</t>
        </is>
      </c>
      <c r="F89" s="5" t="inlineStr">
        <is>
          <t>N/A - Appended by Telium and Marketing Automation Tool</t>
        </is>
      </c>
      <c r="G89" s="5" t="inlineStr">
        <is>
          <t>Text</t>
        </is>
      </c>
      <c r="H89" s="5" t="n"/>
      <c r="I89" s="5" t="n"/>
      <c r="J89" s="5" t="inlineStr">
        <is>
          <t>Yes</t>
        </is>
      </c>
      <c r="K89" s="5" t="n"/>
      <c r="L89" s="5" t="n"/>
      <c r="M89" s="5" t="inlineStr">
        <is>
          <t>Yes</t>
        </is>
      </c>
      <c r="Q89" s="5" t="n"/>
    </row>
    <row r="90">
      <c r="A90" t="inlineStr">
        <is>
          <t>utm_medium</t>
        </is>
      </c>
      <c r="B90" t="inlineStr">
        <is>
          <t>Derived</t>
        </is>
      </c>
      <c r="C90" t="inlineStr">
        <is>
          <t>Identifies the driving channel for future attribution, operational, and funnel reporting after legacy IDs are decommissioned.</t>
        </is>
      </c>
      <c r="D90" t="inlineStr">
        <is>
          <t>Marketing Automation Tool/Tealium</t>
        </is>
      </c>
      <c r="E90" t="inlineStr">
        <is>
          <t>Captured by Tealium from customers driving URL and passed to Marketing Automation Tool</t>
        </is>
      </c>
      <c r="F90" t="inlineStr">
        <is>
          <t>N/A - Appended by Telium and Marketing Automation Tool</t>
        </is>
      </c>
      <c r="G90" t="inlineStr">
        <is>
          <t>Picklist/Text</t>
        </is>
      </c>
      <c r="I90" t="inlineStr">
        <is>
          <t>Yes</t>
        </is>
      </c>
      <c r="J90" t="inlineStr">
        <is>
          <t>Yes</t>
        </is>
      </c>
      <c r="M90" t="inlineStr">
        <is>
          <t>Yes</t>
        </is>
      </c>
    </row>
    <row r="91">
      <c r="A91" s="5" t="inlineStr">
        <is>
          <t>utm_source</t>
        </is>
      </c>
      <c r="B91" s="5" t="inlineStr">
        <is>
          <t>Derived</t>
        </is>
      </c>
      <c r="C91" s="5" t="inlineStr">
        <is>
          <t>Identifies platform/vendor source for future attribution, operational, and funnel reporting.</t>
        </is>
      </c>
      <c r="D91" s="5" t="inlineStr">
        <is>
          <t>Marketing Automation Tool/Tealium</t>
        </is>
      </c>
      <c r="E91" s="5" t="inlineStr">
        <is>
          <t>Captured by Tealium from customers driving URL and passed to Marketing Automation Tool</t>
        </is>
      </c>
      <c r="F91" s="5" t="inlineStr">
        <is>
          <t>N/A - Appended by Telium and Marketing Automation Tool</t>
        </is>
      </c>
      <c r="G91" s="5" t="inlineStr">
        <is>
          <t>Picklist/Text</t>
        </is>
      </c>
      <c r="H91" s="5" t="n"/>
      <c r="I91" s="5" t="inlineStr">
        <is>
          <t>Yes</t>
        </is>
      </c>
      <c r="J91" s="5" t="inlineStr">
        <is>
          <t>Yes</t>
        </is>
      </c>
      <c r="K91" s="5" t="n"/>
      <c r="L91" s="5" t="n"/>
      <c r="M91" s="5" t="inlineStr">
        <is>
          <t>Yes</t>
        </is>
      </c>
      <c r="Q91" s="5" t="n"/>
    </row>
    <row r="92">
      <c r="A92" t="inlineStr">
        <is>
          <t>utm_term</t>
        </is>
      </c>
    </row>
    <row r="93">
      <c r="A93" s="6" t="inlineStr">
        <is>
          <t>7 - Event Tracking Parameters</t>
        </is>
      </c>
    </row>
    <row r="94">
      <c r="A94" s="5" t="inlineStr">
        <is>
          <t>Event ID / EID</t>
        </is>
      </c>
      <c r="B94" s="5" t="inlineStr">
        <is>
          <t>Required</t>
        </is>
      </c>
      <c r="C94" s="5" t="inlineStr">
        <is>
          <t>Primary lookup key for attribution, operational reporting, and Global Events Table enrichment.</t>
        </is>
      </c>
      <c r="D94" s="5" t="inlineStr">
        <is>
          <t>Marketing team input</t>
        </is>
      </c>
      <c r="E94" s="5" t="inlineStr">
        <is>
          <t>EID is validated against Global Events Table for validity</t>
        </is>
      </c>
      <c r="F94" s="5" t="inlineStr">
        <is>
          <t>Which Event ID is this upload for?</t>
        </is>
      </c>
      <c r="G94" s="5" t="inlineStr">
        <is>
          <t>Picklist/Text</t>
        </is>
      </c>
      <c r="H94" s="5" t="inlineStr">
        <is>
          <t>Confirm uploader has this value before upload.</t>
        </is>
      </c>
      <c r="I94" s="5" t="inlineStr">
        <is>
          <t>Yes</t>
        </is>
      </c>
      <c r="J94" s="5" t="inlineStr">
        <is>
          <t>Yes</t>
        </is>
      </c>
      <c r="K94" s="5" t="n"/>
      <c r="L94" s="5" t="inlineStr">
        <is>
          <t>Yes</t>
        </is>
      </c>
      <c r="M94" s="5" t="inlineStr">
        <is>
          <t>Yes</t>
        </is>
      </c>
      <c r="Q94" s="5" t="n"/>
    </row>
    <row r="95">
      <c r="A95" t="inlineStr">
        <is>
          <t>Event Name</t>
        </is>
      </c>
    </row>
    <row r="96">
      <c r="A96" s="6" t="inlineStr">
        <is>
          <t>8 - Activity Detail</t>
        </is>
      </c>
    </row>
    <row r="97">
      <c r="A97" s="5" t="inlineStr">
        <is>
          <t>Form Submit Date</t>
        </is>
      </c>
      <c r="B97" s="5" t="inlineStr">
        <is>
          <t>Derived</t>
        </is>
      </c>
      <c r="C97" s="5" t="inlineStr">
        <is>
          <t>Supports submission timing analysis and operational reporting.</t>
        </is>
      </c>
      <c r="D97" s="5" t="inlineStr">
        <is>
          <t>Marketing Automation Tool</t>
        </is>
      </c>
      <c r="E97" s="5" t="inlineStr">
        <is>
          <t>System-captured form submission date passed from Marketing Automation Tool or Tealium.</t>
        </is>
      </c>
      <c r="F97" s="5" t="inlineStr">
        <is>
          <t>What is the form submit date captured by the system?</t>
        </is>
      </c>
      <c r="G97" s="5" t="inlineStr">
        <is>
          <t>Date/Time</t>
        </is>
      </c>
      <c r="H97" s="5" t="n"/>
      <c r="I97" s="5" t="n"/>
      <c r="J97" s="5" t="inlineStr">
        <is>
          <t>Yes</t>
        </is>
      </c>
      <c r="K97" s="5" t="inlineStr">
        <is>
          <t>Yes</t>
        </is>
      </c>
      <c r="L97" s="5" t="n"/>
      <c r="M97" s="5" t="inlineStr">
        <is>
          <t>Yes</t>
        </is>
      </c>
      <c r="Q97" s="5" t="n"/>
    </row>
    <row r="98">
      <c r="A98" t="inlineStr">
        <is>
          <t>Contact Source Original</t>
        </is>
      </c>
      <c r="B98" t="inlineStr">
        <is>
          <t>Derived</t>
        </is>
      </c>
      <c r="C98" t="inlineStr">
        <is>
          <t>Supports source lineage for attribution, operational reporting, and seller enablement.</t>
        </is>
      </c>
      <c r="D98" t="inlineStr">
        <is>
          <t>Marketing Automation Tool</t>
        </is>
      </c>
      <c r="E98" t="inlineStr">
        <is>
          <t>System-captured original source identifier (e.g., Eloqua-Form-submit-ContactSales6493).</t>
        </is>
      </c>
      <c r="F98" t="inlineStr">
        <is>
          <t>What is the original contact source for this submission?</t>
        </is>
      </c>
      <c r="G98" t="inlineStr">
        <is>
          <t>Text</t>
        </is>
      </c>
      <c r="J98" t="inlineStr">
        <is>
          <t>Yes</t>
        </is>
      </c>
      <c r="L98" t="inlineStr">
        <is>
          <t>Yes</t>
        </is>
      </c>
      <c r="M98" t="inlineStr">
        <is>
          <t>Yes</t>
        </is>
      </c>
    </row>
    <row r="99">
      <c r="A99" s="5" t="inlineStr">
        <is>
          <t>Enquiry Type</t>
        </is>
      </c>
      <c r="B99" s="5" t="inlineStr">
        <is>
          <t>Required</t>
        </is>
      </c>
      <c r="C99" s="5" t="inlineStr">
        <is>
          <t>Classifies the contact's intent for routing, lead scoring, seller enablement, and operational reporting.</t>
        </is>
      </c>
      <c r="D99" s="5" t="inlineStr">
        <is>
          <t>Customer Input</t>
        </is>
      </c>
      <c r="E99" s="5" t="inlineStr">
        <is>
          <t>Required customer-selected enquiry category captured on the Contact Us form.</t>
        </is>
      </c>
      <c r="F99" s="5" t="inlineStr">
        <is>
          <t>What type of enquiry is the contact submitting? (looking for Guidance etc.)</t>
        </is>
      </c>
      <c r="G99" s="5" t="inlineStr">
        <is>
          <t>Picklist</t>
        </is>
      </c>
      <c r="H99" s="5" t="n"/>
      <c r="I99" s="5" t="n"/>
      <c r="J99" s="5" t="n"/>
      <c r="K99" s="5" t="n"/>
      <c r="L99" s="5" t="inlineStr">
        <is>
          <t>Yes</t>
        </is>
      </c>
      <c r="M99" s="5" t="inlineStr">
        <is>
          <t>Yes</t>
        </is>
      </c>
      <c r="Q99" s="5" t="n"/>
    </row>
    <row r="100">
      <c r="A100" t="inlineStr">
        <is>
          <t>Additional Enquiry Details</t>
        </is>
      </c>
      <c r="B100" t="inlineStr">
        <is>
          <t>Required</t>
        </is>
      </c>
      <c r="C100" t="inlineStr">
        <is>
          <t>Provides qualitative enquiry context for seller enablement and operational review.</t>
        </is>
      </c>
      <c r="D100" t="inlineStr">
        <is>
          <t>Customer Input</t>
        </is>
      </c>
      <c r="E100" t="inlineStr">
        <is>
          <t>Required free-text response captured from the customer on the Contact Us form.</t>
        </is>
      </c>
      <c r="F100" t="inlineStr">
        <is>
          <t>What additional details did the contact provide about their enquiry?</t>
        </is>
      </c>
      <c r="G100" t="inlineStr">
        <is>
          <t>Text</t>
        </is>
      </c>
      <c r="L100" t="inlineStr">
        <is>
          <t>Yes</t>
        </is>
      </c>
      <c r="M100" t="inlineStr">
        <is>
          <t>Yes</t>
        </is>
      </c>
    </row>
    <row r="101">
      <c r="A101" s="5" t="inlineStr">
        <is>
          <t>Language</t>
        </is>
      </c>
      <c r="B101" s="5" t="inlineStr">
        <is>
          <t>Derived</t>
        </is>
      </c>
      <c r="C101" s="5" t="inlineStr">
        <is>
          <t>Supports localized operational reporting, routing, and customer experience alignment.</t>
        </is>
      </c>
      <c r="D101" s="5" t="inlineStr">
        <is>
          <t>Marketing Automation Tool</t>
        </is>
      </c>
      <c r="E101" s="5" t="inlineStr">
        <is>
          <t>System-captured locale code (e.g., en_us, ja_jp) for the form submission.</t>
        </is>
      </c>
      <c r="F101" s="5" t="inlineStr">
        <is>
          <t>What is the form language/locale for this submission?</t>
        </is>
      </c>
      <c r="G101" s="5" t="inlineStr">
        <is>
          <t>Text</t>
        </is>
      </c>
      <c r="H101" s="5" t="n"/>
      <c r="I101" s="5" t="n"/>
      <c r="J101" s="5" t="inlineStr">
        <is>
          <t>Yes</t>
        </is>
      </c>
      <c r="K101" s="5" t="n"/>
      <c r="L101" s="5" t="inlineStr">
        <is>
          <t>Yes</t>
        </is>
      </c>
      <c r="M101" s="5" t="inlineStr">
        <is>
          <t>Yes</t>
        </is>
      </c>
      <c r="Q101" s="5" t="n"/>
    </row>
    <row r="102">
      <c r="A102" t="inlineStr">
        <is>
          <t>Funnel Stage</t>
        </is>
      </c>
      <c r="B102" t="inlineStr">
        <is>
          <t>Derived</t>
        </is>
      </c>
      <c r="C102" t="inlineStr">
        <is>
          <t>Supports funnel-based routing, lead scoring, and operational reporting.</t>
        </is>
      </c>
      <c r="D102" t="inlineStr">
        <is>
          <t>Marketing Automation Tool</t>
        </is>
      </c>
      <c r="E102" t="inlineStr">
        <is>
          <t>System-assigned funnel stage (e.g., top, middle, bottom) for the offer submission.</t>
        </is>
      </c>
      <c r="F102" t="inlineStr">
        <is>
          <t>What funnel stage is associated with this submission?</t>
        </is>
      </c>
      <c r="G102" t="inlineStr">
        <is>
          <t>Text</t>
        </is>
      </c>
      <c r="I102" t="inlineStr">
        <is>
          <t>Yes</t>
        </is>
      </c>
      <c r="J102" t="inlineStr">
        <is>
          <t>Yes</t>
        </is>
      </c>
      <c r="M102" t="inlineStr">
        <is>
          <t>Yes</t>
        </is>
      </c>
    </row>
    <row r="103">
      <c r="A103" s="5" t="inlineStr">
        <is>
          <t>Marketing Automation Tool Form ID</t>
        </is>
      </c>
      <c r="B103" s="5" t="inlineStr">
        <is>
          <t>Derived</t>
        </is>
      </c>
      <c r="C103" s="5" t="inlineStr">
        <is>
          <t>Connects the submission to the source form for operational reporting and validation.</t>
        </is>
      </c>
      <c r="D103" s="5" t="inlineStr">
        <is>
          <t>Marketing Automation Tool</t>
        </is>
      </c>
      <c r="E103" s="5" t="inlineStr">
        <is>
          <t>System-captured Marketing Automation Tool form identifier for the Contact Us form.</t>
        </is>
      </c>
      <c r="F103" s="5" t="inlineStr">
        <is>
          <t>What is the Eloqua form identifier for this submission?</t>
        </is>
      </c>
      <c r="G103" s="5" t="inlineStr">
        <is>
          <t>Text</t>
        </is>
      </c>
      <c r="H103" s="5" t="n"/>
      <c r="I103" s="5" t="inlineStr">
        <is>
          <t>Yes</t>
        </is>
      </c>
      <c r="J103" s="5" t="inlineStr">
        <is>
          <t>Yes</t>
        </is>
      </c>
      <c r="K103" s="5" t="n"/>
      <c r="L103" s="5" t="n"/>
      <c r="M103" s="5" t="inlineStr">
        <is>
          <t>Yes</t>
        </is>
      </c>
      <c r="Q103" s="5" t="n"/>
    </row>
    <row r="104">
      <c r="A104" t="inlineStr">
        <is>
          <t>Marketing Automation Tool Email ID</t>
        </is>
      </c>
      <c r="B104" t="inlineStr">
        <is>
          <t>Derived</t>
        </is>
      </c>
      <c r="C104" t="inlineStr">
        <is>
          <t>Connects the submission to the source email for operational reporting and validation.</t>
        </is>
      </c>
      <c r="D104" t="inlineStr">
        <is>
          <t>Marketing Automation Tool</t>
        </is>
      </c>
      <c r="E104" t="inlineStr">
        <is>
          <t>System-captured Eloqua email identifier associated with the form submission.</t>
        </is>
      </c>
      <c r="F104" t="inlineStr">
        <is>
          <t>What is the Eloqua email identifier for this submission?</t>
        </is>
      </c>
      <c r="G104" t="inlineStr">
        <is>
          <t>Text</t>
        </is>
      </c>
      <c r="J104" t="inlineStr">
        <is>
          <t>Yes</t>
        </is>
      </c>
      <c r="M104" t="inlineStr">
        <is>
          <t>Yes</t>
        </is>
      </c>
    </row>
    <row r="105">
      <c r="A105" s="5" t="inlineStr">
        <is>
          <t>Marketing Automation Tool Landing Page ID</t>
        </is>
      </c>
      <c r="B105" s="5" t="inlineStr">
        <is>
          <t>Derived</t>
        </is>
      </c>
      <c r="C105" s="5" t="inlineStr">
        <is>
          <t>Connects the submission to the originating landing page for attribution and operational reporting.</t>
        </is>
      </c>
      <c r="D105" s="5" t="inlineStr">
        <is>
          <t>Marketing Automation Tool</t>
        </is>
      </c>
      <c r="E105" s="5" t="inlineStr">
        <is>
          <t>System-captured Marketing Automation Tool landing page identifier associated with the submission.</t>
        </is>
      </c>
      <c r="F105" s="5" t="inlineStr">
        <is>
          <t>What is the Eloqua landing page identifier for this submission?</t>
        </is>
      </c>
      <c r="G105" s="5" t="inlineStr">
        <is>
          <t>Text</t>
        </is>
      </c>
      <c r="H105" s="5" t="n"/>
      <c r="I105" s="5" t="inlineStr">
        <is>
          <t>Yes</t>
        </is>
      </c>
      <c r="J105" s="5" t="inlineStr">
        <is>
          <t>Yes</t>
        </is>
      </c>
      <c r="K105" s="5" t="n"/>
      <c r="L105" s="5" t="n"/>
      <c r="M105" s="5" t="inlineStr">
        <is>
          <t>Yes</t>
        </is>
      </c>
      <c r="Q105" s="5" t="n"/>
    </row>
  </sheetData>
  <mergeCells count="11">
    <mergeCell ref="A31:Q31"/>
    <mergeCell ref="A56:Q56"/>
    <mergeCell ref="A92:Q92"/>
    <mergeCell ref="A12:Q12"/>
    <mergeCell ref="A50:Q50"/>
    <mergeCell ref="A95:Q95"/>
    <mergeCell ref="A1:Q1"/>
    <mergeCell ref="B5:Q5"/>
    <mergeCell ref="A69:Q69"/>
    <mergeCell ref="B4:Q4"/>
    <mergeCell ref="B3:Q3"/>
  </mergeCells>
  <dataValidations count="1">
    <dataValidation sqref="Q8:Q105"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30.xml><?xml version="1.0" encoding="utf-8"?>
<worksheet xmlns="http://schemas.openxmlformats.org/spreadsheetml/2006/main">
  <sheetPr>
    <outlinePr summaryBelow="1" summaryRight="1"/>
    <pageSetUpPr/>
  </sheetPr>
  <dimension ref="A1:Q105"/>
  <sheetViews>
    <sheetView workbookViewId="0">
      <pane ySplit="6" topLeftCell="A7" activePane="bottomLeft" state="frozen"/>
      <selection pane="bottomLeft" activeCell="A1" sqref="A1"/>
    </sheetView>
  </sheetViews>
  <sheetFormatPr baseColWidth="8" defaultRowHeight="14.25"/>
  <cols>
    <col width="50" customWidth="1" style="7" min="1" max="1"/>
    <col width="16"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UC26 — Online Forms | Hand Raiser | Offers - Demo | Form Submit</t>
        </is>
      </c>
    </row>
    <row r="2">
      <c r="A2" s="14" t="inlineStr">
        <is>
          <t>← Use Case Index</t>
        </is>
      </c>
      <c r="Q2" s="14" t="inlineStr">
        <is>
          <t>Data Element Matrix →</t>
        </is>
      </c>
    </row>
    <row r="3">
      <c r="A3" s="4" t="inlineStr">
        <is>
          <t>Process</t>
        </is>
      </c>
      <c r="B3" t="inlineStr">
        <is>
          <t>Online Forms</t>
        </is>
      </c>
    </row>
    <row r="4">
      <c r="A4" s="4" t="inlineStr">
        <is>
          <t>Lead Category</t>
        </is>
      </c>
      <c r="B4" t="inlineStr">
        <is>
          <t>Hand Raiser</t>
        </is>
      </c>
    </row>
    <row r="5">
      <c r="A5" s="4" t="inlineStr">
        <is>
          <t>Use Case</t>
        </is>
      </c>
      <c r="B5" t="inlineStr">
        <is>
          <t>Offers - Demo</t>
        </is>
      </c>
    </row>
    <row r="6">
      <c r="A6" s="4" t="inlineStr">
        <is>
          <t>Activity Type</t>
        </is>
      </c>
      <c r="B6" t="inlineStr">
        <is>
          <t>Form Submit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To be able to align to lead scoring and attribution models</t>
        </is>
      </c>
      <c r="D9" t="inlineStr">
        <is>
          <t>Tray.io derived</t>
        </is>
      </c>
      <c r="E9" t="inlineStr">
        <is>
          <t>Set by Tray.io on receipt of form from Marketing Automation Tool.</t>
        </is>
      </c>
      <c r="F9" t="inlineStr">
        <is>
          <t>What is the Activity we are aligning attribution to?</t>
        </is>
      </c>
      <c r="G9" t="inlineStr">
        <is>
          <t>Text</t>
        </is>
      </c>
      <c r="I9" t="inlineStr">
        <is>
          <t>Yes</t>
        </is>
      </c>
      <c r="J9" t="inlineStr">
        <is>
          <t>Yes</t>
        </is>
      </c>
      <c r="K9" t="inlineStr">
        <is>
          <t>Yes</t>
        </is>
      </c>
      <c r="M9" t="inlineStr">
        <is>
          <t>Yes</t>
        </is>
      </c>
    </row>
    <row r="10">
      <c r="A10" s="5" t="inlineStr">
        <is>
          <t>Use Case</t>
        </is>
      </c>
      <c r="B10" s="5" t="inlineStr">
        <is>
          <t>Derived</t>
        </is>
      </c>
      <c r="C10" s="5" t="inlineStr">
        <is>
          <t>Separated the type of Form Submit for Attribution models to score separately</t>
        </is>
      </c>
      <c r="D10" s="5" t="inlineStr">
        <is>
          <t>Marketing Automation Tool</t>
        </is>
      </c>
      <c r="E10" s="5" t="inlineStr">
        <is>
          <t>Set by Marketing Automation Tool</t>
        </is>
      </c>
      <c r="F10" s="5" t="inlineStr">
        <is>
          <t>What type of form submit is this?</t>
        </is>
      </c>
      <c r="G10" s="5" t="inlineStr">
        <is>
          <t>Picklist/Text</t>
        </is>
      </c>
      <c r="H10" s="5" t="n"/>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Eloqua contact identifier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Customer Input</t>
        </is>
      </c>
      <c r="E17" s="5" t="inlineStr">
        <is>
          <t>Provided in uploaded contact file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Customer Input</t>
        </is>
      </c>
      <c r="E18" t="inlineStr">
        <is>
          <t>Provided in uploaded contact file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Customer Input</t>
        </is>
      </c>
      <c r="E19" s="5" t="inlineStr">
        <is>
          <t>Provided in uploaded contact file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Recommended</t>
        </is>
      </c>
      <c r="C20" t="inlineStr">
        <is>
          <t>Supports contact matching, enrichment, routing, and lead scoring</t>
        </is>
      </c>
      <c r="D20" t="inlineStr">
        <is>
          <t>Customer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level?</t>
        </is>
      </c>
      <c r="G20" t="inlineStr">
        <is>
          <t>List of values / derived</t>
        </is>
      </c>
      <c r="K20" t="inlineStr">
        <is>
          <t>Yes</t>
        </is>
      </c>
      <c r="L20" t="inlineStr">
        <is>
          <t>Yes</t>
        </is>
      </c>
      <c r="M20" t="inlineStr">
        <is>
          <t>Yes</t>
        </is>
      </c>
    </row>
    <row r="21">
      <c r="A21" s="5" t="inlineStr">
        <is>
          <t>Job Department</t>
        </is>
      </c>
      <c r="B21" s="5" t="inlineStr">
        <is>
          <t>Recommended</t>
        </is>
      </c>
      <c r="C21" s="5" t="inlineStr">
        <is>
          <t>Supports contact matching, enrichment, routing, and lead scoring</t>
        </is>
      </c>
      <c r="D21" s="5" t="inlineStr">
        <is>
          <t>Derived in Contact Database</t>
        </is>
      </c>
      <c r="E21" s="5" t="inlineStr">
        <is>
          <t>Marketing Source when available; if not provided, the value is programmatically derived from the existing Job Title within the contact database</t>
        </is>
      </c>
      <c r="F21" s="5" t="inlineStr">
        <is>
          <t>What is the contact job department?</t>
        </is>
      </c>
      <c r="G21" s="5" t="inlineStr">
        <is>
          <t>List of values / derived</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Customer Input</t>
        </is>
      </c>
      <c r="E22" t="inlineStr">
        <is>
          <t>Provided in Form</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Customer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Customer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Customer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Customer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Customer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Customer Input</t>
        </is>
      </c>
      <c r="E39" t="inlineStr">
        <is>
          <t>Provided in uploaded contact file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inlineStr">
        <is>
          <t>Yes</t>
        </is>
      </c>
      <c r="M48" s="5" t="inlineStr">
        <is>
          <t>Yes</t>
        </is>
      </c>
      <c r="Q48" s="5" t="n"/>
    </row>
    <row r="49">
      <c r="A49" t="inlineStr">
        <is>
          <t>Phone Extension</t>
        </is>
      </c>
      <c r="B49" t="inlineStr">
        <is>
          <t>Optional</t>
        </is>
      </c>
      <c r="C49" t="inlineStr">
        <is>
          <t>Excluded from standard performance reporting</t>
        </is>
      </c>
      <c r="D49" t="inlineStr">
        <is>
          <t>Customer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Customer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Customer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n"/>
      <c r="I53" s="5" t="n"/>
      <c r="J53" s="5" t="n"/>
      <c r="K53" s="5" t="n"/>
      <c r="L53" s="5" t="inlineStr">
        <is>
          <t>Yes</t>
        </is>
      </c>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Customer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L54" t="inlineStr">
        <is>
          <t>Yes</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Customer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inlineStr">
        <is>
          <t>Yes</t>
        </is>
      </c>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inlineStr">
        <is>
          <t>Yes</t>
        </is>
      </c>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L59" t="inlineStr">
        <is>
          <t>Yes</t>
        </is>
      </c>
      <c r="M59" t="inlineStr">
        <is>
          <t>Yes</t>
        </is>
      </c>
    </row>
    <row r="60">
      <c r="A60" s="5" t="inlineStr">
        <is>
          <t>Activity ID</t>
        </is>
      </c>
      <c r="B60" s="5" t="inlineStr">
        <is>
          <t>Derived</t>
        </is>
      </c>
      <c r="C60" s="5" t="inlineStr">
        <is>
          <t>Maintains compatibility with existing operational, attribution, and funnel reporting during transition.</t>
        </is>
      </c>
      <c r="D60" s="5" t="inlineStr">
        <is>
          <t>Marketing Automation Tool/Tealium</t>
        </is>
      </c>
      <c r="E60" s="5" t="inlineStr">
        <is>
          <t>Captured by Tealium from customers driving URL and passed to Marketing Automation Tool</t>
        </is>
      </c>
      <c r="F60" s="5" t="inlineStr">
        <is>
          <t>What is the  Activity ID for this activity?</t>
        </is>
      </c>
      <c r="G60" s="5" t="inlineStr">
        <is>
          <t>Text</t>
        </is>
      </c>
      <c r="H60" s="5" t="n"/>
      <c r="I60" s="5" t="inlineStr">
        <is>
          <t>Yes</t>
        </is>
      </c>
      <c r="J60" s="5" t="inlineStr">
        <is>
          <t>Yes</t>
        </is>
      </c>
      <c r="K60" s="5" t="inlineStr">
        <is>
          <t>Yes</t>
        </is>
      </c>
      <c r="L60" s="5" t="inlineStr">
        <is>
          <t>Yes</t>
        </is>
      </c>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L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inlineStr">
        <is>
          <t>Yes</t>
        </is>
      </c>
      <c r="M62" s="5" t="inlineStr">
        <is>
          <t>Yes</t>
        </is>
      </c>
      <c r="Q62" s="5" t="n"/>
    </row>
    <row r="63">
      <c r="A63" t="inlineStr">
        <is>
          <t>Drive To ID</t>
        </is>
      </c>
      <c r="B63" t="inlineStr">
        <is>
          <t>Required</t>
        </is>
      </c>
      <c r="C63" t="inlineStr">
        <is>
          <t>Maintains legacy destination and drive-to reporting alignment during transition.</t>
        </is>
      </c>
      <c r="D63" t="inlineStr">
        <is>
          <t>Marketing Automation Tool/Tealium</t>
        </is>
      </c>
      <c r="E63" t="inlineStr">
        <is>
          <t>Captured by Tealium from customers driving URL and passed to Marketing Automation Tool</t>
        </is>
      </c>
      <c r="F63" t="inlineStr">
        <is>
          <t>What is the Drive To ID?</t>
        </is>
      </c>
      <c r="G63" t="inlineStr">
        <is>
          <t>Text</t>
        </is>
      </c>
      <c r="I63" t="inlineStr">
        <is>
          <t>Yes</t>
        </is>
      </c>
      <c r="J63" t="inlineStr">
        <is>
          <t>Yes</t>
        </is>
      </c>
      <c r="L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Optional</t>
        </is>
      </c>
      <c r="C66" s="5" t="inlineStr">
        <is>
          <t>Maintains legacy offer identification for attribution, campaign reporting, and operational alignment during transition.</t>
        </is>
      </c>
      <c r="D66" s="5" t="inlineStr">
        <is>
          <t>Marketing Automation Tool/Tealium</t>
        </is>
      </c>
      <c r="E66" s="5" t="inlineStr">
        <is>
          <t>Captured by Marketing Automation Tool from Offer Consumed</t>
        </is>
      </c>
      <c r="F66" s="5" t="inlineStr">
        <is>
          <t>What is the Offer ID?</t>
        </is>
      </c>
      <c r="G66" s="5" t="inlineStr">
        <is>
          <t>Text</t>
        </is>
      </c>
      <c r="H66" s="5" t="n"/>
      <c r="I66" s="5" t="inlineStr">
        <is>
          <t>Yes</t>
        </is>
      </c>
      <c r="J66" s="5" t="inlineStr">
        <is>
          <t>Yes</t>
        </is>
      </c>
      <c r="K66" s="5" t="n"/>
      <c r="L66" s="5" t="inlineStr">
        <is>
          <t>Yes</t>
        </is>
      </c>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t>
        </is>
      </c>
      <c r="G67" t="inlineStr">
        <is>
          <t>System lookup</t>
        </is>
      </c>
      <c r="L67" t="inlineStr">
        <is>
          <t>Yes</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t>
        </is>
      </c>
      <c r="G68" s="5" t="inlineStr">
        <is>
          <t>System lookup</t>
        </is>
      </c>
      <c r="H68" s="5" t="n"/>
      <c r="I68" s="5" t="n"/>
      <c r="J68" s="5" t="n"/>
      <c r="K68" s="5" t="n"/>
      <c r="L68" s="5" t="inlineStr">
        <is>
          <t>Yes</t>
        </is>
      </c>
      <c r="M68" s="5" t="inlineStr">
        <is>
          <t>Yes</t>
        </is>
      </c>
      <c r="Q68" s="5" t="n"/>
    </row>
    <row r="69">
      <c r="A69" t="inlineStr">
        <is>
          <t>Offer Type</t>
        </is>
      </c>
    </row>
    <row r="70">
      <c r="A70" s="6" t="inlineStr">
        <is>
          <t>6 - Future Tracking Parameters</t>
        </is>
      </c>
    </row>
    <row r="71">
      <c r="A71" s="5" t="inlineStr">
        <is>
          <t>Workfront Channel ID</t>
        </is>
      </c>
      <c r="B71" s="5" t="inlineStr">
        <is>
          <t>Derived</t>
        </is>
      </c>
      <c r="C71" s="5" t="inlineStr">
        <is>
          <t>Connects the upload to the Workfront channel taxonomy for durable operational and attribution alignment.</t>
        </is>
      </c>
      <c r="D71" s="5" t="inlineStr">
        <is>
          <t>Marketing Automation Tool/Tealium</t>
        </is>
      </c>
      <c r="E71" s="5" t="inlineStr">
        <is>
          <t>Captured by Tealium from customers driving URL and passed to Marketing Automation Tool</t>
        </is>
      </c>
      <c r="F71" s="5" t="inlineStr">
        <is>
          <t>N/A - appended by Tray.io after upload</t>
        </is>
      </c>
      <c r="G71" s="5" t="inlineStr">
        <is>
          <t>Text</t>
        </is>
      </c>
      <c r="H71" s="5" t="n"/>
      <c r="I71" s="5" t="inlineStr">
        <is>
          <t>Yes</t>
        </is>
      </c>
      <c r="J71" s="5" t="inlineStr">
        <is>
          <t>Yes</t>
        </is>
      </c>
      <c r="K71" s="5" t="n"/>
      <c r="L71" s="5" t="inlineStr">
        <is>
          <t>Yes</t>
        </is>
      </c>
      <c r="M71" s="5" t="inlineStr">
        <is>
          <t>Yes</t>
        </is>
      </c>
      <c r="Q71" s="5" t="n"/>
    </row>
    <row r="72">
      <c r="A72" t="inlineStr">
        <is>
          <t>Primary Technology</t>
        </is>
      </c>
      <c r="B72" t="inlineStr">
        <is>
          <t>Derived</t>
        </is>
      </c>
      <c r="C72" t="inlineStr">
        <is>
          <t>Identifies the primary technology associated with the content for future attribution, operational, and seller enablement reporting.</t>
        </is>
      </c>
      <c r="D72" t="inlineStr">
        <is>
          <t>Tray.io / Workfront derived</t>
        </is>
      </c>
      <c r="E72" t="inlineStr">
        <is>
          <t>Tray.io derives Primary Technology from Workfront Content ID and Workfront Channel ID alignment.</t>
        </is>
      </c>
      <c r="F72" t="inlineStr">
        <is>
          <t>N/A - appended by Tray.io after upload</t>
        </is>
      </c>
      <c r="G72" t="inlineStr">
        <is>
          <t>System lookup</t>
        </is>
      </c>
      <c r="I72" t="inlineStr">
        <is>
          <t>Yes</t>
        </is>
      </c>
      <c r="J72" t="inlineStr">
        <is>
          <t>Yes</t>
        </is>
      </c>
      <c r="L72" t="inlineStr">
        <is>
          <t>Yes</t>
        </is>
      </c>
      <c r="M72" t="inlineStr">
        <is>
          <t>Yes</t>
        </is>
      </c>
    </row>
    <row r="73">
      <c r="A73" s="5" t="inlineStr">
        <is>
          <t>Campaign</t>
        </is>
      </c>
      <c r="B73" s="5" t="inlineStr">
        <is>
          <t>Derived</t>
        </is>
      </c>
      <c r="C73" s="5" t="inlineStr">
        <is>
          <t>Connects the touchpoint to campaign-level attribution and marketing sourced pipeline reporting aligned to Workfront Content ID and Channel ID.</t>
        </is>
      </c>
      <c r="D73" s="5" t="inlineStr">
        <is>
          <t>Tray.io / Workfront derived</t>
        </is>
      </c>
      <c r="E73" s="5" t="inlineStr">
        <is>
          <t>Tray.io derives Campaign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inlineStr">
        <is>
          <t>Yes</t>
        </is>
      </c>
      <c r="M73" s="5" t="inlineStr">
        <is>
          <t>Yes</t>
        </is>
      </c>
      <c r="Q73" s="5" t="n"/>
    </row>
    <row r="74">
      <c r="A74" t="inlineStr">
        <is>
          <t>Program</t>
        </is>
      </c>
      <c r="B74" t="inlineStr">
        <is>
          <t>Derived</t>
        </is>
      </c>
      <c r="C74" t="inlineStr">
        <is>
          <t>Connects the touchpoint to program-level attribution and marketing sourced pipeline reporting aligned to Workfront Content ID and Channel ID.</t>
        </is>
      </c>
      <c r="D74" t="inlineStr">
        <is>
          <t>Tray.io / Workfront derived</t>
        </is>
      </c>
      <c r="E74" t="inlineStr">
        <is>
          <t>Tray.io derives Program from Workfront Content ID and Workfront Channel ID alignment.</t>
        </is>
      </c>
      <c r="F74" t="inlineStr">
        <is>
          <t>N/A - appended by Tray.io after upload</t>
        </is>
      </c>
      <c r="G74" t="inlineStr">
        <is>
          <t>System lookup</t>
        </is>
      </c>
      <c r="I74" t="inlineStr">
        <is>
          <t>Yes</t>
        </is>
      </c>
      <c r="J74" t="inlineStr">
        <is>
          <t>Yes</t>
        </is>
      </c>
      <c r="L74" t="inlineStr">
        <is>
          <t>Yes</t>
        </is>
      </c>
      <c r="M74" t="inlineStr">
        <is>
          <t>Yes</t>
        </is>
      </c>
    </row>
    <row r="75">
      <c r="A75" s="5" t="inlineStr">
        <is>
          <t>Funnel Stage</t>
        </is>
      </c>
      <c r="B75" s="5" t="inlineStr">
        <is>
          <t>Derived</t>
        </is>
      </c>
      <c r="C75" s="5" t="inlineStr">
        <is>
          <t>Supports funnel-based routing, lead scoring, and operational reporting aligned to Workfront Content ID and Channel ID.</t>
        </is>
      </c>
      <c r="D75" s="5" t="inlineStr">
        <is>
          <t>Tray.io / Workfront derived</t>
        </is>
      </c>
      <c r="E75" s="5" t="inlineStr">
        <is>
          <t>Tray.io derives Funnel Stage from Workfront Content ID and Workfront Channel ID alignment.</t>
        </is>
      </c>
      <c r="F75" s="5" t="inlineStr">
        <is>
          <t>N/A - appended by Tray.io after upload</t>
        </is>
      </c>
      <c r="G75" s="5" t="inlineStr">
        <is>
          <t>System lookup</t>
        </is>
      </c>
      <c r="H75" s="5" t="n"/>
      <c r="I75" s="5" t="inlineStr">
        <is>
          <t>Yes</t>
        </is>
      </c>
      <c r="J75" s="5" t="inlineStr">
        <is>
          <t>Yes</t>
        </is>
      </c>
      <c r="K75" s="5" t="n"/>
      <c r="L75" s="5" t="n"/>
      <c r="M75" s="5" t="inlineStr">
        <is>
          <t>Yes</t>
        </is>
      </c>
      <c r="Q75" s="5" t="n"/>
    </row>
    <row r="76">
      <c r="A76" t="inlineStr">
        <is>
          <t>Workfront Content ID</t>
        </is>
      </c>
      <c r="B76" t="inlineStr">
        <is>
          <t>Derived</t>
        </is>
      </c>
      <c r="C76" t="inlineStr">
        <is>
          <t>Connects the upload to the Workfront Content taxonomy for durable operational and attribution alignment.</t>
        </is>
      </c>
      <c r="D76" t="inlineStr">
        <is>
          <t>Marketing Automation Tool/Tealium</t>
        </is>
      </c>
      <c r="E76" t="inlineStr">
        <is>
          <t>Captured by Marketing Automation Tool from Offer Consumed aligned to the Workfront Project that created it</t>
        </is>
      </c>
      <c r="F76" t="inlineStr">
        <is>
          <t>N/A - Appended by Telium and Marketing Automation Tool</t>
        </is>
      </c>
      <c r="G76" t="inlineStr">
        <is>
          <t>Text</t>
        </is>
      </c>
      <c r="I76" t="inlineStr">
        <is>
          <t>Yes</t>
        </is>
      </c>
      <c r="J76" t="inlineStr">
        <is>
          <t>Yes</t>
        </is>
      </c>
      <c r="L76" t="inlineStr">
        <is>
          <t>Yes</t>
        </is>
      </c>
      <c r="M76" t="inlineStr">
        <is>
          <t>Yes</t>
        </is>
      </c>
    </row>
    <row r="77">
      <c r="A77" s="5" t="inlineStr">
        <is>
          <t>Content Type</t>
        </is>
      </c>
      <c r="B77" s="5" t="inlineStr">
        <is>
          <t>Derived</t>
        </is>
      </c>
      <c r="C77" s="5" t="inlineStr">
        <is>
          <t>Identifies the content classification for future attribution, operational, and funnel reporting aligned to Workfront Content ID.</t>
        </is>
      </c>
      <c r="D77" s="5" t="inlineStr">
        <is>
          <t>Tray.io / Workfront derived</t>
        </is>
      </c>
      <c r="E77" s="5" t="inlineStr">
        <is>
          <t>Tray.io derives Content Type from Workfront Content ID alignment.</t>
        </is>
      </c>
      <c r="F77" s="5" t="inlineStr">
        <is>
          <t>N/A - appended by Tray.io after upload</t>
        </is>
      </c>
      <c r="G77" s="5" t="inlineStr">
        <is>
          <t>System lookup</t>
        </is>
      </c>
      <c r="H77" s="5" t="inlineStr">
        <is>
          <t>This field relates to Web Content Type, Webinar Type and Event Type from Workfront.</t>
        </is>
      </c>
      <c r="I77" s="5" t="inlineStr">
        <is>
          <t>Yes</t>
        </is>
      </c>
      <c r="J77" s="5" t="inlineStr">
        <is>
          <t>Yes</t>
        </is>
      </c>
      <c r="K77" s="5" t="n"/>
      <c r="L77" s="5" t="inlineStr">
        <is>
          <t>Yes</t>
        </is>
      </c>
      <c r="M77" s="5" t="inlineStr">
        <is>
          <t>Yes</t>
        </is>
      </c>
      <c r="Q77" s="5" t="n"/>
    </row>
    <row r="78">
      <c r="A78" t="inlineStr">
        <is>
          <t>C_ECID</t>
        </is>
      </c>
      <c r="B78" t="inlineStr">
        <is>
          <t>Derived</t>
        </is>
      </c>
      <c r="C78" t="inlineStr">
        <is>
          <t>Supports cross-session identity stitching for attribution and operational reporting.</t>
        </is>
      </c>
      <c r="D78" t="inlineStr">
        <is>
          <t>Marketing Automation Tool/Tealium</t>
        </is>
      </c>
      <c r="E78" t="inlineStr">
        <is>
          <t>Captured by Tealium as First Party Cookie and passed to Marketing Automation Tool</t>
        </is>
      </c>
      <c r="F78" t="inlineStr">
        <is>
          <t>N/A - Appended by Telium and Marketing Automation Tool</t>
        </is>
      </c>
      <c r="G78" t="inlineStr">
        <is>
          <t>Text</t>
        </is>
      </c>
      <c r="I78" t="inlineStr">
        <is>
          <t>Yes</t>
        </is>
      </c>
      <c r="J78" t="inlineStr">
        <is>
          <t>Yes</t>
        </is>
      </c>
      <c r="M78" t="inlineStr">
        <is>
          <t>Yes</t>
        </is>
      </c>
    </row>
    <row r="79">
      <c r="A79" s="5" t="inlineStr">
        <is>
          <t>C_FPID</t>
        </is>
      </c>
      <c r="B79" s="5" t="inlineStr">
        <is>
          <t>Derived</t>
        </is>
      </c>
      <c r="C79" s="5" t="inlineStr">
        <is>
          <t>Supports first-party identity stitching for attribution and operational reporting.</t>
        </is>
      </c>
      <c r="D79" s="5" t="inlineStr">
        <is>
          <t>Marketing Automation Tool/Tealium</t>
        </is>
      </c>
      <c r="E79" s="5" t="inlineStr">
        <is>
          <t>Captured by Tealium as First Party Cookie and passed to Marketing Automation Tool</t>
        </is>
      </c>
      <c r="F79" s="5" t="inlineStr">
        <is>
          <t>N/A - Appended by Telium and Marketing Automation Tool</t>
        </is>
      </c>
      <c r="G79" s="5" t="inlineStr">
        <is>
          <t>Text</t>
        </is>
      </c>
      <c r="H79" s="5" t="n"/>
      <c r="I79" s="5" t="inlineStr">
        <is>
          <t>Yes</t>
        </is>
      </c>
      <c r="J79" s="5" t="inlineStr">
        <is>
          <t>Yes</t>
        </is>
      </c>
      <c r="K79" s="5" t="n"/>
      <c r="L79" s="5" t="n"/>
      <c r="M79" s="5" t="inlineStr">
        <is>
          <t>Yes</t>
        </is>
      </c>
      <c r="Q79" s="5" t="n"/>
    </row>
    <row r="80">
      <c r="A80" t="inlineStr">
        <is>
          <t>Call to Action URL</t>
        </is>
      </c>
      <c r="B80" t="inlineStr">
        <is>
          <t>Derived</t>
        </is>
      </c>
      <c r="C80" t="inlineStr">
        <is>
          <t>Captures the CTA destination for attribution, seller enablement, and downstream follow-up context.</t>
        </is>
      </c>
      <c r="D80" t="inlineStr">
        <is>
          <t>Marketing Automation Tool/Tealium</t>
        </is>
      </c>
      <c r="E80" t="inlineStr">
        <is>
          <t>Captured by Tealium from the Customers selection of the Call to Action to access the Gated Offer and passed to Marketing Automation Tool</t>
        </is>
      </c>
      <c r="F80" t="inlineStr">
        <is>
          <t>N/A - Appended by Telium and Marketing Automation Tool</t>
        </is>
      </c>
      <c r="G80" t="inlineStr">
        <is>
          <t>Text</t>
        </is>
      </c>
      <c r="L80" t="inlineStr">
        <is>
          <t>Yes</t>
        </is>
      </c>
      <c r="M80" t="inlineStr">
        <is>
          <t>Yes</t>
        </is>
      </c>
    </row>
    <row r="81">
      <c r="A81" s="5" t="inlineStr">
        <is>
          <t>CP_GUTC</t>
        </is>
      </c>
      <c r="B81" s="5" t="inlineStr">
        <is>
          <t>Derived</t>
        </is>
      </c>
      <c r="C81" s="5" t="inlineStr">
        <is>
          <t>Supports visitor tracking, identity stitching, and attribution analysis.</t>
        </is>
      </c>
      <c r="D81" s="5" t="inlineStr">
        <is>
          <t>Marketing Automation Tool/Tealium</t>
        </is>
      </c>
      <c r="E81" s="5" t="inlineStr">
        <is>
          <t>Captured by Tealium tracking cookie and passed to Marketing Automation Tool.</t>
        </is>
      </c>
      <c r="F81" s="5" t="inlineStr">
        <is>
          <t>What is the Cisco tracking cookie value for this submission?</t>
        </is>
      </c>
      <c r="G81" s="5" t="inlineStr">
        <is>
          <t>Text</t>
        </is>
      </c>
      <c r="H81" s="5" t="n"/>
      <c r="I81" s="5" t="inlineStr">
        <is>
          <t>Yes</t>
        </is>
      </c>
      <c r="J81" s="5" t="inlineStr">
        <is>
          <t>Yes</t>
        </is>
      </c>
      <c r="K81" s="5" t="n"/>
      <c r="L81" s="5" t="n"/>
      <c r="M81" s="5" t="inlineStr">
        <is>
          <t>Yes</t>
        </is>
      </c>
      <c r="Q81" s="5" t="n"/>
    </row>
    <row r="82">
      <c r="A82" t="inlineStr">
        <is>
          <t>Entry URL</t>
        </is>
      </c>
      <c r="B82" t="inlineStr">
        <is>
          <t>Derived</t>
        </is>
      </c>
      <c r="C82" t="inlineStr">
        <is>
          <t>Captures first-entry URL for attribution journey analysis and operational reporting.</t>
        </is>
      </c>
      <c r="D82" t="inlineStr">
        <is>
          <t>Marketing Automation Tool/Tealium</t>
        </is>
      </c>
      <c r="E82" t="inlineStr">
        <is>
          <t>Captured by Tealium from the Customers first entry to .com and passed to Marketing Automation Tool</t>
        </is>
      </c>
      <c r="F82" t="inlineStr">
        <is>
          <t>N/A - Appended by Telium and Marketing Automation Tool</t>
        </is>
      </c>
      <c r="G82" t="inlineStr">
        <is>
          <t>Text</t>
        </is>
      </c>
      <c r="I82" t="inlineStr">
        <is>
          <t>Yes</t>
        </is>
      </c>
      <c r="J82" t="inlineStr">
        <is>
          <t>Yes</t>
        </is>
      </c>
      <c r="M82" t="inlineStr">
        <is>
          <t>Yes</t>
        </is>
      </c>
    </row>
    <row r="83">
      <c r="A83" s="5" t="inlineStr">
        <is>
          <t>Gated Page URL</t>
        </is>
      </c>
      <c r="B83" s="5" t="inlineStr">
        <is>
          <t>Derived</t>
        </is>
      </c>
      <c r="C83" s="5" t="inlineStr">
        <is>
          <t>Captures gated offer page context for operational reporting, seller enablement, and downstream follow-up.</t>
        </is>
      </c>
      <c r="D83" s="5" t="inlineStr">
        <is>
          <t>Marketing Automation Tool/Tealium</t>
        </is>
      </c>
      <c r="E83" s="5" t="inlineStr">
        <is>
          <t>Captured by Tealium from gated offer page consumed by the customer and passed to Marketing Automation Tool</t>
        </is>
      </c>
      <c r="F83" s="5" t="inlineStr">
        <is>
          <t>N/A - Appended by Telium and Marketing Automation Tool</t>
        </is>
      </c>
      <c r="G83" s="5" t="inlineStr">
        <is>
          <t>Text</t>
        </is>
      </c>
      <c r="H83" s="5" t="n"/>
      <c r="I83" s="5" t="n"/>
      <c r="J83" s="5" t="inlineStr">
        <is>
          <t>Yes</t>
        </is>
      </c>
      <c r="K83" s="5" t="n"/>
      <c r="L83" s="5" t="inlineStr">
        <is>
          <t>Yes</t>
        </is>
      </c>
      <c r="M83" s="5" t="inlineStr">
        <is>
          <t>Yes</t>
        </is>
      </c>
      <c r="Q83" s="5" t="n"/>
    </row>
    <row r="84">
      <c r="A84" t="inlineStr">
        <is>
          <t>Google Click ID</t>
        </is>
      </c>
      <c r="B84" t="inlineStr">
        <is>
          <t>Derived</t>
        </is>
      </c>
      <c r="C84" t="inlineStr">
        <is>
          <t>Supports paid search click-level attribution and campaign performance reporting.</t>
        </is>
      </c>
      <c r="D84" t="inlineStr">
        <is>
          <t>Marketing Automation Tool/Tealium</t>
        </is>
      </c>
      <c r="E84" t="inlineStr">
        <is>
          <t>Captured from Google Ads click tracking parameters and passed to Marketing Automation Tool.</t>
        </is>
      </c>
      <c r="F84" t="inlineStr">
        <is>
          <t>What is the Google click identifier (gclid) for this submission?</t>
        </is>
      </c>
      <c r="G84" t="inlineStr">
        <is>
          <t>Text</t>
        </is>
      </c>
      <c r="I84" t="inlineStr">
        <is>
          <t>Yes</t>
        </is>
      </c>
      <c r="J84" t="inlineStr">
        <is>
          <t>Yes</t>
        </is>
      </c>
      <c r="M84" t="inlineStr">
        <is>
          <t>Yes</t>
        </is>
      </c>
    </row>
    <row r="85">
      <c r="A85" s="5" t="inlineStr">
        <is>
          <t>Link Click ID</t>
        </is>
      </c>
      <c r="B85" s="5" t="inlineStr">
        <is>
          <t>Derived</t>
        </is>
      </c>
      <c r="C85" s="5" t="inlineStr">
        <is>
          <t>Supports click-level attribution and operational reporting for paid media touchpoints.</t>
        </is>
      </c>
      <c r="D85" s="5" t="inlineStr">
        <is>
          <t>Marketing Automation Tool/Tealium</t>
        </is>
      </c>
      <c r="E85" s="5" t="inlineStr">
        <is>
          <t>Captured by Tealium system-generated alphanumeric code appended to an ad's destination URL when a user clicks it and passed to Marketing Automation Tool</t>
        </is>
      </c>
      <c r="F85" s="5" t="inlineStr">
        <is>
          <t>N/A - Appended by Telium and Marketing Automation Tool</t>
        </is>
      </c>
      <c r="G85" s="5" t="inlineStr">
        <is>
          <t>Text</t>
        </is>
      </c>
      <c r="H85" s="5" t="n"/>
      <c r="I85" s="5" t="inlineStr">
        <is>
          <t>Yes</t>
        </is>
      </c>
      <c r="J85" s="5" t="inlineStr">
        <is>
          <t>Yes</t>
        </is>
      </c>
      <c r="K85" s="5" t="n"/>
      <c r="L85" s="5" t="n"/>
      <c r="M85" s="5" t="inlineStr">
        <is>
          <t>Yes</t>
        </is>
      </c>
      <c r="Q85" s="5" t="n"/>
    </row>
    <row r="86">
      <c r="A86" t="inlineStr">
        <is>
          <t>Source Domain</t>
        </is>
      </c>
      <c r="B86" t="inlineStr">
        <is>
          <t>Derived</t>
        </is>
      </c>
      <c r="C86" t="inlineStr">
        <is>
          <t>Captures referring domain for attribution journey analysis and operational reporting.</t>
        </is>
      </c>
      <c r="D86" t="inlineStr">
        <is>
          <t>Marketing Automation Tool/Tealium</t>
        </is>
      </c>
      <c r="E86" t="inlineStr">
        <is>
          <t>Captured by Tealium from the Customers previous state to .com and passed to Marketing Automation Tool</t>
        </is>
      </c>
      <c r="F86" t="inlineStr">
        <is>
          <t>N/A - Appended by Telium and Marketing Automation Tool</t>
        </is>
      </c>
      <c r="G86" t="inlineStr">
        <is>
          <t>Text</t>
        </is>
      </c>
      <c r="I86" t="inlineStr">
        <is>
          <t>Yes</t>
        </is>
      </c>
      <c r="J86" t="inlineStr">
        <is>
          <t>Yes</t>
        </is>
      </c>
      <c r="M86" t="inlineStr">
        <is>
          <t>Yes</t>
        </is>
      </c>
    </row>
    <row r="87">
      <c r="A87" s="5" t="inlineStr">
        <is>
          <t>utm_campaign</t>
        </is>
      </c>
      <c r="B87" s="5" t="inlineStr">
        <is>
          <t>Derived</t>
        </is>
      </c>
      <c r="C87" s="5" t="inlineStr">
        <is>
          <t>Identifies the campaign for future attribution, operational, and funnel reporting after legacy IDs are decommissioned.</t>
        </is>
      </c>
      <c r="D87" s="5" t="inlineStr">
        <is>
          <t>Marketing Automation Tool/Tealium</t>
        </is>
      </c>
      <c r="E87" s="5" t="inlineStr">
        <is>
          <t>Captured by Tealium from customers driving URL and passed to Marketing Automation Tool</t>
        </is>
      </c>
      <c r="F87" s="5" t="inlineStr">
        <is>
          <t>N/A - Appended by Telium and Marketing Automation Tool</t>
        </is>
      </c>
      <c r="G87" s="5" t="inlineStr">
        <is>
          <t>Text</t>
        </is>
      </c>
      <c r="H87" s="5" t="n"/>
      <c r="I87" s="5" t="n"/>
      <c r="J87" s="5" t="inlineStr">
        <is>
          <t>Yes</t>
        </is>
      </c>
      <c r="K87" s="5" t="n"/>
      <c r="L87" s="5" t="n"/>
      <c r="M87" s="5" t="inlineStr">
        <is>
          <t>Yes</t>
        </is>
      </c>
      <c r="Q87" s="5" t="n"/>
    </row>
    <row r="88">
      <c r="A88" t="inlineStr">
        <is>
          <t>utm_content</t>
        </is>
      </c>
      <c r="B88" t="inlineStr">
        <is>
          <t>Derived</t>
        </is>
      </c>
      <c r="C88" t="inlineStr">
        <is>
          <t>Identifies the content variant for future attribution, operational, and funnel reporting after legacy IDs are decommissioned.</t>
        </is>
      </c>
      <c r="D88" t="inlineStr">
        <is>
          <t>Marketing Automation Tool/Tealium</t>
        </is>
      </c>
      <c r="E88" t="inlineStr">
        <is>
          <t>Captured by Tealium from customers driving URL and passed to Marketing Automation Tool</t>
        </is>
      </c>
      <c r="F88" t="inlineStr">
        <is>
          <t>N/A - Appended by Telium and Marketing Automation Tool</t>
        </is>
      </c>
      <c r="G88" t="inlineStr">
        <is>
          <t>Text</t>
        </is>
      </c>
      <c r="J88" t="inlineStr">
        <is>
          <t>Yes</t>
        </is>
      </c>
      <c r="M88" t="inlineStr">
        <is>
          <t>Yes</t>
        </is>
      </c>
    </row>
    <row r="89">
      <c r="A89" s="5" t="inlineStr">
        <is>
          <t>utm_creative</t>
        </is>
      </c>
      <c r="B89" s="5" t="inlineStr">
        <is>
          <t>Derived</t>
        </is>
      </c>
      <c r="C89" s="5" t="inlineStr">
        <is>
          <t>Identifies the creative for future attribution, operational, and funnel reporting after legacy IDs are decommissioned.</t>
        </is>
      </c>
      <c r="D89" s="5" t="inlineStr">
        <is>
          <t>Marketing Automation Tool/Tealium</t>
        </is>
      </c>
      <c r="E89" s="5" t="inlineStr">
        <is>
          <t>Captured by Tealium from customers driving URL and passed to Marketing Automation Tool</t>
        </is>
      </c>
      <c r="F89" s="5" t="inlineStr">
        <is>
          <t>N/A - Appended by Telium and Marketing Automation Tool</t>
        </is>
      </c>
      <c r="G89" s="5" t="inlineStr">
        <is>
          <t>Text</t>
        </is>
      </c>
      <c r="H89" s="5" t="n"/>
      <c r="I89" s="5" t="n"/>
      <c r="J89" s="5" t="inlineStr">
        <is>
          <t>Yes</t>
        </is>
      </c>
      <c r="K89" s="5" t="n"/>
      <c r="L89" s="5" t="n"/>
      <c r="M89" s="5" t="inlineStr">
        <is>
          <t>Yes</t>
        </is>
      </c>
      <c r="Q89" s="5" t="n"/>
    </row>
    <row r="90">
      <c r="A90" t="inlineStr">
        <is>
          <t>utm_medium</t>
        </is>
      </c>
      <c r="B90" t="inlineStr">
        <is>
          <t>Derived</t>
        </is>
      </c>
      <c r="C90" t="inlineStr">
        <is>
          <t>Identifies the driving channel for future attribution, operational, and funnel reporting after legacy IDs are decommissioned.</t>
        </is>
      </c>
      <c r="D90" t="inlineStr">
        <is>
          <t>Marketing Automation Tool/Tealium</t>
        </is>
      </c>
      <c r="E90" t="inlineStr">
        <is>
          <t>Captured by Tealium from customers driving URL and passed to Marketing Automation Tool</t>
        </is>
      </c>
      <c r="F90" t="inlineStr">
        <is>
          <t>N/A - Appended by Telium and Marketing Automation Tool</t>
        </is>
      </c>
      <c r="G90" t="inlineStr">
        <is>
          <t>Picklist/Text</t>
        </is>
      </c>
      <c r="I90" t="inlineStr">
        <is>
          <t>Yes</t>
        </is>
      </c>
      <c r="J90" t="inlineStr">
        <is>
          <t>Yes</t>
        </is>
      </c>
      <c r="M90" t="inlineStr">
        <is>
          <t>Yes</t>
        </is>
      </c>
    </row>
    <row r="91">
      <c r="A91" s="5" t="inlineStr">
        <is>
          <t>utm_source</t>
        </is>
      </c>
      <c r="B91" s="5" t="inlineStr">
        <is>
          <t>Derived</t>
        </is>
      </c>
      <c r="C91" s="5" t="inlineStr">
        <is>
          <t>Identifies platform/vendor source for future attribution, operational, and funnel reporting.</t>
        </is>
      </c>
      <c r="D91" s="5" t="inlineStr">
        <is>
          <t>Marketing Automation Tool/Tealium</t>
        </is>
      </c>
      <c r="E91" s="5" t="inlineStr">
        <is>
          <t>Captured by Tealium from customers driving URL and passed to Marketing Automation Tool</t>
        </is>
      </c>
      <c r="F91" s="5" t="inlineStr">
        <is>
          <t>N/A - Appended by Telium and Marketing Automation Tool</t>
        </is>
      </c>
      <c r="G91" s="5" t="inlineStr">
        <is>
          <t>Picklist/Text</t>
        </is>
      </c>
      <c r="H91" s="5" t="n"/>
      <c r="I91" s="5" t="inlineStr">
        <is>
          <t>Yes</t>
        </is>
      </c>
      <c r="J91" s="5" t="inlineStr">
        <is>
          <t>Yes</t>
        </is>
      </c>
      <c r="K91" s="5" t="n"/>
      <c r="L91" s="5" t="n"/>
      <c r="M91" s="5" t="inlineStr">
        <is>
          <t>Yes</t>
        </is>
      </c>
      <c r="Q91" s="5" t="n"/>
    </row>
    <row r="92">
      <c r="A92" t="inlineStr">
        <is>
          <t>utm_term</t>
        </is>
      </c>
    </row>
    <row r="93">
      <c r="A93" s="6" t="inlineStr">
        <is>
          <t>7 - Event Tracking Parameters</t>
        </is>
      </c>
    </row>
    <row r="94">
      <c r="A94" s="5" t="inlineStr">
        <is>
          <t>Event ID / EID</t>
        </is>
      </c>
      <c r="B94" s="5" t="inlineStr">
        <is>
          <t>Required</t>
        </is>
      </c>
      <c r="C94" s="5" t="inlineStr">
        <is>
          <t>Primary lookup key for attribution, operational reporting, and Global Events Table enrichment.</t>
        </is>
      </c>
      <c r="D94" s="5" t="inlineStr">
        <is>
          <t>Marketing team input</t>
        </is>
      </c>
      <c r="E94" s="5" t="inlineStr">
        <is>
          <t>EID is validated against Global Events Table for validity</t>
        </is>
      </c>
      <c r="F94" s="5" t="inlineStr">
        <is>
          <t>Which Event ID is this upload for?</t>
        </is>
      </c>
      <c r="G94" s="5" t="inlineStr">
        <is>
          <t>Picklist/Text</t>
        </is>
      </c>
      <c r="H94" s="5" t="n"/>
      <c r="I94" s="5" t="inlineStr">
        <is>
          <t>Yes</t>
        </is>
      </c>
      <c r="J94" s="5" t="inlineStr">
        <is>
          <t>Yes</t>
        </is>
      </c>
      <c r="K94" s="5" t="n"/>
      <c r="L94" s="5" t="inlineStr">
        <is>
          <t>Yes</t>
        </is>
      </c>
      <c r="M94" s="5" t="inlineStr">
        <is>
          <t>Yes</t>
        </is>
      </c>
      <c r="Q94" s="5" t="n"/>
    </row>
    <row r="95">
      <c r="A95" t="inlineStr">
        <is>
          <t>Event Name</t>
        </is>
      </c>
    </row>
    <row r="96">
      <c r="A96" s="6" t="inlineStr">
        <is>
          <t>8 - Activity Detail</t>
        </is>
      </c>
    </row>
    <row r="97">
      <c r="A97" s="5" t="inlineStr">
        <is>
          <t>Form Submit Date</t>
        </is>
      </c>
      <c r="B97" s="5" t="inlineStr">
        <is>
          <t>Derived</t>
        </is>
      </c>
      <c r="C97" s="5" t="inlineStr">
        <is>
          <t>Supports submission timing analysis and operational reporting.</t>
        </is>
      </c>
      <c r="D97" s="5" t="inlineStr">
        <is>
          <t>Marketing Automation Tool</t>
        </is>
      </c>
      <c r="E97" s="5" t="inlineStr">
        <is>
          <t>System-captured form submission date passed from Marketing Automation Tool or Tealium.</t>
        </is>
      </c>
      <c r="F97" s="5" t="inlineStr">
        <is>
          <t>What is the form submit date captured by the system?</t>
        </is>
      </c>
      <c r="G97" s="5" t="inlineStr">
        <is>
          <t>Date/Time</t>
        </is>
      </c>
      <c r="H97" s="5" t="n"/>
      <c r="I97" s="5" t="n"/>
      <c r="J97" s="5" t="inlineStr">
        <is>
          <t>Yes</t>
        </is>
      </c>
      <c r="K97" s="5" t="inlineStr">
        <is>
          <t>Yes</t>
        </is>
      </c>
      <c r="L97" s="5" t="n"/>
      <c r="M97" s="5" t="inlineStr">
        <is>
          <t>Yes</t>
        </is>
      </c>
      <c r="Q97" s="5" t="n"/>
    </row>
    <row r="98">
      <c r="A98" t="inlineStr">
        <is>
          <t>Contact Source Original</t>
        </is>
      </c>
      <c r="B98" t="inlineStr">
        <is>
          <t>Derived</t>
        </is>
      </c>
      <c r="C98" t="inlineStr">
        <is>
          <t>Supports source lineage for attribution, operational reporting, and seller enablement.</t>
        </is>
      </c>
      <c r="D98" t="inlineStr">
        <is>
          <t>Marketing Automation Tool</t>
        </is>
      </c>
      <c r="E98" t="inlineStr">
        <is>
          <t>System-captured original source identifier for the offer form submission.</t>
        </is>
      </c>
      <c r="F98" t="inlineStr">
        <is>
          <t>What is the original contact source for this submission?</t>
        </is>
      </c>
      <c r="G98" t="inlineStr">
        <is>
          <t>Text</t>
        </is>
      </c>
      <c r="J98" t="inlineStr">
        <is>
          <t>Yes</t>
        </is>
      </c>
      <c r="L98" t="inlineStr">
        <is>
          <t>Yes</t>
        </is>
      </c>
      <c r="M98" t="inlineStr">
        <is>
          <t>Yes</t>
        </is>
      </c>
    </row>
    <row r="99">
      <c r="A99" s="5" t="inlineStr">
        <is>
          <t>Enquiry Type</t>
        </is>
      </c>
      <c r="B99" s="5" t="inlineStr">
        <is>
          <t>Required</t>
        </is>
      </c>
      <c r="C99" s="5" t="inlineStr">
        <is>
          <t>Classifies the contact's intent for routing, lead scoring, seller enablement, and operational reporting.</t>
        </is>
      </c>
      <c r="D99" s="5" t="inlineStr">
        <is>
          <t>Customer Input</t>
        </is>
      </c>
      <c r="E99" s="5" t="inlineStr">
        <is>
          <t>Required customer-selected enquiry category captured on the offer form.</t>
        </is>
      </c>
      <c r="F99" s="5" t="inlineStr">
        <is>
          <t>What type of enquiry is the contact submitting? (looking for Guidance etc.)</t>
        </is>
      </c>
      <c r="G99" s="5" t="inlineStr">
        <is>
          <t>Picklist</t>
        </is>
      </c>
      <c r="H99" s="5" t="n"/>
      <c r="I99" s="5" t="n"/>
      <c r="J99" s="5" t="n"/>
      <c r="K99" s="5" t="n"/>
      <c r="L99" s="5" t="inlineStr">
        <is>
          <t>Yes</t>
        </is>
      </c>
      <c r="M99" s="5" t="inlineStr">
        <is>
          <t>Yes</t>
        </is>
      </c>
      <c r="Q99" s="5" t="n"/>
    </row>
    <row r="100">
      <c r="A100" t="inlineStr">
        <is>
          <t>Additional Enquiry Details</t>
        </is>
      </c>
      <c r="B100" t="inlineStr">
        <is>
          <t>Required</t>
        </is>
      </c>
      <c r="C100" t="inlineStr">
        <is>
          <t>Provides qualitative enquiry context for seller enablement and operational review.</t>
        </is>
      </c>
      <c r="D100" t="inlineStr">
        <is>
          <t>Customer Input</t>
        </is>
      </c>
      <c r="E100" t="inlineStr">
        <is>
          <t>Optional free-text response captured from the customer on the offer form.</t>
        </is>
      </c>
      <c r="F100" t="inlineStr">
        <is>
          <t>What additional details did the contact provide about their enquiry?</t>
        </is>
      </c>
      <c r="G100" t="inlineStr">
        <is>
          <t>Text</t>
        </is>
      </c>
      <c r="L100" t="inlineStr">
        <is>
          <t>Yes</t>
        </is>
      </c>
      <c r="M100" t="inlineStr">
        <is>
          <t>Yes</t>
        </is>
      </c>
    </row>
    <row r="101">
      <c r="A101" s="5" t="inlineStr">
        <is>
          <t>Language</t>
        </is>
      </c>
      <c r="B101" s="5" t="inlineStr">
        <is>
          <t>Derived</t>
        </is>
      </c>
      <c r="C101" s="5" t="inlineStr">
        <is>
          <t>Supports localized operational reporting, routing, and customer experience alignment.</t>
        </is>
      </c>
      <c r="D101" s="5" t="inlineStr">
        <is>
          <t>Marketing Automation Tool</t>
        </is>
      </c>
      <c r="E101" s="5" t="inlineStr">
        <is>
          <t>System-captured locale code (e.g., en_us, ja_jp) for the form submission.</t>
        </is>
      </c>
      <c r="F101" s="5" t="inlineStr">
        <is>
          <t>What is the form language/locale for this submission?</t>
        </is>
      </c>
      <c r="G101" s="5" t="inlineStr">
        <is>
          <t>Text</t>
        </is>
      </c>
      <c r="H101" s="5" t="n"/>
      <c r="I101" s="5" t="n"/>
      <c r="J101" s="5" t="inlineStr">
        <is>
          <t>Yes</t>
        </is>
      </c>
      <c r="K101" s="5" t="n"/>
      <c r="L101" s="5" t="inlineStr">
        <is>
          <t>Yes</t>
        </is>
      </c>
      <c r="M101" s="5" t="inlineStr">
        <is>
          <t>Yes</t>
        </is>
      </c>
      <c r="Q101" s="5" t="n"/>
    </row>
    <row r="102">
      <c r="A102" t="inlineStr">
        <is>
          <t>Funnel Stage</t>
        </is>
      </c>
      <c r="B102" t="inlineStr">
        <is>
          <t>Derived</t>
        </is>
      </c>
      <c r="C102" t="inlineStr">
        <is>
          <t>Supports funnel-based routing, lead scoring, and operational reporting.</t>
        </is>
      </c>
      <c r="D102" t="inlineStr">
        <is>
          <t>Marketing Automation Tool</t>
        </is>
      </c>
      <c r="E102" t="inlineStr">
        <is>
          <t>System-assigned funnel stage (e.g., top, middle, bottom) for the offer submission.</t>
        </is>
      </c>
      <c r="F102" t="inlineStr">
        <is>
          <t>What funnel stage is associated with this submission?</t>
        </is>
      </c>
      <c r="G102" t="inlineStr">
        <is>
          <t>Text</t>
        </is>
      </c>
      <c r="I102" t="inlineStr">
        <is>
          <t>Yes</t>
        </is>
      </c>
      <c r="J102" t="inlineStr">
        <is>
          <t>Yes</t>
        </is>
      </c>
      <c r="M102" t="inlineStr">
        <is>
          <t>Yes</t>
        </is>
      </c>
    </row>
    <row r="103">
      <c r="A103" s="5" t="inlineStr">
        <is>
          <t>Marketing Automation Tool Form ID</t>
        </is>
      </c>
      <c r="B103" s="5" t="inlineStr">
        <is>
          <t>Derived</t>
        </is>
      </c>
      <c r="C103" s="5" t="inlineStr">
        <is>
          <t>Connects the submission to the source form for operational reporting and validation.</t>
        </is>
      </c>
      <c r="D103" s="5" t="inlineStr">
        <is>
          <t>Marketing Automation Tool</t>
        </is>
      </c>
      <c r="E103" s="5" t="inlineStr">
        <is>
          <t>System-captured Marketing Automation Tool form identifier for the offer form.</t>
        </is>
      </c>
      <c r="F103" s="5" t="inlineStr">
        <is>
          <t>What is the Eloqua form identifier for this submission?</t>
        </is>
      </c>
      <c r="G103" s="5" t="inlineStr">
        <is>
          <t>Text</t>
        </is>
      </c>
      <c r="H103" s="5" t="n"/>
      <c r="I103" s="5" t="inlineStr">
        <is>
          <t>Yes</t>
        </is>
      </c>
      <c r="J103" s="5" t="inlineStr">
        <is>
          <t>Yes</t>
        </is>
      </c>
      <c r="K103" s="5" t="n"/>
      <c r="L103" s="5" t="n"/>
      <c r="M103" s="5" t="inlineStr">
        <is>
          <t>Yes</t>
        </is>
      </c>
      <c r="Q103" s="5" t="n"/>
    </row>
    <row r="104">
      <c r="A104" t="inlineStr">
        <is>
          <t>Marketing Automation Tool Email ID</t>
        </is>
      </c>
      <c r="B104" t="inlineStr">
        <is>
          <t>Derived</t>
        </is>
      </c>
      <c r="C104" t="inlineStr">
        <is>
          <t>Connects the submission to the source email for operational reporting and validation.</t>
        </is>
      </c>
      <c r="D104" t="inlineStr">
        <is>
          <t>Marketing Automation Tool</t>
        </is>
      </c>
      <c r="E104" t="inlineStr">
        <is>
          <t>System-captured Eloqua email identifier associated with the form submission.</t>
        </is>
      </c>
      <c r="F104" t="inlineStr">
        <is>
          <t>What is the Eloqua email identifier for this submission?</t>
        </is>
      </c>
      <c r="G104" t="inlineStr">
        <is>
          <t>Text</t>
        </is>
      </c>
      <c r="J104" t="inlineStr">
        <is>
          <t>Yes</t>
        </is>
      </c>
      <c r="M104" t="inlineStr">
        <is>
          <t>Yes</t>
        </is>
      </c>
    </row>
    <row r="105">
      <c r="A105" s="5" t="inlineStr">
        <is>
          <t>Marketing Automation Tool Landing Page ID</t>
        </is>
      </c>
      <c r="B105" s="5" t="inlineStr">
        <is>
          <t>Derived</t>
        </is>
      </c>
      <c r="C105" s="5" t="inlineStr">
        <is>
          <t>Connects the submission to the originating landing page for attribution and operational reporting.</t>
        </is>
      </c>
      <c r="D105" s="5" t="inlineStr">
        <is>
          <t>Marketing Automation Tool</t>
        </is>
      </c>
      <c r="E105" s="5" t="inlineStr">
        <is>
          <t>System-captured Marketing Automation Tool landing page identifier associated with the submission.</t>
        </is>
      </c>
      <c r="F105" s="5" t="inlineStr">
        <is>
          <t>What is the Eloqua landing page identifier for this submission?</t>
        </is>
      </c>
      <c r="G105" s="5" t="inlineStr">
        <is>
          <t>Text</t>
        </is>
      </c>
      <c r="H105" s="5" t="n"/>
      <c r="I105" s="5" t="inlineStr">
        <is>
          <t>Yes</t>
        </is>
      </c>
      <c r="J105" s="5" t="inlineStr">
        <is>
          <t>Yes</t>
        </is>
      </c>
      <c r="K105" s="5" t="n"/>
      <c r="L105" s="5" t="n"/>
      <c r="M105" s="5" t="inlineStr">
        <is>
          <t>Yes</t>
        </is>
      </c>
      <c r="Q105" s="5" t="n"/>
    </row>
  </sheetData>
  <mergeCells count="11">
    <mergeCell ref="A31:Q31"/>
    <mergeCell ref="A56:Q56"/>
    <mergeCell ref="A92:Q92"/>
    <mergeCell ref="A12:Q12"/>
    <mergeCell ref="A50:Q50"/>
    <mergeCell ref="A95:Q95"/>
    <mergeCell ref="A1:Q1"/>
    <mergeCell ref="B5:Q5"/>
    <mergeCell ref="A69:Q69"/>
    <mergeCell ref="B4:Q4"/>
    <mergeCell ref="B3:Q3"/>
  </mergeCells>
  <dataValidations count="1">
    <dataValidation sqref="Q8:Q105"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31.xml><?xml version="1.0" encoding="utf-8"?>
<worksheet xmlns="http://schemas.openxmlformats.org/spreadsheetml/2006/main">
  <sheetPr>
    <outlinePr summaryBelow="1" summaryRight="1"/>
    <pageSetUpPr/>
  </sheetPr>
  <dimension ref="A1:Q9"/>
  <sheetViews>
    <sheetView workbookViewId="0">
      <pane ySplit="6" topLeftCell="A7" activePane="bottomLeft" state="frozen"/>
      <selection pane="bottomLeft" activeCell="A1" sqref="A1"/>
    </sheetView>
  </sheetViews>
  <sheetFormatPr baseColWidth="8" defaultRowHeight="14.25"/>
  <cols>
    <col width="50" customWidth="1" style="7" min="1" max="1"/>
    <col width="16" customWidth="1" style="7" min="2" max="2"/>
    <col width="50" customWidth="1" style="7" min="3" max="3"/>
    <col width="35" customWidth="1" style="7" min="4" max="4"/>
    <col width="50" customWidth="1" style="7" min="5" max="6"/>
    <col width="12" customWidth="1" style="7" min="7" max="7"/>
    <col width="23"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UC27 — Online Forms | Hand Raiser | Offers - Offer | Form Submit</t>
        </is>
      </c>
    </row>
    <row r="2">
      <c r="A2" s="14" t="inlineStr">
        <is>
          <t>← Use Case Index</t>
        </is>
      </c>
      <c r="Q2" s="14" t="inlineStr">
        <is>
          <t>Data Element Matrix →</t>
        </is>
      </c>
    </row>
    <row r="3">
      <c r="A3" s="4" t="inlineStr">
        <is>
          <t>Process</t>
        </is>
      </c>
      <c r="B3" t="inlineStr">
        <is>
          <t>Online Forms</t>
        </is>
      </c>
    </row>
    <row r="4">
      <c r="A4" s="4" t="inlineStr">
        <is>
          <t>Lead Category</t>
        </is>
      </c>
      <c r="B4" t="inlineStr">
        <is>
          <t>Hand Raiser</t>
        </is>
      </c>
    </row>
    <row r="5">
      <c r="A5" s="4" t="inlineStr">
        <is>
          <t>Use Case</t>
        </is>
      </c>
      <c r="B5" t="inlineStr">
        <is>
          <t>Offers - Offer</t>
        </is>
      </c>
    </row>
    <row r="6">
      <c r="A6" s="4" t="inlineStr">
        <is>
          <t>Activity Type</t>
        </is>
      </c>
      <c r="B6" t="inlineStr">
        <is>
          <t>Form Submit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8 - Activity Detail</t>
        </is>
      </c>
    </row>
    <row r="9">
      <c r="A9" t="inlineStr">
        <is>
          <t>Sales Conversation Interest</t>
        </is>
      </c>
      <c r="B9" t="inlineStr">
        <is>
          <t>Required</t>
        </is>
      </c>
      <c r="C9" t="inlineStr">
        <is>
          <t>Determines sales routing intent for lead scoring, seller enablement, and operational reporting.</t>
        </is>
      </c>
      <c r="D9" t="inlineStr">
        <is>
          <t>Customer Input</t>
        </is>
      </c>
      <c r="E9" t="inlineStr">
        <is>
          <t>Required customer response indicating sales conversation interest (YES/NO) on the offer form.</t>
        </is>
      </c>
      <c r="F9" t="inlineStr">
        <is>
          <t>Does the contact want to speak with Cisco Sales about this offer?</t>
        </is>
      </c>
      <c r="G9" t="inlineStr">
        <is>
          <t>Picklist</t>
        </is>
      </c>
      <c r="M9" t="inlineStr">
        <is>
          <t>Yes</t>
        </is>
      </c>
    </row>
  </sheetData>
  <mergeCells count="4">
    <mergeCell ref="B4:Q4"/>
    <mergeCell ref="A1:Q1"/>
    <mergeCell ref="B3:Q3"/>
    <mergeCell ref="B5:Q5"/>
  </mergeCells>
  <dataValidations count="1">
    <dataValidation sqref="Q8:Q9"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32.xml><?xml version="1.0" encoding="utf-8"?>
<worksheet xmlns="http://schemas.openxmlformats.org/spreadsheetml/2006/main">
  <sheetPr>
    <outlinePr summaryBelow="1" summaryRight="1"/>
    <pageSetUpPr/>
  </sheetPr>
  <dimension ref="A1:Q30"/>
  <sheetViews>
    <sheetView workbookViewId="0">
      <pane ySplit="6" topLeftCell="A7" activePane="bottomLeft" state="frozen"/>
      <selection pane="bottomLeft" activeCell="A1" sqref="A1"/>
    </sheetView>
  </sheetViews>
  <sheetFormatPr baseColWidth="8" defaultRowHeight="14.25"/>
  <cols>
    <col width="50" customWidth="1" style="7" min="1" max="1"/>
    <col width="16" customWidth="1" style="7" min="2" max="2"/>
    <col width="50" customWidth="1" style="7" min="3" max="3"/>
    <col width="35" customWidth="1" style="7" min="4" max="4"/>
    <col width="50" customWidth="1" style="7" min="5" max="6"/>
    <col width="15"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UC28 — Online Forms | Hand Raiser | Offers - Other | Form Submit</t>
        </is>
      </c>
    </row>
    <row r="2">
      <c r="A2" s="14" t="inlineStr">
        <is>
          <t>← Use Case Index</t>
        </is>
      </c>
      <c r="Q2" s="14" t="inlineStr">
        <is>
          <t>Data Element Matrix →</t>
        </is>
      </c>
    </row>
    <row r="3">
      <c r="A3" s="4" t="inlineStr">
        <is>
          <t>Process</t>
        </is>
      </c>
      <c r="B3" t="inlineStr">
        <is>
          <t>Online Forms</t>
        </is>
      </c>
    </row>
    <row r="4">
      <c r="A4" s="4" t="inlineStr">
        <is>
          <t>Lead Category</t>
        </is>
      </c>
      <c r="B4" t="inlineStr">
        <is>
          <t>Hand Raiser</t>
        </is>
      </c>
    </row>
    <row r="5">
      <c r="A5" s="4" t="inlineStr">
        <is>
          <t>Use Case</t>
        </is>
      </c>
      <c r="B5" t="inlineStr">
        <is>
          <t>Offers - Other</t>
        </is>
      </c>
    </row>
    <row r="6">
      <c r="A6" s="4" t="inlineStr">
        <is>
          <t>Activity Type</t>
        </is>
      </c>
      <c r="B6" t="inlineStr">
        <is>
          <t>Form Submit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6 - Future Tracking Parameters</t>
        </is>
      </c>
    </row>
    <row r="9">
      <c r="A9" t="inlineStr">
        <is>
          <t>Workfront Channel ID</t>
        </is>
      </c>
      <c r="B9" t="inlineStr">
        <is>
          <t>Derived</t>
        </is>
      </c>
      <c r="C9" t="inlineStr">
        <is>
          <t>Connects the upload to the Workfront channel taxonomy for durable operational and attribution alignment.</t>
        </is>
      </c>
      <c r="D9" t="inlineStr">
        <is>
          <t>Marketing Automation Tool/Tealium</t>
        </is>
      </c>
      <c r="E9" t="inlineStr">
        <is>
          <t>Captured by Tealium from customers driving URL and passed to Marketing Automation Tool</t>
        </is>
      </c>
      <c r="F9" t="inlineStr">
        <is>
          <t>N/A - appended by Tray.io after upload</t>
        </is>
      </c>
      <c r="G9" t="inlineStr">
        <is>
          <t>Text</t>
        </is>
      </c>
      <c r="I9" t="inlineStr">
        <is>
          <t>Yes</t>
        </is>
      </c>
      <c r="J9" t="inlineStr">
        <is>
          <t>Yes</t>
        </is>
      </c>
      <c r="L9" t="inlineStr">
        <is>
          <t>Yes</t>
        </is>
      </c>
      <c r="M9" t="inlineStr">
        <is>
          <t>Yes</t>
        </is>
      </c>
    </row>
    <row r="10">
      <c r="A10" s="5" t="inlineStr">
        <is>
          <t>Primary Technology</t>
        </is>
      </c>
      <c r="B10" s="5" t="inlineStr">
        <is>
          <t>Derived</t>
        </is>
      </c>
      <c r="C10" s="5" t="inlineStr">
        <is>
          <t>Identifies the primary technology associated with the content for future attribution, operational, and seller enablement reporting.</t>
        </is>
      </c>
      <c r="D10" s="5" t="inlineStr">
        <is>
          <t>Tray.io / Workfront derived</t>
        </is>
      </c>
      <c r="E10" s="5" t="inlineStr">
        <is>
          <t>Tray.io derives Primary Technology from Workfront Content ID and Workfront Channel ID alignment.</t>
        </is>
      </c>
      <c r="F10" s="5" t="inlineStr">
        <is>
          <t>N/A - appended by Tray.io after upload</t>
        </is>
      </c>
      <c r="G10" s="5" t="inlineStr">
        <is>
          <t>System lookup</t>
        </is>
      </c>
      <c r="H10" s="5" t="n"/>
      <c r="I10" s="5" t="inlineStr">
        <is>
          <t>Yes</t>
        </is>
      </c>
      <c r="J10" s="5" t="inlineStr">
        <is>
          <t>Yes</t>
        </is>
      </c>
      <c r="K10" s="5" t="n"/>
      <c r="L10" s="5" t="inlineStr">
        <is>
          <t>Yes</t>
        </is>
      </c>
      <c r="M10" s="5" t="inlineStr">
        <is>
          <t>Yes</t>
        </is>
      </c>
      <c r="Q10" s="5" t="n"/>
    </row>
    <row r="11">
      <c r="A11" t="inlineStr">
        <is>
          <t>Campaign</t>
        </is>
      </c>
      <c r="B11" t="inlineStr">
        <is>
          <t>Derived</t>
        </is>
      </c>
      <c r="C11" t="inlineStr">
        <is>
          <t>Connects the touchpoint to campaign-level attribution and marketing sourced pipeline reporting aligned to Workfront Content ID and Channel ID.</t>
        </is>
      </c>
      <c r="D11" t="inlineStr">
        <is>
          <t>Tray.io / Workfront derived</t>
        </is>
      </c>
      <c r="E11" t="inlineStr">
        <is>
          <t>Tray.io derives Campaign from Workfront Content ID and Workfront Channel ID alignment.</t>
        </is>
      </c>
      <c r="F11" t="inlineStr">
        <is>
          <t>N/A - appended by Tray.io after upload</t>
        </is>
      </c>
      <c r="G11" t="inlineStr">
        <is>
          <t>System lookup</t>
        </is>
      </c>
      <c r="I11" t="inlineStr">
        <is>
          <t>Yes</t>
        </is>
      </c>
      <c r="J11" t="inlineStr">
        <is>
          <t>Yes</t>
        </is>
      </c>
      <c r="L11" t="inlineStr">
        <is>
          <t>Yes</t>
        </is>
      </c>
      <c r="M11" t="inlineStr">
        <is>
          <t>Yes</t>
        </is>
      </c>
    </row>
    <row r="12">
      <c r="A12" s="5" t="inlineStr">
        <is>
          <t>Program</t>
        </is>
      </c>
      <c r="B12" s="5" t="inlineStr">
        <is>
          <t>Derived</t>
        </is>
      </c>
      <c r="C12" s="5" t="inlineStr">
        <is>
          <t>Connects the touchpoint to program-level attribution and marketing sourced pipeline reporting aligned to Workfront Content ID and Channel ID.</t>
        </is>
      </c>
      <c r="D12" s="5" t="inlineStr">
        <is>
          <t>Tray.io / Workfront derived</t>
        </is>
      </c>
      <c r="E12" s="5" t="inlineStr">
        <is>
          <t>Tray.io derives Program from Workfront Content ID and Workfront Channel ID alignment.</t>
        </is>
      </c>
      <c r="F12" s="5" t="inlineStr">
        <is>
          <t>N/A - appended by Tray.io after upload</t>
        </is>
      </c>
      <c r="G12" s="5" t="inlineStr">
        <is>
          <t>System lookup</t>
        </is>
      </c>
      <c r="H12" s="5" t="n"/>
      <c r="I12" s="5" t="inlineStr">
        <is>
          <t>Yes</t>
        </is>
      </c>
      <c r="J12" s="5" t="inlineStr">
        <is>
          <t>Yes</t>
        </is>
      </c>
      <c r="K12" s="5" t="n"/>
      <c r="L12" s="5" t="inlineStr">
        <is>
          <t>Yes</t>
        </is>
      </c>
      <c r="M12" s="5" t="inlineStr">
        <is>
          <t>Yes</t>
        </is>
      </c>
      <c r="Q12" s="5" t="n"/>
    </row>
    <row r="13">
      <c r="A13" t="inlineStr">
        <is>
          <t>Funnel Stage</t>
        </is>
      </c>
      <c r="B13" t="inlineStr">
        <is>
          <t>Derived</t>
        </is>
      </c>
      <c r="C13" t="inlineStr">
        <is>
          <t>Supports funnel-based routing, lead scoring, and operational reporting aligned to Workfront Content ID and Channel ID.</t>
        </is>
      </c>
      <c r="D13" t="inlineStr">
        <is>
          <t>Tray.io / Workfront derived</t>
        </is>
      </c>
      <c r="E13" t="inlineStr">
        <is>
          <t>Tray.io derives Funnel Stage from Workfront Content ID and Workfront Channel ID alignment.</t>
        </is>
      </c>
      <c r="F13" t="inlineStr">
        <is>
          <t>N/A - appended by Tray.io after upload</t>
        </is>
      </c>
      <c r="G13" t="inlineStr">
        <is>
          <t>System lookup</t>
        </is>
      </c>
      <c r="I13" t="inlineStr">
        <is>
          <t>Yes</t>
        </is>
      </c>
      <c r="J13" t="inlineStr">
        <is>
          <t>Yes</t>
        </is>
      </c>
      <c r="M13" t="inlineStr">
        <is>
          <t>Yes</t>
        </is>
      </c>
    </row>
    <row r="14">
      <c r="A14" s="5" t="inlineStr">
        <is>
          <t>Workfront Content ID</t>
        </is>
      </c>
      <c r="B14" s="5" t="inlineStr">
        <is>
          <t>Derived</t>
        </is>
      </c>
      <c r="C14" s="5" t="inlineStr">
        <is>
          <t>Connects the upload to the Workfront Content taxonomy for durable operational and attribution alignment.</t>
        </is>
      </c>
      <c r="D14" s="5" t="inlineStr">
        <is>
          <t>Marketing Automation Tool/Tealium</t>
        </is>
      </c>
      <c r="E14" s="5" t="inlineStr">
        <is>
          <t>Captured by Marketing Automation Tool from Offer Consumed aligned to the Workfront Project that created it</t>
        </is>
      </c>
      <c r="F14" s="5" t="inlineStr">
        <is>
          <t>N/A - Appended by Telium and Marketing Automation Tool</t>
        </is>
      </c>
      <c r="G14" s="5" t="inlineStr">
        <is>
          <t>Text</t>
        </is>
      </c>
      <c r="H14" s="5" t="n"/>
      <c r="I14" s="5" t="inlineStr">
        <is>
          <t>Yes</t>
        </is>
      </c>
      <c r="J14" s="5" t="inlineStr">
        <is>
          <t>Yes</t>
        </is>
      </c>
      <c r="K14" s="5" t="n"/>
      <c r="L14" s="5" t="inlineStr">
        <is>
          <t>Yes</t>
        </is>
      </c>
      <c r="M14" s="5" t="inlineStr">
        <is>
          <t>Yes</t>
        </is>
      </c>
      <c r="Q14" s="5" t="n"/>
    </row>
    <row r="15">
      <c r="A15" t="inlineStr">
        <is>
          <t>Content Type</t>
        </is>
      </c>
      <c r="B15" t="inlineStr">
        <is>
          <t>Derived</t>
        </is>
      </c>
      <c r="C15" t="inlineStr">
        <is>
          <t>Identifies the content classification for future attribution, operational, and funnel reporting aligned to Workfront Content ID.</t>
        </is>
      </c>
      <c r="D15" t="inlineStr">
        <is>
          <t>Tray.io / Workfront derived</t>
        </is>
      </c>
      <c r="E15" t="inlineStr">
        <is>
          <t>Tray.io derives Content Type from Workfront Content ID alignment.</t>
        </is>
      </c>
      <c r="F15" t="inlineStr">
        <is>
          <t>N/A - appended by Tray.io after upload</t>
        </is>
      </c>
      <c r="G15" t="inlineStr">
        <is>
          <t>System lookup</t>
        </is>
      </c>
      <c r="H15" t="inlineStr">
        <is>
          <t>This field relates to Web Content Type, Webinar Type and Event Type from Workfront.</t>
        </is>
      </c>
      <c r="I15" t="inlineStr">
        <is>
          <t>Yes</t>
        </is>
      </c>
      <c r="J15" t="inlineStr">
        <is>
          <t>Yes</t>
        </is>
      </c>
      <c r="L15" t="inlineStr">
        <is>
          <t>Yes</t>
        </is>
      </c>
      <c r="M15" t="inlineStr">
        <is>
          <t>Yes</t>
        </is>
      </c>
    </row>
    <row r="16">
      <c r="A16" s="5" t="inlineStr">
        <is>
          <t>C_ECID</t>
        </is>
      </c>
      <c r="B16" s="5" t="inlineStr">
        <is>
          <t>Derived</t>
        </is>
      </c>
      <c r="C16" s="5" t="inlineStr">
        <is>
          <t>Supports cross-session identity stitching for attribution and operational reporting.</t>
        </is>
      </c>
      <c r="D16" s="5" t="inlineStr">
        <is>
          <t>Marketing Automation Tool/Tealium</t>
        </is>
      </c>
      <c r="E16" s="5" t="inlineStr">
        <is>
          <t>Captured by Tealium as First Party Cookie and passed to Marketing Automation Tool</t>
        </is>
      </c>
      <c r="F16" s="5" t="inlineStr">
        <is>
          <t>N/A - Appended by Telium and Marketing Automation Tool</t>
        </is>
      </c>
      <c r="G16" s="5" t="inlineStr">
        <is>
          <t>Text</t>
        </is>
      </c>
      <c r="H16" s="5" t="n"/>
      <c r="I16" s="5" t="inlineStr">
        <is>
          <t>Yes</t>
        </is>
      </c>
      <c r="J16" s="5" t="inlineStr">
        <is>
          <t>Yes</t>
        </is>
      </c>
      <c r="K16" s="5" t="n"/>
      <c r="L16" s="5" t="n"/>
      <c r="M16" s="5" t="inlineStr">
        <is>
          <t>Yes</t>
        </is>
      </c>
      <c r="Q16" s="5" t="n"/>
    </row>
    <row r="17">
      <c r="A17" t="inlineStr">
        <is>
          <t>C_FPID</t>
        </is>
      </c>
      <c r="B17" t="inlineStr">
        <is>
          <t>Derived</t>
        </is>
      </c>
      <c r="C17" t="inlineStr">
        <is>
          <t>Supports first-party identity stitching for attribution and operational reporting.</t>
        </is>
      </c>
      <c r="D17" t="inlineStr">
        <is>
          <t>Marketing Automation Tool/Tealium</t>
        </is>
      </c>
      <c r="E17" t="inlineStr">
        <is>
          <t>Captured by Tealium as First Party Cookie and passed to Marketing Automation Tool</t>
        </is>
      </c>
      <c r="F17" t="inlineStr">
        <is>
          <t>N/A - Appended by Telium and Marketing Automation Tool</t>
        </is>
      </c>
      <c r="G17" t="inlineStr">
        <is>
          <t>Text</t>
        </is>
      </c>
      <c r="I17" t="inlineStr">
        <is>
          <t>Yes</t>
        </is>
      </c>
      <c r="J17" t="inlineStr">
        <is>
          <t>Yes</t>
        </is>
      </c>
      <c r="M17" t="inlineStr">
        <is>
          <t>Yes</t>
        </is>
      </c>
    </row>
    <row r="18">
      <c r="A18" s="5" t="inlineStr">
        <is>
          <t>Call to Action URL</t>
        </is>
      </c>
      <c r="B18" s="5" t="inlineStr">
        <is>
          <t>Derived</t>
        </is>
      </c>
      <c r="C18" s="5" t="inlineStr">
        <is>
          <t>Captures the CTA destination for attribution, seller enablement, and downstream follow-up context.</t>
        </is>
      </c>
      <c r="D18" s="5" t="inlineStr">
        <is>
          <t>Marketing Automation Tool/Tealium</t>
        </is>
      </c>
      <c r="E18" s="5" t="inlineStr">
        <is>
          <t>Captured by Tealium from the Customers selection of the Call to Action to access the Gated Offer and passed to Marketing Automation Tool</t>
        </is>
      </c>
      <c r="F18" s="5" t="inlineStr">
        <is>
          <t>N/A - Appended by Telium and Marketing Automation Tool</t>
        </is>
      </c>
      <c r="G18" s="5" t="inlineStr">
        <is>
          <t>Text</t>
        </is>
      </c>
      <c r="H18" s="5" t="n"/>
      <c r="I18" s="5" t="n"/>
      <c r="J18" s="5" t="n"/>
      <c r="K18" s="5" t="n"/>
      <c r="L18" s="5" t="inlineStr">
        <is>
          <t>Yes</t>
        </is>
      </c>
      <c r="M18" s="5" t="inlineStr">
        <is>
          <t>Yes</t>
        </is>
      </c>
      <c r="Q18" s="5" t="n"/>
    </row>
    <row r="19">
      <c r="A19" t="inlineStr">
        <is>
          <t>CP_GUTC</t>
        </is>
      </c>
      <c r="B19" t="inlineStr">
        <is>
          <t>Derived</t>
        </is>
      </c>
      <c r="C19" t="inlineStr">
        <is>
          <t>Supports visitor tracking, identity stitching, and attribution analysis.</t>
        </is>
      </c>
      <c r="D19" t="inlineStr">
        <is>
          <t>Marketing Automation Tool/Tealium</t>
        </is>
      </c>
      <c r="E19" t="inlineStr">
        <is>
          <t>Captured by Tealium tracking cookie and passed to Marketing Automation Tool.</t>
        </is>
      </c>
      <c r="F19" t="inlineStr">
        <is>
          <t>What is the Cisco tracking cookie value for this submission?</t>
        </is>
      </c>
      <c r="G19" t="inlineStr">
        <is>
          <t>Text</t>
        </is>
      </c>
      <c r="I19" t="inlineStr">
        <is>
          <t>Yes</t>
        </is>
      </c>
      <c r="J19" t="inlineStr">
        <is>
          <t>Yes</t>
        </is>
      </c>
      <c r="M19" t="inlineStr">
        <is>
          <t>Yes</t>
        </is>
      </c>
    </row>
    <row r="20">
      <c r="A20" s="5" t="inlineStr">
        <is>
          <t>Entry URL</t>
        </is>
      </c>
      <c r="B20" s="5" t="inlineStr">
        <is>
          <t>Derived</t>
        </is>
      </c>
      <c r="C20" s="5" t="inlineStr">
        <is>
          <t>Captures first-entry URL for attribution journey analysis and operational reporting.</t>
        </is>
      </c>
      <c r="D20" s="5" t="inlineStr">
        <is>
          <t>Marketing Automation Tool/Tealium</t>
        </is>
      </c>
      <c r="E20" s="5" t="inlineStr">
        <is>
          <t>Captured by Tealium from the Customers first entry to .com and passed to Marketing Automation Tool</t>
        </is>
      </c>
      <c r="F20" s="5" t="inlineStr">
        <is>
          <t>N/A - Appended by Telium and Marketing Automation Tool</t>
        </is>
      </c>
      <c r="G20" s="5" t="inlineStr">
        <is>
          <t>Text</t>
        </is>
      </c>
      <c r="H20" s="5" t="n"/>
      <c r="I20" s="5" t="inlineStr">
        <is>
          <t>Yes</t>
        </is>
      </c>
      <c r="J20" s="5" t="inlineStr">
        <is>
          <t>Yes</t>
        </is>
      </c>
      <c r="K20" s="5" t="n"/>
      <c r="L20" s="5" t="n"/>
      <c r="M20" s="5" t="inlineStr">
        <is>
          <t>Yes</t>
        </is>
      </c>
      <c r="Q20" s="5" t="n"/>
    </row>
    <row r="21">
      <c r="A21" t="inlineStr">
        <is>
          <t>Gated Page URL</t>
        </is>
      </c>
      <c r="B21" t="inlineStr">
        <is>
          <t>Derived</t>
        </is>
      </c>
      <c r="C21" t="inlineStr">
        <is>
          <t>Captures gated offer page context for operational reporting, seller enablement, and downstream follow-up.</t>
        </is>
      </c>
      <c r="D21" t="inlineStr">
        <is>
          <t>Marketing Automation Tool/Tealium</t>
        </is>
      </c>
      <c r="E21" t="inlineStr">
        <is>
          <t>Captured by Tealium from gated offer page consumed by the customer and passed to Marketing Automation Tool</t>
        </is>
      </c>
      <c r="F21" t="inlineStr">
        <is>
          <t>N/A - Appended by Telium and Marketing Automation Tool</t>
        </is>
      </c>
      <c r="G21" t="inlineStr">
        <is>
          <t>Text</t>
        </is>
      </c>
      <c r="J21" t="inlineStr">
        <is>
          <t>Yes</t>
        </is>
      </c>
      <c r="L21" t="inlineStr">
        <is>
          <t>Yes</t>
        </is>
      </c>
      <c r="M21" t="inlineStr">
        <is>
          <t>Yes</t>
        </is>
      </c>
    </row>
    <row r="22">
      <c r="A22" s="5" t="inlineStr">
        <is>
          <t>Google Click ID</t>
        </is>
      </c>
      <c r="B22" s="5" t="inlineStr">
        <is>
          <t>Derived</t>
        </is>
      </c>
      <c r="C22" s="5" t="inlineStr">
        <is>
          <t>Supports paid search click-level attribution and campaign performance reporting.</t>
        </is>
      </c>
      <c r="D22" s="5" t="inlineStr">
        <is>
          <t>Marketing Automation Tool/Tealium</t>
        </is>
      </c>
      <c r="E22" s="5" t="inlineStr">
        <is>
          <t>Captured from Google Ads click tracking parameters and passed to Marketing Automation Tool.</t>
        </is>
      </c>
      <c r="F22" s="5" t="inlineStr">
        <is>
          <t>What is the Google click identifier (gclid) for this submission?</t>
        </is>
      </c>
      <c r="G22" s="5" t="inlineStr">
        <is>
          <t>Text</t>
        </is>
      </c>
      <c r="H22" s="5" t="n"/>
      <c r="I22" s="5" t="inlineStr">
        <is>
          <t>Yes</t>
        </is>
      </c>
      <c r="J22" s="5" t="inlineStr">
        <is>
          <t>Yes</t>
        </is>
      </c>
      <c r="K22" s="5" t="n"/>
      <c r="L22" s="5" t="n"/>
      <c r="M22" s="5" t="inlineStr">
        <is>
          <t>Yes</t>
        </is>
      </c>
      <c r="Q22" s="5" t="n"/>
    </row>
    <row r="23">
      <c r="A23" t="inlineStr">
        <is>
          <t>Link Click ID</t>
        </is>
      </c>
      <c r="B23" t="inlineStr">
        <is>
          <t>Derived</t>
        </is>
      </c>
      <c r="C23" t="inlineStr">
        <is>
          <t>Supports click-level attribution and operational reporting for paid media touchpoints.</t>
        </is>
      </c>
      <c r="D23" t="inlineStr">
        <is>
          <t>Marketing Automation Tool/Tealium</t>
        </is>
      </c>
      <c r="E23" t="inlineStr">
        <is>
          <t>Captured by Tealium system-generated alphanumeric code appended to an ad's destination URL when a user clicks it and passed to Marketing Automation Tool</t>
        </is>
      </c>
      <c r="F23" t="inlineStr">
        <is>
          <t>N/A - Appended by Telium and Marketing Automation Tool</t>
        </is>
      </c>
      <c r="G23" t="inlineStr">
        <is>
          <t>Text</t>
        </is>
      </c>
      <c r="I23" t="inlineStr">
        <is>
          <t>Yes</t>
        </is>
      </c>
      <c r="J23" t="inlineStr">
        <is>
          <t>Yes</t>
        </is>
      </c>
      <c r="M23" t="inlineStr">
        <is>
          <t>Yes</t>
        </is>
      </c>
    </row>
    <row r="24">
      <c r="A24" s="5" t="inlineStr">
        <is>
          <t>Source Domain</t>
        </is>
      </c>
      <c r="B24" s="5" t="inlineStr">
        <is>
          <t>Derived</t>
        </is>
      </c>
      <c r="C24" s="5" t="inlineStr">
        <is>
          <t>Captures referring domain for attribution journey analysis and operational reporting.</t>
        </is>
      </c>
      <c r="D24" s="5" t="inlineStr">
        <is>
          <t>Marketing Automation Tool/Tealium</t>
        </is>
      </c>
      <c r="E24" s="5" t="inlineStr">
        <is>
          <t>Captured by Tealium from the Customers previous state to .com and passed to Marketing Automation Tool</t>
        </is>
      </c>
      <c r="F24" s="5" t="inlineStr">
        <is>
          <t>N/A - Appended by Telium and Marketing Automation Tool</t>
        </is>
      </c>
      <c r="G24" s="5" t="inlineStr">
        <is>
          <t>Text</t>
        </is>
      </c>
      <c r="H24" s="5" t="n"/>
      <c r="I24" s="5" t="inlineStr">
        <is>
          <t>Yes</t>
        </is>
      </c>
      <c r="J24" s="5" t="inlineStr">
        <is>
          <t>Yes</t>
        </is>
      </c>
      <c r="K24" s="5" t="n"/>
      <c r="L24" s="5" t="n"/>
      <c r="M24" s="5" t="inlineStr">
        <is>
          <t>Yes</t>
        </is>
      </c>
      <c r="Q24" s="5" t="n"/>
    </row>
    <row r="25">
      <c r="A25" t="inlineStr">
        <is>
          <t>utm_campaign</t>
        </is>
      </c>
      <c r="B25" t="inlineStr">
        <is>
          <t>Derived</t>
        </is>
      </c>
      <c r="C25" t="inlineStr">
        <is>
          <t>Identifies the campaign for future attribution, operational, and funnel reporting after legacy IDs are decommissioned.</t>
        </is>
      </c>
      <c r="D25" t="inlineStr">
        <is>
          <t>Marketing Automation Tool/Tealium</t>
        </is>
      </c>
      <c r="E25" t="inlineStr">
        <is>
          <t>Captured by Tealium from customers driving URL and passed to Marketing Automation Tool</t>
        </is>
      </c>
      <c r="F25" t="inlineStr">
        <is>
          <t>N/A - Appended by Telium and Marketing Automation Tool</t>
        </is>
      </c>
      <c r="G25" t="inlineStr">
        <is>
          <t>Text</t>
        </is>
      </c>
      <c r="J25" t="inlineStr">
        <is>
          <t>Yes</t>
        </is>
      </c>
      <c r="M25" t="inlineStr">
        <is>
          <t>Yes</t>
        </is>
      </c>
    </row>
    <row r="26">
      <c r="A26" s="5" t="inlineStr">
        <is>
          <t>utm_content</t>
        </is>
      </c>
      <c r="B26" s="5" t="inlineStr">
        <is>
          <t>Derived</t>
        </is>
      </c>
      <c r="C26" s="5" t="inlineStr">
        <is>
          <t>Identifies the content variant for future attribution, operational, and funnel reporting after legacy IDs are decommissioned.</t>
        </is>
      </c>
      <c r="D26" s="5" t="inlineStr">
        <is>
          <t>Marketing Automation Tool/Tealium</t>
        </is>
      </c>
      <c r="E26" s="5" t="inlineStr">
        <is>
          <t>Captured by Tealium from customers driving URL and passed to Marketing Automation Tool</t>
        </is>
      </c>
      <c r="F26" s="5" t="inlineStr">
        <is>
          <t>N/A - Appended by Telium and Marketing Automation Tool</t>
        </is>
      </c>
      <c r="G26" s="5" t="inlineStr">
        <is>
          <t>Text</t>
        </is>
      </c>
      <c r="H26" s="5" t="n"/>
      <c r="I26" s="5" t="n"/>
      <c r="J26" s="5" t="inlineStr">
        <is>
          <t>Yes</t>
        </is>
      </c>
      <c r="K26" s="5" t="n"/>
      <c r="L26" s="5" t="n"/>
      <c r="M26" s="5" t="inlineStr">
        <is>
          <t>Yes</t>
        </is>
      </c>
      <c r="Q26" s="5" t="n"/>
    </row>
    <row r="27">
      <c r="A27" t="inlineStr">
        <is>
          <t>utm_creative</t>
        </is>
      </c>
      <c r="B27" t="inlineStr">
        <is>
          <t>Derived</t>
        </is>
      </c>
      <c r="C27" t="inlineStr">
        <is>
          <t>Identifies the creative for future attribution, operational, and funnel reporting after legacy IDs are decommissioned.</t>
        </is>
      </c>
      <c r="D27" t="inlineStr">
        <is>
          <t>Marketing Automation Tool/Tealium</t>
        </is>
      </c>
      <c r="E27" t="inlineStr">
        <is>
          <t>Captured by Tealium from customers driving URL and passed to Marketing Automation Tool</t>
        </is>
      </c>
      <c r="F27" t="inlineStr">
        <is>
          <t>N/A - Appended by Telium and Marketing Automation Tool</t>
        </is>
      </c>
      <c r="G27" t="inlineStr">
        <is>
          <t>Text</t>
        </is>
      </c>
      <c r="J27" t="inlineStr">
        <is>
          <t>Yes</t>
        </is>
      </c>
      <c r="M27" t="inlineStr">
        <is>
          <t>Yes</t>
        </is>
      </c>
    </row>
    <row r="28">
      <c r="A28" s="5" t="inlineStr">
        <is>
          <t>utm_medium</t>
        </is>
      </c>
      <c r="B28" s="5" t="inlineStr">
        <is>
          <t>Derived</t>
        </is>
      </c>
      <c r="C28" s="5" t="inlineStr">
        <is>
          <t>Identifies the driving channel for future attribution, operational, and funnel reporting after legacy IDs are decommissioned.</t>
        </is>
      </c>
      <c r="D28" s="5" t="inlineStr">
        <is>
          <t>Marketing Automation Tool/Tealium</t>
        </is>
      </c>
      <c r="E28" s="5" t="inlineStr">
        <is>
          <t>Captured by Tealium from customers driving URL and passed to Marketing Automation Tool</t>
        </is>
      </c>
      <c r="F28" s="5" t="inlineStr">
        <is>
          <t>N/A - Appended by Telium and Marketing Automation Tool</t>
        </is>
      </c>
      <c r="G28" s="5" t="inlineStr">
        <is>
          <t>Picklist/Text</t>
        </is>
      </c>
      <c r="H28" s="5" t="n"/>
      <c r="I28" s="5" t="inlineStr">
        <is>
          <t>Yes</t>
        </is>
      </c>
      <c r="J28" s="5" t="inlineStr">
        <is>
          <t>Yes</t>
        </is>
      </c>
      <c r="K28" s="5" t="n"/>
      <c r="L28" s="5" t="n"/>
      <c r="M28" s="5" t="inlineStr">
        <is>
          <t>Yes</t>
        </is>
      </c>
      <c r="Q28" s="5" t="n"/>
    </row>
    <row r="29">
      <c r="A29" t="inlineStr">
        <is>
          <t>utm_source</t>
        </is>
      </c>
      <c r="B29" t="inlineStr">
        <is>
          <t>Derived</t>
        </is>
      </c>
      <c r="C29" t="inlineStr">
        <is>
          <t>Identifies platform/vendor source for future attribution, operational, and funnel reporting.</t>
        </is>
      </c>
      <c r="D29" t="inlineStr">
        <is>
          <t>Marketing Automation Tool/Tealium</t>
        </is>
      </c>
      <c r="E29" t="inlineStr">
        <is>
          <t>Captured by Tealium from customers driving URL and passed to Marketing Automation Tool</t>
        </is>
      </c>
      <c r="F29" t="inlineStr">
        <is>
          <t>N/A - Appended by Telium and Marketing Automation Tool</t>
        </is>
      </c>
      <c r="G29" t="inlineStr">
        <is>
          <t>Picklist/Text</t>
        </is>
      </c>
      <c r="I29" t="inlineStr">
        <is>
          <t>Yes</t>
        </is>
      </c>
      <c r="J29" t="inlineStr">
        <is>
          <t>Yes</t>
        </is>
      </c>
      <c r="M29" t="inlineStr">
        <is>
          <t>Yes</t>
        </is>
      </c>
    </row>
    <row r="30">
      <c r="A30" s="5" t="inlineStr">
        <is>
          <t>utm_term</t>
        </is>
      </c>
      <c r="B30" s="5" t="inlineStr">
        <is>
          <t>Derived</t>
        </is>
      </c>
      <c r="C30" s="5" t="inlineStr">
        <is>
          <t>Identifies the paid search term for future attribution, operational, and funnel reporting after legacy IDs are decommissioned.</t>
        </is>
      </c>
      <c r="D30" s="5" t="inlineStr">
        <is>
          <t>Marketing Automation Tool/Tealium</t>
        </is>
      </c>
      <c r="E30" s="5" t="inlineStr">
        <is>
          <t>Captured by Tealium from customers driving URL and passed to Marketing Automation Tool</t>
        </is>
      </c>
      <c r="F30" s="5" t="inlineStr">
        <is>
          <t>N/A - Appended by Telium and Marketing Automation Tool</t>
        </is>
      </c>
      <c r="G30" s="5" t="inlineStr">
        <is>
          <t>Text</t>
        </is>
      </c>
      <c r="H30" s="5" t="n"/>
      <c r="I30" s="5" t="n"/>
      <c r="J30" s="5" t="inlineStr">
        <is>
          <t>Yes</t>
        </is>
      </c>
      <c r="K30" s="5" t="n"/>
      <c r="L30" s="5" t="n"/>
      <c r="M30" s="5" t="inlineStr">
        <is>
          <t>Yes</t>
        </is>
      </c>
      <c r="Q30" s="5" t="n"/>
    </row>
  </sheetData>
  <mergeCells count="4">
    <mergeCell ref="B4:Q4"/>
    <mergeCell ref="A1:Q1"/>
    <mergeCell ref="B3:Q3"/>
    <mergeCell ref="B5:Q5"/>
  </mergeCells>
  <dataValidations count="1">
    <dataValidation sqref="Q8:Q30"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33.xml><?xml version="1.0" encoding="utf-8"?>
<worksheet xmlns="http://schemas.openxmlformats.org/spreadsheetml/2006/main">
  <sheetPr>
    <outlinePr summaryBelow="1" summaryRight="1"/>
    <pageSetUpPr/>
  </sheetPr>
  <dimension ref="A1:Q82"/>
  <sheetViews>
    <sheetView workbookViewId="0">
      <pane ySplit="6" topLeftCell="A7" activePane="bottomLeft" state="frozen"/>
      <selection pane="bottomLeft" activeCell="A1" sqref="A1"/>
    </sheetView>
  </sheetViews>
  <sheetFormatPr baseColWidth="8" defaultRowHeight="14.25"/>
  <cols>
    <col width="50" customWidth="1" style="7" min="1" max="1"/>
    <col width="17"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UC29 — Online Forms | Hand Raiser | Offers - Others | Form Submit</t>
        </is>
      </c>
    </row>
    <row r="2">
      <c r="A2" s="14" t="inlineStr">
        <is>
          <t>← Use Case Index</t>
        </is>
      </c>
      <c r="Q2" s="14" t="inlineStr">
        <is>
          <t>Data Element Matrix →</t>
        </is>
      </c>
    </row>
    <row r="3">
      <c r="A3" s="4" t="inlineStr">
        <is>
          <t>Process</t>
        </is>
      </c>
      <c r="B3" t="inlineStr">
        <is>
          <t>Online Forms</t>
        </is>
      </c>
    </row>
    <row r="4">
      <c r="A4" s="4" t="inlineStr">
        <is>
          <t>Lead Category</t>
        </is>
      </c>
      <c r="B4" t="inlineStr">
        <is>
          <t>Hand Raiser</t>
        </is>
      </c>
    </row>
    <row r="5">
      <c r="A5" s="4" t="inlineStr">
        <is>
          <t>Use Case</t>
        </is>
      </c>
      <c r="B5" t="inlineStr">
        <is>
          <t>Offers - Others</t>
        </is>
      </c>
    </row>
    <row r="6">
      <c r="A6" s="4" t="inlineStr">
        <is>
          <t>Activity Type</t>
        </is>
      </c>
      <c r="B6" t="inlineStr">
        <is>
          <t>Form Submit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To be able to align to lead scoring and attribution models</t>
        </is>
      </c>
      <c r="D9" t="inlineStr">
        <is>
          <t>Tray.io derived</t>
        </is>
      </c>
      <c r="E9" t="inlineStr">
        <is>
          <t>Set by Tray.io on receipt of form from Marketing Automation Tool.</t>
        </is>
      </c>
      <c r="F9" t="inlineStr">
        <is>
          <t>What is the Activity we are aligning attribution to?</t>
        </is>
      </c>
      <c r="G9" t="inlineStr">
        <is>
          <t>Text</t>
        </is>
      </c>
      <c r="I9" t="inlineStr">
        <is>
          <t>Yes</t>
        </is>
      </c>
      <c r="J9" t="inlineStr">
        <is>
          <t>Yes</t>
        </is>
      </c>
      <c r="K9" t="inlineStr">
        <is>
          <t>Yes</t>
        </is>
      </c>
      <c r="M9" t="inlineStr">
        <is>
          <t>Yes</t>
        </is>
      </c>
    </row>
    <row r="10">
      <c r="A10" s="5" t="inlineStr">
        <is>
          <t>Use Case</t>
        </is>
      </c>
      <c r="B10" s="5" t="inlineStr">
        <is>
          <t>Derived</t>
        </is>
      </c>
      <c r="C10" s="5" t="inlineStr">
        <is>
          <t>Separated the type of Form Submit for Attribution models to score separately</t>
        </is>
      </c>
      <c r="D10" s="5" t="inlineStr">
        <is>
          <t>Marketing Automation Tool</t>
        </is>
      </c>
      <c r="E10" s="5" t="inlineStr">
        <is>
          <t>Set by Marketing Automation Tool</t>
        </is>
      </c>
      <c r="F10" s="5" t="inlineStr">
        <is>
          <t>What type of form submit is this?</t>
        </is>
      </c>
      <c r="G10" s="5" t="inlineStr">
        <is>
          <t>Picklist/Text</t>
        </is>
      </c>
      <c r="H10" s="5" t="n"/>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Eloqua contact identifier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Customer Input</t>
        </is>
      </c>
      <c r="E17" s="5" t="inlineStr">
        <is>
          <t>Provided in uploaded contact file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Customer Input</t>
        </is>
      </c>
      <c r="E18" t="inlineStr">
        <is>
          <t>Provided in uploaded contact file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Customer Input</t>
        </is>
      </c>
      <c r="E19" s="5" t="inlineStr">
        <is>
          <t>Provided in uploaded contact file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Recommended</t>
        </is>
      </c>
      <c r="C20" t="inlineStr">
        <is>
          <t>Supports contact matching, enrichment, routing, and lead scoring</t>
        </is>
      </c>
      <c r="D20" t="inlineStr">
        <is>
          <t>Customer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level?</t>
        </is>
      </c>
      <c r="G20" t="inlineStr">
        <is>
          <t>List of values / derived</t>
        </is>
      </c>
      <c r="K20" t="inlineStr">
        <is>
          <t>Yes</t>
        </is>
      </c>
      <c r="L20" t="inlineStr">
        <is>
          <t>Yes</t>
        </is>
      </c>
      <c r="M20" t="inlineStr">
        <is>
          <t>Yes</t>
        </is>
      </c>
    </row>
    <row r="21">
      <c r="A21" s="5" t="inlineStr">
        <is>
          <t>Job Department</t>
        </is>
      </c>
      <c r="B21" s="5" t="inlineStr">
        <is>
          <t>Recommended</t>
        </is>
      </c>
      <c r="C21" s="5" t="inlineStr">
        <is>
          <t>Supports contact matching, enrichment, routing, and lead scoring</t>
        </is>
      </c>
      <c r="D21" s="5" t="inlineStr">
        <is>
          <t>Derived in Contact Database</t>
        </is>
      </c>
      <c r="E21" s="5" t="inlineStr">
        <is>
          <t>Marketing Source when available; if not provided, the value is programmatically derived from the existing Job Title within the contact database</t>
        </is>
      </c>
      <c r="F21" s="5" t="inlineStr">
        <is>
          <t>What is the contact job department?</t>
        </is>
      </c>
      <c r="G21" s="5" t="inlineStr">
        <is>
          <t>List of values / derived</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Customer Input</t>
        </is>
      </c>
      <c r="E22" t="inlineStr">
        <is>
          <t>Provided in Form</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Customer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Customer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Customer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Customer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Customer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Customer Input</t>
        </is>
      </c>
      <c r="E39" t="inlineStr">
        <is>
          <t>Provided in uploaded contact file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inlineStr">
        <is>
          <t>Yes</t>
        </is>
      </c>
      <c r="M48" s="5" t="inlineStr">
        <is>
          <t>Yes</t>
        </is>
      </c>
      <c r="Q48" s="5" t="n"/>
    </row>
    <row r="49">
      <c r="A49" t="inlineStr">
        <is>
          <t>Phone Extension</t>
        </is>
      </c>
      <c r="B49" t="inlineStr">
        <is>
          <t>Optional</t>
        </is>
      </c>
      <c r="C49" t="inlineStr">
        <is>
          <t>Excluded from standard performance reporting</t>
        </is>
      </c>
      <c r="D49" t="inlineStr">
        <is>
          <t>Customer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Customer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Customer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n"/>
      <c r="I53" s="5" t="n"/>
      <c r="J53" s="5" t="n"/>
      <c r="K53" s="5" t="n"/>
      <c r="L53" s="5" t="inlineStr">
        <is>
          <t>Yes</t>
        </is>
      </c>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Customer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L54" t="inlineStr">
        <is>
          <t>Yes</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Customer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inlineStr">
        <is>
          <t>Yes</t>
        </is>
      </c>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inlineStr">
        <is>
          <t>Yes</t>
        </is>
      </c>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L59" t="inlineStr">
        <is>
          <t>Yes</t>
        </is>
      </c>
      <c r="M59" t="inlineStr">
        <is>
          <t>Yes</t>
        </is>
      </c>
    </row>
    <row r="60">
      <c r="A60" s="5" t="inlineStr">
        <is>
          <t>Activity ID</t>
        </is>
      </c>
      <c r="B60" s="5" t="inlineStr">
        <is>
          <t>Derived</t>
        </is>
      </c>
      <c r="C60" s="5" t="inlineStr">
        <is>
          <t>Maintains compatibility with existing operational, attribution, and funnel reporting during transition.</t>
        </is>
      </c>
      <c r="D60" s="5" t="inlineStr">
        <is>
          <t>Marketing Automation Tool/Tealium</t>
        </is>
      </c>
      <c r="E60" s="5" t="inlineStr">
        <is>
          <t>Captured by Tealium from customers driving URL and passed to Marketing Automation Tool</t>
        </is>
      </c>
      <c r="F60" s="5" t="inlineStr">
        <is>
          <t>N/A - Appended by Telium and Marketing Automation Tool</t>
        </is>
      </c>
      <c r="G60" s="5" t="inlineStr">
        <is>
          <t>Text</t>
        </is>
      </c>
      <c r="H60" s="5" t="n"/>
      <c r="I60" s="5" t="inlineStr">
        <is>
          <t>Yes</t>
        </is>
      </c>
      <c r="J60" s="5" t="inlineStr">
        <is>
          <t>Yes</t>
        </is>
      </c>
      <c r="K60" s="5" t="inlineStr">
        <is>
          <t>Yes</t>
        </is>
      </c>
      <c r="L60" s="5" t="inlineStr">
        <is>
          <t>Yes</t>
        </is>
      </c>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L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inlineStr">
        <is>
          <t>Yes</t>
        </is>
      </c>
      <c r="M62" s="5" t="inlineStr">
        <is>
          <t>Yes</t>
        </is>
      </c>
      <c r="Q62" s="5" t="n"/>
    </row>
    <row r="63">
      <c r="A63" t="inlineStr">
        <is>
          <t>Drive To ID</t>
        </is>
      </c>
      <c r="B63" t="inlineStr">
        <is>
          <t>Derived</t>
        </is>
      </c>
      <c r="C63" t="inlineStr">
        <is>
          <t>Maintains legacy destination and drive-to reporting alignment during transition.</t>
        </is>
      </c>
      <c r="D63" t="inlineStr">
        <is>
          <t>Marketing Automation Tool/Tealium</t>
        </is>
      </c>
      <c r="E63" t="inlineStr">
        <is>
          <t>Captured by Tealium from customers driving URL and passed to Marketing Automation Tool</t>
        </is>
      </c>
      <c r="F63" t="inlineStr">
        <is>
          <t>N/A - Appended by Telium and Marketing Automation Tool</t>
        </is>
      </c>
      <c r="G63" t="inlineStr">
        <is>
          <t>Text</t>
        </is>
      </c>
      <c r="I63" t="inlineStr">
        <is>
          <t>Yes</t>
        </is>
      </c>
      <c r="J63" t="inlineStr">
        <is>
          <t>Yes</t>
        </is>
      </c>
      <c r="L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Derived</t>
        </is>
      </c>
      <c r="C66" s="5" t="inlineStr">
        <is>
          <t>Maintains legacy offer identification for attribution, campaign reporting, and operational alignment during transition.</t>
        </is>
      </c>
      <c r="D66" s="5" t="inlineStr">
        <is>
          <t>Marketing Automation Tool/Tealium</t>
        </is>
      </c>
      <c r="E66" s="5" t="inlineStr">
        <is>
          <t>Captured by Marketing Automation Tool from Offer Consumed</t>
        </is>
      </c>
      <c r="F66" s="5" t="inlineStr">
        <is>
          <t>N/A - Appended by Telium and Marketing Automation Tool</t>
        </is>
      </c>
      <c r="G66" s="5" t="inlineStr">
        <is>
          <t>Text</t>
        </is>
      </c>
      <c r="H66" s="5" t="n"/>
      <c r="I66" s="5" t="inlineStr">
        <is>
          <t>Yes</t>
        </is>
      </c>
      <c r="J66" s="5" t="inlineStr">
        <is>
          <t>Yes</t>
        </is>
      </c>
      <c r="K66" s="5" t="n"/>
      <c r="L66" s="5" t="inlineStr">
        <is>
          <t>Yes</t>
        </is>
      </c>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t>
        </is>
      </c>
      <c r="G67" t="inlineStr">
        <is>
          <t>System lookup</t>
        </is>
      </c>
      <c r="L67" t="inlineStr">
        <is>
          <t>Yes</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t>
        </is>
      </c>
      <c r="G68" s="5" t="inlineStr">
        <is>
          <t>System lookup</t>
        </is>
      </c>
      <c r="H68" s="5" t="n"/>
      <c r="I68" s="5" t="n"/>
      <c r="J68" s="5" t="n"/>
      <c r="K68" s="5" t="n"/>
      <c r="L68" s="5" t="inlineStr">
        <is>
          <t>Yes</t>
        </is>
      </c>
      <c r="M68" s="5" t="inlineStr">
        <is>
          <t>Yes</t>
        </is>
      </c>
      <c r="Q68" s="5" t="n"/>
    </row>
    <row r="69">
      <c r="A69" t="inlineStr">
        <is>
          <t>Offer Type</t>
        </is>
      </c>
    </row>
    <row r="70">
      <c r="A70" s="6" t="inlineStr">
        <is>
          <t>7 - Event Tracking Parameters</t>
        </is>
      </c>
    </row>
    <row r="71">
      <c r="A71" s="5" t="inlineStr">
        <is>
          <t>Event ID / EID</t>
        </is>
      </c>
      <c r="B71" s="5" t="inlineStr">
        <is>
          <t>Required</t>
        </is>
      </c>
      <c r="C71" s="5" t="inlineStr">
        <is>
          <t>Primary lookup key for attribution, operational reporting, and Global Events Table enrichment.</t>
        </is>
      </c>
      <c r="D71" s="5" t="inlineStr">
        <is>
          <t>Marketing team input</t>
        </is>
      </c>
      <c r="E71" s="5" t="inlineStr">
        <is>
          <t>EID is validated against Global Events Table for validity</t>
        </is>
      </c>
      <c r="F71" s="5" t="inlineStr">
        <is>
          <t>Which Event ID is this upload for?</t>
        </is>
      </c>
      <c r="G71" s="5" t="inlineStr">
        <is>
          <t>Picklist/Text</t>
        </is>
      </c>
      <c r="H71" s="5" t="n"/>
      <c r="I71" s="5" t="inlineStr">
        <is>
          <t>Yes</t>
        </is>
      </c>
      <c r="J71" s="5" t="inlineStr">
        <is>
          <t>Yes</t>
        </is>
      </c>
      <c r="K71" s="5" t="n"/>
      <c r="L71" s="5" t="inlineStr">
        <is>
          <t>Yes</t>
        </is>
      </c>
      <c r="M71" s="5" t="inlineStr">
        <is>
          <t>Yes</t>
        </is>
      </c>
      <c r="Q71" s="5" t="n"/>
    </row>
    <row r="72">
      <c r="A72" t="inlineStr">
        <is>
          <t>Event Name</t>
        </is>
      </c>
    </row>
    <row r="73">
      <c r="A73" s="6" t="inlineStr">
        <is>
          <t>8 - Activity Detail</t>
        </is>
      </c>
    </row>
    <row r="74">
      <c r="A74" s="5" t="inlineStr">
        <is>
          <t>Form Submit Date</t>
        </is>
      </c>
      <c r="B74" s="5" t="inlineStr">
        <is>
          <t>Derived</t>
        </is>
      </c>
      <c r="C74" s="5" t="inlineStr">
        <is>
          <t>Supports submission timing analysis and operational reporting.</t>
        </is>
      </c>
      <c r="D74" s="5" t="inlineStr">
        <is>
          <t>Marketing Automation Tool</t>
        </is>
      </c>
      <c r="E74" s="5" t="inlineStr">
        <is>
          <t>System-captured form submission date passed from Marketing Automation Tool or Tealium.</t>
        </is>
      </c>
      <c r="F74" s="5" t="inlineStr">
        <is>
          <t>What is the form submit date captured by the system?</t>
        </is>
      </c>
      <c r="G74" s="5" t="inlineStr">
        <is>
          <t>Date/Time</t>
        </is>
      </c>
      <c r="H74" s="5" t="n"/>
      <c r="I74" s="5" t="n"/>
      <c r="J74" s="5" t="inlineStr">
        <is>
          <t>Yes</t>
        </is>
      </c>
      <c r="K74" s="5" t="inlineStr">
        <is>
          <t>Yes</t>
        </is>
      </c>
      <c r="L74" s="5" t="n"/>
      <c r="M74" s="5" t="inlineStr">
        <is>
          <t>Yes</t>
        </is>
      </c>
      <c r="Q74" s="5" t="n"/>
    </row>
    <row r="75">
      <c r="A75" t="inlineStr">
        <is>
          <t>Contact Source Original</t>
        </is>
      </c>
      <c r="B75" t="inlineStr">
        <is>
          <t>Derived</t>
        </is>
      </c>
      <c r="C75" t="inlineStr">
        <is>
          <t>Supports source lineage for attribution, operational reporting, and seller enablement.</t>
        </is>
      </c>
      <c r="D75" t="inlineStr">
        <is>
          <t>Marketing Automation Tool</t>
        </is>
      </c>
      <c r="E75" t="inlineStr">
        <is>
          <t>System-captured original source identifier for the offer form submission.</t>
        </is>
      </c>
      <c r="F75" t="inlineStr">
        <is>
          <t>What is the original contact source for this submission?</t>
        </is>
      </c>
      <c r="G75" t="inlineStr">
        <is>
          <t>Text</t>
        </is>
      </c>
      <c r="J75" t="inlineStr">
        <is>
          <t>Yes</t>
        </is>
      </c>
      <c r="L75" t="inlineStr">
        <is>
          <t>Yes</t>
        </is>
      </c>
      <c r="M75" t="inlineStr">
        <is>
          <t>Yes</t>
        </is>
      </c>
    </row>
    <row r="76">
      <c r="A76" s="5" t="inlineStr">
        <is>
          <t>Enquiry Type</t>
        </is>
      </c>
      <c r="B76" s="5" t="inlineStr">
        <is>
          <t>Required</t>
        </is>
      </c>
      <c r="C76" s="5" t="inlineStr">
        <is>
          <t>Classifies the contact's intent for routing, lead scoring, seller enablement, and operational reporting.</t>
        </is>
      </c>
      <c r="D76" s="5" t="inlineStr">
        <is>
          <t>Customer Input</t>
        </is>
      </c>
      <c r="E76" s="5" t="inlineStr">
        <is>
          <t>Required customer-selected enquiry category captured on the offer form.</t>
        </is>
      </c>
      <c r="F76" s="5" t="inlineStr">
        <is>
          <t>What type of enquiry is the contact submitting? (looking for Guidance etc.)</t>
        </is>
      </c>
      <c r="G76" s="5" t="inlineStr">
        <is>
          <t>Picklist</t>
        </is>
      </c>
      <c r="H76" s="5" t="n"/>
      <c r="I76" s="5" t="n"/>
      <c r="J76" s="5" t="n"/>
      <c r="K76" s="5" t="n"/>
      <c r="L76" s="5" t="inlineStr">
        <is>
          <t>Yes</t>
        </is>
      </c>
      <c r="M76" s="5" t="inlineStr">
        <is>
          <t>Yes</t>
        </is>
      </c>
      <c r="Q76" s="5" t="n"/>
    </row>
    <row r="77">
      <c r="A77" t="inlineStr">
        <is>
          <t>Additional Enquiry Details</t>
        </is>
      </c>
      <c r="B77" t="inlineStr">
        <is>
          <t>Required</t>
        </is>
      </c>
      <c r="C77" t="inlineStr">
        <is>
          <t>Provides qualitative enquiry context for seller enablement and operational review.</t>
        </is>
      </c>
      <c r="D77" t="inlineStr">
        <is>
          <t>Customer Input</t>
        </is>
      </c>
      <c r="E77" t="inlineStr">
        <is>
          <t>Optional free-text response captured from the customer on the offer form.</t>
        </is>
      </c>
      <c r="F77" t="inlineStr">
        <is>
          <t>What additional details did the contact provide about their enquiry?</t>
        </is>
      </c>
      <c r="G77" t="inlineStr">
        <is>
          <t>Text</t>
        </is>
      </c>
      <c r="L77" t="inlineStr">
        <is>
          <t>Yes</t>
        </is>
      </c>
      <c r="M77" t="inlineStr">
        <is>
          <t>Yes</t>
        </is>
      </c>
    </row>
    <row r="78">
      <c r="A78" s="5" t="inlineStr">
        <is>
          <t>Language</t>
        </is>
      </c>
      <c r="B78" s="5" t="inlineStr">
        <is>
          <t>Derived</t>
        </is>
      </c>
      <c r="C78" s="5" t="inlineStr">
        <is>
          <t>Supports localized operational reporting, routing, and customer experience alignment.</t>
        </is>
      </c>
      <c r="D78" s="5" t="inlineStr">
        <is>
          <t>Marketing Automation Tool</t>
        </is>
      </c>
      <c r="E78" s="5" t="inlineStr">
        <is>
          <t>System-captured locale code (e.g., en_us, ja_jp) for the form submission.</t>
        </is>
      </c>
      <c r="F78" s="5" t="inlineStr">
        <is>
          <t>What is the form language/locale for this submission?</t>
        </is>
      </c>
      <c r="G78" s="5" t="inlineStr">
        <is>
          <t>Text</t>
        </is>
      </c>
      <c r="H78" s="5" t="n"/>
      <c r="I78" s="5" t="n"/>
      <c r="J78" s="5" t="inlineStr">
        <is>
          <t>Yes</t>
        </is>
      </c>
      <c r="K78" s="5" t="n"/>
      <c r="L78" s="5" t="inlineStr">
        <is>
          <t>Yes</t>
        </is>
      </c>
      <c r="M78" s="5" t="inlineStr">
        <is>
          <t>Yes</t>
        </is>
      </c>
      <c r="Q78" s="5" t="n"/>
    </row>
    <row r="79">
      <c r="A79" t="inlineStr">
        <is>
          <t>Funnel Stage</t>
        </is>
      </c>
      <c r="B79" t="inlineStr">
        <is>
          <t>Derived</t>
        </is>
      </c>
      <c r="C79" t="inlineStr">
        <is>
          <t>Supports funnel-based routing, lead scoring, and operational reporting.</t>
        </is>
      </c>
      <c r="D79" t="inlineStr">
        <is>
          <t>Marketing Automation Tool</t>
        </is>
      </c>
      <c r="E79" t="inlineStr">
        <is>
          <t>System-assigned funnel stage (e.g., top, middle, bottom) for the offer submission.</t>
        </is>
      </c>
      <c r="F79" t="inlineStr">
        <is>
          <t>What funnel stage is associated with this submission?</t>
        </is>
      </c>
      <c r="G79" t="inlineStr">
        <is>
          <t>Text</t>
        </is>
      </c>
      <c r="I79" t="inlineStr">
        <is>
          <t>Yes</t>
        </is>
      </c>
      <c r="J79" t="inlineStr">
        <is>
          <t>Yes</t>
        </is>
      </c>
      <c r="M79" t="inlineStr">
        <is>
          <t>Yes</t>
        </is>
      </c>
    </row>
    <row r="80">
      <c r="A80" s="5" t="inlineStr">
        <is>
          <t>Marketing Automation Tool Form ID</t>
        </is>
      </c>
      <c r="B80" s="5" t="inlineStr">
        <is>
          <t>Derived</t>
        </is>
      </c>
      <c r="C80" s="5" t="inlineStr">
        <is>
          <t>Connects the submission to the source form for operational reporting and validation.</t>
        </is>
      </c>
      <c r="D80" s="5" t="inlineStr">
        <is>
          <t>Marketing Automation Tool</t>
        </is>
      </c>
      <c r="E80" s="5" t="inlineStr">
        <is>
          <t>System-captured Marketing Automation Tool form identifier for the offer form.</t>
        </is>
      </c>
      <c r="F80" s="5" t="inlineStr">
        <is>
          <t>What is the Eloqua form identifier for this submission?</t>
        </is>
      </c>
      <c r="G80" s="5" t="inlineStr">
        <is>
          <t>Text</t>
        </is>
      </c>
      <c r="H80" s="5" t="n"/>
      <c r="I80" s="5" t="inlineStr">
        <is>
          <t>Yes</t>
        </is>
      </c>
      <c r="J80" s="5" t="inlineStr">
        <is>
          <t>Yes</t>
        </is>
      </c>
      <c r="K80" s="5" t="n"/>
      <c r="L80" s="5" t="n"/>
      <c r="M80" s="5" t="inlineStr">
        <is>
          <t>Yes</t>
        </is>
      </c>
      <c r="Q80" s="5" t="n"/>
    </row>
    <row r="81">
      <c r="A81" t="inlineStr">
        <is>
          <t>Marketing Automation Tool Email ID</t>
        </is>
      </c>
      <c r="B81" t="inlineStr">
        <is>
          <t>Derived</t>
        </is>
      </c>
      <c r="C81" t="inlineStr">
        <is>
          <t>Connects the submission to the source email for operational reporting and validation.</t>
        </is>
      </c>
      <c r="D81" t="inlineStr">
        <is>
          <t>Marketing Automation Tool</t>
        </is>
      </c>
      <c r="E81" t="inlineStr">
        <is>
          <t>System-captured Eloqua email identifier associated with the form submission.</t>
        </is>
      </c>
      <c r="F81" t="inlineStr">
        <is>
          <t>What is the Eloqua email identifier for this submission?</t>
        </is>
      </c>
      <c r="G81" t="inlineStr">
        <is>
          <t>Text</t>
        </is>
      </c>
      <c r="J81" t="inlineStr">
        <is>
          <t>Yes</t>
        </is>
      </c>
      <c r="M81" t="inlineStr">
        <is>
          <t>Yes</t>
        </is>
      </c>
    </row>
    <row r="82">
      <c r="A82" s="5" t="inlineStr">
        <is>
          <t>Marketing Automation Tool Landing Page ID</t>
        </is>
      </c>
      <c r="B82" s="5" t="inlineStr">
        <is>
          <t>Derived</t>
        </is>
      </c>
      <c r="C82" s="5" t="inlineStr">
        <is>
          <t>Connects the submission to the originating landing page for attribution and operational reporting.</t>
        </is>
      </c>
      <c r="D82" s="5" t="inlineStr">
        <is>
          <t>Marketing Automation Tool</t>
        </is>
      </c>
      <c r="E82" s="5" t="inlineStr">
        <is>
          <t>System-captured Marketing Automation Tool landing page identifier associated with the submission.</t>
        </is>
      </c>
      <c r="F82" s="5" t="inlineStr">
        <is>
          <t>What is the Eloqua landing page identifier for this submission?</t>
        </is>
      </c>
      <c r="G82" s="5" t="inlineStr">
        <is>
          <t>Text</t>
        </is>
      </c>
      <c r="H82" s="5" t="n"/>
      <c r="I82" s="5" t="inlineStr">
        <is>
          <t>Yes</t>
        </is>
      </c>
      <c r="J82" s="5" t="inlineStr">
        <is>
          <t>Yes</t>
        </is>
      </c>
      <c r="K82" s="5" t="n"/>
      <c r="L82" s="5" t="n"/>
      <c r="M82" s="5" t="inlineStr">
        <is>
          <t>Yes</t>
        </is>
      </c>
      <c r="Q82" s="5" t="n"/>
    </row>
  </sheetData>
  <mergeCells count="10">
    <mergeCell ref="A31:Q31"/>
    <mergeCell ref="A56:Q56"/>
    <mergeCell ref="A12:Q12"/>
    <mergeCell ref="A50:Q50"/>
    <mergeCell ref="A1:Q1"/>
    <mergeCell ref="B5:Q5"/>
    <mergeCell ref="A69:Q69"/>
    <mergeCell ref="B4:Q4"/>
    <mergeCell ref="A72:Q72"/>
    <mergeCell ref="B3:Q3"/>
  </mergeCells>
  <dataValidations count="1">
    <dataValidation sqref="Q8:Q82"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34.xml><?xml version="1.0" encoding="utf-8"?>
<worksheet xmlns="http://schemas.openxmlformats.org/spreadsheetml/2006/main">
  <sheetPr>
    <outlinePr summaryBelow="1" summaryRight="1"/>
    <pageSetUpPr/>
  </sheetPr>
  <dimension ref="A1:Q105"/>
  <sheetViews>
    <sheetView workbookViewId="0">
      <pane ySplit="6" topLeftCell="A7" activePane="bottomLeft" state="frozen"/>
      <selection pane="bottomLeft" activeCell="A1" sqref="A1"/>
    </sheetView>
  </sheetViews>
  <sheetFormatPr baseColWidth="8" defaultRowHeight="14.25"/>
  <cols>
    <col width="50" customWidth="1" style="7" min="1" max="1"/>
    <col width="20"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UC30 — Online Forms | Hand Raiser | Offers - Promotion | Form Submit</t>
        </is>
      </c>
    </row>
    <row r="2">
      <c r="A2" s="14" t="inlineStr">
        <is>
          <t>← Use Case Index</t>
        </is>
      </c>
      <c r="Q2" s="14" t="inlineStr">
        <is>
          <t>Data Element Matrix →</t>
        </is>
      </c>
    </row>
    <row r="3">
      <c r="A3" s="4" t="inlineStr">
        <is>
          <t>Process</t>
        </is>
      </c>
      <c r="B3" t="inlineStr">
        <is>
          <t>Online Forms</t>
        </is>
      </c>
    </row>
    <row r="4">
      <c r="A4" s="4" t="inlineStr">
        <is>
          <t>Lead Category</t>
        </is>
      </c>
      <c r="B4" t="inlineStr">
        <is>
          <t>Hand Raiser</t>
        </is>
      </c>
    </row>
    <row r="5">
      <c r="A5" s="4" t="inlineStr">
        <is>
          <t>Use Case</t>
        </is>
      </c>
      <c r="B5" t="inlineStr">
        <is>
          <t>Offers - Promotion</t>
        </is>
      </c>
    </row>
    <row r="6">
      <c r="A6" s="4" t="inlineStr">
        <is>
          <t>Activity Type</t>
        </is>
      </c>
      <c r="B6" t="inlineStr">
        <is>
          <t>Form Submit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To be able to align to lead scoring and attribution models</t>
        </is>
      </c>
      <c r="D9" t="inlineStr">
        <is>
          <t>Tray.io derived</t>
        </is>
      </c>
      <c r="E9" t="inlineStr">
        <is>
          <t>Set by Tray.io on receipt of form from Marketing Automation Tool.</t>
        </is>
      </c>
      <c r="F9" t="inlineStr">
        <is>
          <t>What is the Activity we are aligning attribution to?</t>
        </is>
      </c>
      <c r="G9" t="inlineStr">
        <is>
          <t>Text</t>
        </is>
      </c>
      <c r="I9" t="inlineStr">
        <is>
          <t>Yes</t>
        </is>
      </c>
      <c r="J9" t="inlineStr">
        <is>
          <t>Yes</t>
        </is>
      </c>
      <c r="K9" t="inlineStr">
        <is>
          <t>Yes</t>
        </is>
      </c>
      <c r="M9" t="inlineStr">
        <is>
          <t>Yes</t>
        </is>
      </c>
    </row>
    <row r="10">
      <c r="A10" s="5" t="inlineStr">
        <is>
          <t>Use Case</t>
        </is>
      </c>
      <c r="B10" s="5" t="inlineStr">
        <is>
          <t>Derived</t>
        </is>
      </c>
      <c r="C10" s="5" t="inlineStr">
        <is>
          <t>Separated the type of Form Submit for Attribution models to score separately</t>
        </is>
      </c>
      <c r="D10" s="5" t="inlineStr">
        <is>
          <t>Marketing Automation Tool</t>
        </is>
      </c>
      <c r="E10" s="5" t="inlineStr">
        <is>
          <t>Set by Marketing Automation Tool</t>
        </is>
      </c>
      <c r="F10" s="5" t="inlineStr">
        <is>
          <t>What type of form submit is this?</t>
        </is>
      </c>
      <c r="G10" s="5" t="inlineStr">
        <is>
          <t>Picklist/Text</t>
        </is>
      </c>
      <c r="H10" s="5" t="n"/>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Eloqua contact identifier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Customer Input</t>
        </is>
      </c>
      <c r="E17" s="5" t="inlineStr">
        <is>
          <t>Provided in uploaded contact file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Customer Input</t>
        </is>
      </c>
      <c r="E18" t="inlineStr">
        <is>
          <t>Provided in uploaded contact file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Customer Input</t>
        </is>
      </c>
      <c r="E19" s="5" t="inlineStr">
        <is>
          <t>Provided in uploaded contact file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Recommended</t>
        </is>
      </c>
      <c r="C20" t="inlineStr">
        <is>
          <t>Supports contact matching, enrichment, routing, and lead scoring</t>
        </is>
      </c>
      <c r="D20" t="inlineStr">
        <is>
          <t>Customer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level?</t>
        </is>
      </c>
      <c r="G20" t="inlineStr">
        <is>
          <t>List of values / derived</t>
        </is>
      </c>
      <c r="K20" t="inlineStr">
        <is>
          <t>Yes</t>
        </is>
      </c>
      <c r="L20" t="inlineStr">
        <is>
          <t>Yes</t>
        </is>
      </c>
      <c r="M20" t="inlineStr">
        <is>
          <t>Yes</t>
        </is>
      </c>
    </row>
    <row r="21">
      <c r="A21" s="5" t="inlineStr">
        <is>
          <t>Job Department</t>
        </is>
      </c>
      <c r="B21" s="5" t="inlineStr">
        <is>
          <t>Recommended</t>
        </is>
      </c>
      <c r="C21" s="5" t="inlineStr">
        <is>
          <t>Supports contact matching, enrichment, routing, and lead scoring</t>
        </is>
      </c>
      <c r="D21" s="5" t="inlineStr">
        <is>
          <t>Derived in Contact Database</t>
        </is>
      </c>
      <c r="E21" s="5" t="inlineStr">
        <is>
          <t>Marketing Source when available; if not provided, the value is programmatically derived from the existing Job Title within the contact database</t>
        </is>
      </c>
      <c r="F21" s="5" t="inlineStr">
        <is>
          <t>What is the contact job department?</t>
        </is>
      </c>
      <c r="G21" s="5" t="inlineStr">
        <is>
          <t>List of values / derived</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Customer Input</t>
        </is>
      </c>
      <c r="E22" t="inlineStr">
        <is>
          <t>Provided in Form</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Customer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Customer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Customer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Customer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Customer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Customer Input</t>
        </is>
      </c>
      <c r="E39" t="inlineStr">
        <is>
          <t>Provided in uploaded contact file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inlineStr">
        <is>
          <t>Yes</t>
        </is>
      </c>
      <c r="M48" s="5" t="inlineStr">
        <is>
          <t>Yes</t>
        </is>
      </c>
      <c r="Q48" s="5" t="n"/>
    </row>
    <row r="49">
      <c r="A49" t="inlineStr">
        <is>
          <t>Phone Extension</t>
        </is>
      </c>
      <c r="B49" t="inlineStr">
        <is>
          <t>Optional</t>
        </is>
      </c>
      <c r="C49" t="inlineStr">
        <is>
          <t>Excluded from standard performance reporting</t>
        </is>
      </c>
      <c r="D49" t="inlineStr">
        <is>
          <t>Customer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Customer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Customer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n"/>
      <c r="I53" s="5" t="n"/>
      <c r="J53" s="5" t="n"/>
      <c r="K53" s="5" t="n"/>
      <c r="L53" s="5" t="inlineStr">
        <is>
          <t>Yes</t>
        </is>
      </c>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Customer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L54" t="inlineStr">
        <is>
          <t>Yes</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Customer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inlineStr">
        <is>
          <t>Yes</t>
        </is>
      </c>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inlineStr">
        <is>
          <t>Yes</t>
        </is>
      </c>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L59" t="inlineStr">
        <is>
          <t>Yes</t>
        </is>
      </c>
      <c r="M59" t="inlineStr">
        <is>
          <t>Yes</t>
        </is>
      </c>
    </row>
    <row r="60">
      <c r="A60" s="5" t="inlineStr">
        <is>
          <t>Activity ID</t>
        </is>
      </c>
      <c r="B60" s="5" t="inlineStr">
        <is>
          <t>Derived</t>
        </is>
      </c>
      <c r="C60" s="5" t="inlineStr">
        <is>
          <t>Maintains compatibility with existing operational, attribution, and funnel reporting during transition.</t>
        </is>
      </c>
      <c r="D60" s="5" t="inlineStr">
        <is>
          <t>Marketing Automation Tool/Tealium</t>
        </is>
      </c>
      <c r="E60" s="5" t="inlineStr">
        <is>
          <t>Captured by Tealium from customers driving URL and passed to Marketing Automation Tool</t>
        </is>
      </c>
      <c r="F60" s="5" t="inlineStr">
        <is>
          <t>What is the  Activity ID for this activity?</t>
        </is>
      </c>
      <c r="G60" s="5" t="inlineStr">
        <is>
          <t>Text</t>
        </is>
      </c>
      <c r="H60" s="5" t="n"/>
      <c r="I60" s="5" t="inlineStr">
        <is>
          <t>Yes</t>
        </is>
      </c>
      <c r="J60" s="5" t="inlineStr">
        <is>
          <t>Yes</t>
        </is>
      </c>
      <c r="K60" s="5" t="inlineStr">
        <is>
          <t>Yes</t>
        </is>
      </c>
      <c r="L60" s="5" t="inlineStr">
        <is>
          <t>Yes</t>
        </is>
      </c>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L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inlineStr">
        <is>
          <t>Yes</t>
        </is>
      </c>
      <c r="M62" s="5" t="inlineStr">
        <is>
          <t>Yes</t>
        </is>
      </c>
      <c r="Q62" s="5" t="n"/>
    </row>
    <row r="63">
      <c r="A63" t="inlineStr">
        <is>
          <t>Drive To ID</t>
        </is>
      </c>
      <c r="B63" t="inlineStr">
        <is>
          <t>Required</t>
        </is>
      </c>
      <c r="C63" t="inlineStr">
        <is>
          <t>Maintains legacy destination and drive-to reporting alignment during transition.</t>
        </is>
      </c>
      <c r="D63" t="inlineStr">
        <is>
          <t>Marketing Automation Tool/Tealium</t>
        </is>
      </c>
      <c r="E63" t="inlineStr">
        <is>
          <t>Captured by Tealium from customers driving URL and passed to Marketing Automation Tool</t>
        </is>
      </c>
      <c r="F63" t="inlineStr">
        <is>
          <t>What is the Drive To ID?</t>
        </is>
      </c>
      <c r="G63" t="inlineStr">
        <is>
          <t>Text</t>
        </is>
      </c>
      <c r="I63" t="inlineStr">
        <is>
          <t>Yes</t>
        </is>
      </c>
      <c r="J63" t="inlineStr">
        <is>
          <t>Yes</t>
        </is>
      </c>
      <c r="L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Optional</t>
        </is>
      </c>
      <c r="C66" s="5" t="inlineStr">
        <is>
          <t>Maintains legacy offer identification for attribution, campaign reporting, and operational alignment during transition.</t>
        </is>
      </c>
      <c r="D66" s="5" t="inlineStr">
        <is>
          <t>Marketing Automation Tool/Tealium</t>
        </is>
      </c>
      <c r="E66" s="5" t="inlineStr">
        <is>
          <t>Captured by Marketing Automation Tool from Offer Consumed</t>
        </is>
      </c>
      <c r="F66" s="5" t="inlineStr">
        <is>
          <t>What is the Offer ID?</t>
        </is>
      </c>
      <c r="G66" s="5" t="inlineStr">
        <is>
          <t>Text</t>
        </is>
      </c>
      <c r="H66" s="5" t="n"/>
      <c r="I66" s="5" t="inlineStr">
        <is>
          <t>Yes</t>
        </is>
      </c>
      <c r="J66" s="5" t="inlineStr">
        <is>
          <t>Yes</t>
        </is>
      </c>
      <c r="K66" s="5" t="n"/>
      <c r="L66" s="5" t="inlineStr">
        <is>
          <t>Yes</t>
        </is>
      </c>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t>
        </is>
      </c>
      <c r="G67" t="inlineStr">
        <is>
          <t>System lookup</t>
        </is>
      </c>
      <c r="L67" t="inlineStr">
        <is>
          <t>Yes</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t>
        </is>
      </c>
      <c r="G68" s="5" t="inlineStr">
        <is>
          <t>System lookup</t>
        </is>
      </c>
      <c r="H68" s="5" t="n"/>
      <c r="I68" s="5" t="n"/>
      <c r="J68" s="5" t="n"/>
      <c r="K68" s="5" t="n"/>
      <c r="L68" s="5" t="inlineStr">
        <is>
          <t>Yes</t>
        </is>
      </c>
      <c r="M68" s="5" t="inlineStr">
        <is>
          <t>Yes</t>
        </is>
      </c>
      <c r="Q68" s="5" t="n"/>
    </row>
    <row r="69">
      <c r="A69" t="inlineStr">
        <is>
          <t>Offer Type</t>
        </is>
      </c>
    </row>
    <row r="70">
      <c r="A70" s="6" t="inlineStr">
        <is>
          <t>6 - Future Tracking Parameters</t>
        </is>
      </c>
    </row>
    <row r="71">
      <c r="A71" s="5" t="inlineStr">
        <is>
          <t>Workfront Channel ID</t>
        </is>
      </c>
      <c r="B71" s="5" t="inlineStr">
        <is>
          <t>Derived</t>
        </is>
      </c>
      <c r="C71" s="5" t="inlineStr">
        <is>
          <t>Connects the upload to the Workfront channel taxonomy for durable operational and attribution alignment.</t>
        </is>
      </c>
      <c r="D71" s="5" t="inlineStr">
        <is>
          <t>Marketing Automation Tool/Tealium</t>
        </is>
      </c>
      <c r="E71" s="5" t="inlineStr">
        <is>
          <t>Captured by Tealium from customers driving URL and passed to Marketing Automation Tool</t>
        </is>
      </c>
      <c r="F71" s="5" t="inlineStr">
        <is>
          <t>N/A - appended by Tray.io after upload</t>
        </is>
      </c>
      <c r="G71" s="5" t="inlineStr">
        <is>
          <t>Text</t>
        </is>
      </c>
      <c r="H71" s="5" t="n"/>
      <c r="I71" s="5" t="inlineStr">
        <is>
          <t>Yes</t>
        </is>
      </c>
      <c r="J71" s="5" t="inlineStr">
        <is>
          <t>Yes</t>
        </is>
      </c>
      <c r="K71" s="5" t="n"/>
      <c r="L71" s="5" t="inlineStr">
        <is>
          <t>Yes</t>
        </is>
      </c>
      <c r="M71" s="5" t="inlineStr">
        <is>
          <t>Yes</t>
        </is>
      </c>
      <c r="Q71" s="5" t="n"/>
    </row>
    <row r="72">
      <c r="A72" t="inlineStr">
        <is>
          <t>Primary Technology</t>
        </is>
      </c>
      <c r="B72" t="inlineStr">
        <is>
          <t>Derived</t>
        </is>
      </c>
      <c r="C72" t="inlineStr">
        <is>
          <t>Identifies the primary technology associated with the content for future attribution, operational, and seller enablement reporting.</t>
        </is>
      </c>
      <c r="D72" t="inlineStr">
        <is>
          <t>Tray.io / Workfront derived</t>
        </is>
      </c>
      <c r="E72" t="inlineStr">
        <is>
          <t>Tray.io derives Primary Technology from Workfront Content ID and Workfront Channel ID alignment.</t>
        </is>
      </c>
      <c r="F72" t="inlineStr">
        <is>
          <t>N/A - appended by Tray.io after upload</t>
        </is>
      </c>
      <c r="G72" t="inlineStr">
        <is>
          <t>System lookup</t>
        </is>
      </c>
      <c r="I72" t="inlineStr">
        <is>
          <t>Yes</t>
        </is>
      </c>
      <c r="J72" t="inlineStr">
        <is>
          <t>Yes</t>
        </is>
      </c>
      <c r="L72" t="inlineStr">
        <is>
          <t>Yes</t>
        </is>
      </c>
      <c r="M72" t="inlineStr">
        <is>
          <t>Yes</t>
        </is>
      </c>
    </row>
    <row r="73">
      <c r="A73" s="5" t="inlineStr">
        <is>
          <t>Campaign</t>
        </is>
      </c>
      <c r="B73" s="5" t="inlineStr">
        <is>
          <t>Derived</t>
        </is>
      </c>
      <c r="C73" s="5" t="inlineStr">
        <is>
          <t>Connects the touchpoint to campaign-level attribution and marketing sourced pipeline reporting aligned to Workfront Content ID and Channel ID.</t>
        </is>
      </c>
      <c r="D73" s="5" t="inlineStr">
        <is>
          <t>Tray.io / Workfront derived</t>
        </is>
      </c>
      <c r="E73" s="5" t="inlineStr">
        <is>
          <t>Tray.io derives Campaign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inlineStr">
        <is>
          <t>Yes</t>
        </is>
      </c>
      <c r="M73" s="5" t="inlineStr">
        <is>
          <t>Yes</t>
        </is>
      </c>
      <c r="Q73" s="5" t="n"/>
    </row>
    <row r="74">
      <c r="A74" t="inlineStr">
        <is>
          <t>Program</t>
        </is>
      </c>
      <c r="B74" t="inlineStr">
        <is>
          <t>Derived</t>
        </is>
      </c>
      <c r="C74" t="inlineStr">
        <is>
          <t>Connects the touchpoint to program-level attribution and marketing sourced pipeline reporting aligned to Workfront Content ID and Channel ID.</t>
        </is>
      </c>
      <c r="D74" t="inlineStr">
        <is>
          <t>Tray.io / Workfront derived</t>
        </is>
      </c>
      <c r="E74" t="inlineStr">
        <is>
          <t>Tray.io derives Program from Workfront Content ID and Workfront Channel ID alignment.</t>
        </is>
      </c>
      <c r="F74" t="inlineStr">
        <is>
          <t>N/A - appended by Tray.io after upload</t>
        </is>
      </c>
      <c r="G74" t="inlineStr">
        <is>
          <t>System lookup</t>
        </is>
      </c>
      <c r="I74" t="inlineStr">
        <is>
          <t>Yes</t>
        </is>
      </c>
      <c r="J74" t="inlineStr">
        <is>
          <t>Yes</t>
        </is>
      </c>
      <c r="L74" t="inlineStr">
        <is>
          <t>Yes</t>
        </is>
      </c>
      <c r="M74" t="inlineStr">
        <is>
          <t>Yes</t>
        </is>
      </c>
    </row>
    <row r="75">
      <c r="A75" s="5" t="inlineStr">
        <is>
          <t>Funnel Stage</t>
        </is>
      </c>
      <c r="B75" s="5" t="inlineStr">
        <is>
          <t>Derived</t>
        </is>
      </c>
      <c r="C75" s="5" t="inlineStr">
        <is>
          <t>Supports funnel-based routing, lead scoring, and operational reporting aligned to Workfront Content ID and Channel ID.</t>
        </is>
      </c>
      <c r="D75" s="5" t="inlineStr">
        <is>
          <t>Tray.io / Workfront derived</t>
        </is>
      </c>
      <c r="E75" s="5" t="inlineStr">
        <is>
          <t>Tray.io derives Funnel Stage from Workfront Content ID and Workfront Channel ID alignment.</t>
        </is>
      </c>
      <c r="F75" s="5" t="inlineStr">
        <is>
          <t>N/A - appended by Tray.io after upload</t>
        </is>
      </c>
      <c r="G75" s="5" t="inlineStr">
        <is>
          <t>System lookup</t>
        </is>
      </c>
      <c r="H75" s="5" t="n"/>
      <c r="I75" s="5" t="inlineStr">
        <is>
          <t>Yes</t>
        </is>
      </c>
      <c r="J75" s="5" t="inlineStr">
        <is>
          <t>Yes</t>
        </is>
      </c>
      <c r="K75" s="5" t="n"/>
      <c r="L75" s="5" t="n"/>
      <c r="M75" s="5" t="inlineStr">
        <is>
          <t>Yes</t>
        </is>
      </c>
      <c r="Q75" s="5" t="n"/>
    </row>
    <row r="76">
      <c r="A76" t="inlineStr">
        <is>
          <t>Workfront Content ID</t>
        </is>
      </c>
      <c r="B76" t="inlineStr">
        <is>
          <t>Derived</t>
        </is>
      </c>
      <c r="C76" t="inlineStr">
        <is>
          <t>Connects the upload to the Workfront Content taxonomy for durable operational and attribution alignment.</t>
        </is>
      </c>
      <c r="D76" t="inlineStr">
        <is>
          <t>Marketing Automation Tool/Tealium</t>
        </is>
      </c>
      <c r="E76" t="inlineStr">
        <is>
          <t>Captured by Marketing Automation Tool from Offer Consumed aligned to the Workfront Project that created it</t>
        </is>
      </c>
      <c r="F76" t="inlineStr">
        <is>
          <t>N/A - Appended by Telium and Marketing Automation Tool</t>
        </is>
      </c>
      <c r="G76" t="inlineStr">
        <is>
          <t>Text</t>
        </is>
      </c>
      <c r="I76" t="inlineStr">
        <is>
          <t>Yes</t>
        </is>
      </c>
      <c r="J76" t="inlineStr">
        <is>
          <t>Yes</t>
        </is>
      </c>
      <c r="L76" t="inlineStr">
        <is>
          <t>Yes</t>
        </is>
      </c>
      <c r="M76" t="inlineStr">
        <is>
          <t>Yes</t>
        </is>
      </c>
    </row>
    <row r="77">
      <c r="A77" s="5" t="inlineStr">
        <is>
          <t>Content Type</t>
        </is>
      </c>
      <c r="B77" s="5" t="inlineStr">
        <is>
          <t>Derived</t>
        </is>
      </c>
      <c r="C77" s="5" t="inlineStr">
        <is>
          <t>Identifies the content classification for future attribution, operational, and funnel reporting aligned to Workfront Content ID.</t>
        </is>
      </c>
      <c r="D77" s="5" t="inlineStr">
        <is>
          <t>Tray.io / Workfront derived</t>
        </is>
      </c>
      <c r="E77" s="5" t="inlineStr">
        <is>
          <t>Tray.io derives Content Type from Workfront Content ID alignment.</t>
        </is>
      </c>
      <c r="F77" s="5" t="inlineStr">
        <is>
          <t>N/A - appended by Tray.io after upload</t>
        </is>
      </c>
      <c r="G77" s="5" t="inlineStr">
        <is>
          <t>System lookup</t>
        </is>
      </c>
      <c r="H77" s="5" t="inlineStr">
        <is>
          <t>This field relates to Web Content Type, Webinar Type and Event Type from Workfront.</t>
        </is>
      </c>
      <c r="I77" s="5" t="inlineStr">
        <is>
          <t>Yes</t>
        </is>
      </c>
      <c r="J77" s="5" t="inlineStr">
        <is>
          <t>Yes</t>
        </is>
      </c>
      <c r="K77" s="5" t="n"/>
      <c r="L77" s="5" t="inlineStr">
        <is>
          <t>Yes</t>
        </is>
      </c>
      <c r="M77" s="5" t="inlineStr">
        <is>
          <t>Yes</t>
        </is>
      </c>
      <c r="Q77" s="5" t="n"/>
    </row>
    <row r="78">
      <c r="A78" t="inlineStr">
        <is>
          <t>C_ECID</t>
        </is>
      </c>
      <c r="B78" t="inlineStr">
        <is>
          <t>Derived</t>
        </is>
      </c>
      <c r="C78" t="inlineStr">
        <is>
          <t>Supports cross-session identity stitching for attribution and operational reporting.</t>
        </is>
      </c>
      <c r="D78" t="inlineStr">
        <is>
          <t>Marketing Automation Tool/Tealium</t>
        </is>
      </c>
      <c r="E78" t="inlineStr">
        <is>
          <t>Captured by Tealium as First Party Cookie and passed to Marketing Automation Tool</t>
        </is>
      </c>
      <c r="F78" t="inlineStr">
        <is>
          <t>N/A - Appended by Telium and Marketing Automation Tool</t>
        </is>
      </c>
      <c r="G78" t="inlineStr">
        <is>
          <t>Text</t>
        </is>
      </c>
      <c r="I78" t="inlineStr">
        <is>
          <t>Yes</t>
        </is>
      </c>
      <c r="J78" t="inlineStr">
        <is>
          <t>Yes</t>
        </is>
      </c>
      <c r="M78" t="inlineStr">
        <is>
          <t>Yes</t>
        </is>
      </c>
    </row>
    <row r="79">
      <c r="A79" s="5" t="inlineStr">
        <is>
          <t>C_FPID</t>
        </is>
      </c>
      <c r="B79" s="5" t="inlineStr">
        <is>
          <t>Derived</t>
        </is>
      </c>
      <c r="C79" s="5" t="inlineStr">
        <is>
          <t>Supports first-party identity stitching for attribution and operational reporting.</t>
        </is>
      </c>
      <c r="D79" s="5" t="inlineStr">
        <is>
          <t>Marketing Automation Tool/Tealium</t>
        </is>
      </c>
      <c r="E79" s="5" t="inlineStr">
        <is>
          <t>Captured by Tealium as First Party Cookie and passed to Marketing Automation Tool</t>
        </is>
      </c>
      <c r="F79" s="5" t="inlineStr">
        <is>
          <t>N/A - Appended by Telium and Marketing Automation Tool</t>
        </is>
      </c>
      <c r="G79" s="5" t="inlineStr">
        <is>
          <t>Text</t>
        </is>
      </c>
      <c r="H79" s="5" t="n"/>
      <c r="I79" s="5" t="inlineStr">
        <is>
          <t>Yes</t>
        </is>
      </c>
      <c r="J79" s="5" t="inlineStr">
        <is>
          <t>Yes</t>
        </is>
      </c>
      <c r="K79" s="5" t="n"/>
      <c r="L79" s="5" t="n"/>
      <c r="M79" s="5" t="inlineStr">
        <is>
          <t>Yes</t>
        </is>
      </c>
      <c r="Q79" s="5" t="n"/>
    </row>
    <row r="80">
      <c r="A80" t="inlineStr">
        <is>
          <t>Call to Action URL</t>
        </is>
      </c>
      <c r="B80" t="inlineStr">
        <is>
          <t>Derived</t>
        </is>
      </c>
      <c r="C80" t="inlineStr">
        <is>
          <t>Captures the CTA destination for attribution, seller enablement, and downstream follow-up context.</t>
        </is>
      </c>
      <c r="D80" t="inlineStr">
        <is>
          <t>Marketing Automation Tool/Tealium</t>
        </is>
      </c>
      <c r="E80" t="inlineStr">
        <is>
          <t>Captured by Tealium from the Customers selection of the Call to Action to access the Gated Offer and passed to Marketing Automation Tool</t>
        </is>
      </c>
      <c r="F80" t="inlineStr">
        <is>
          <t>N/A - Appended by Telium and Marketing Automation Tool</t>
        </is>
      </c>
      <c r="G80" t="inlineStr">
        <is>
          <t>Text</t>
        </is>
      </c>
      <c r="L80" t="inlineStr">
        <is>
          <t>Yes</t>
        </is>
      </c>
      <c r="M80" t="inlineStr">
        <is>
          <t>Yes</t>
        </is>
      </c>
    </row>
    <row r="81">
      <c r="A81" s="5" t="inlineStr">
        <is>
          <t>CP_GUTC</t>
        </is>
      </c>
      <c r="B81" s="5" t="inlineStr">
        <is>
          <t>Derived</t>
        </is>
      </c>
      <c r="C81" s="5" t="inlineStr">
        <is>
          <t>Supports visitor tracking, identity stitching, and attribution analysis.</t>
        </is>
      </c>
      <c r="D81" s="5" t="inlineStr">
        <is>
          <t>Marketing Automation Tool/Tealium</t>
        </is>
      </c>
      <c r="E81" s="5" t="inlineStr">
        <is>
          <t>Captured by Tealium tracking cookie and passed to Marketing Automation Tool.</t>
        </is>
      </c>
      <c r="F81" s="5" t="inlineStr">
        <is>
          <t>What is the Cisco tracking cookie value for this submission?</t>
        </is>
      </c>
      <c r="G81" s="5" t="inlineStr">
        <is>
          <t>Text</t>
        </is>
      </c>
      <c r="H81" s="5" t="n"/>
      <c r="I81" s="5" t="inlineStr">
        <is>
          <t>Yes</t>
        </is>
      </c>
      <c r="J81" s="5" t="inlineStr">
        <is>
          <t>Yes</t>
        </is>
      </c>
      <c r="K81" s="5" t="n"/>
      <c r="L81" s="5" t="n"/>
      <c r="M81" s="5" t="inlineStr">
        <is>
          <t>Yes</t>
        </is>
      </c>
      <c r="Q81" s="5" t="n"/>
    </row>
    <row r="82">
      <c r="A82" t="inlineStr">
        <is>
          <t>Entry URL</t>
        </is>
      </c>
      <c r="B82" t="inlineStr">
        <is>
          <t>Derived</t>
        </is>
      </c>
      <c r="C82" t="inlineStr">
        <is>
          <t>Captures first-entry URL for attribution journey analysis and operational reporting.</t>
        </is>
      </c>
      <c r="D82" t="inlineStr">
        <is>
          <t>Marketing Automation Tool/Tealium</t>
        </is>
      </c>
      <c r="E82" t="inlineStr">
        <is>
          <t>Captured by Tealium from the Customers first entry to .com and passed to Marketing Automation Tool</t>
        </is>
      </c>
      <c r="F82" t="inlineStr">
        <is>
          <t>N/A - Appended by Telium and Marketing Automation Tool</t>
        </is>
      </c>
      <c r="G82" t="inlineStr">
        <is>
          <t>Text</t>
        </is>
      </c>
      <c r="I82" t="inlineStr">
        <is>
          <t>Yes</t>
        </is>
      </c>
      <c r="J82" t="inlineStr">
        <is>
          <t>Yes</t>
        </is>
      </c>
      <c r="M82" t="inlineStr">
        <is>
          <t>Yes</t>
        </is>
      </c>
    </row>
    <row r="83">
      <c r="A83" s="5" t="inlineStr">
        <is>
          <t>Gated Page URL</t>
        </is>
      </c>
      <c r="B83" s="5" t="inlineStr">
        <is>
          <t>Derived</t>
        </is>
      </c>
      <c r="C83" s="5" t="inlineStr">
        <is>
          <t>Captures gated offer page context for operational reporting, seller enablement, and downstream follow-up.</t>
        </is>
      </c>
      <c r="D83" s="5" t="inlineStr">
        <is>
          <t>Marketing Automation Tool/Tealium</t>
        </is>
      </c>
      <c r="E83" s="5" t="inlineStr">
        <is>
          <t>Captured by Tealium from gated offer page consumed by the customer and passed to Marketing Automation Tool</t>
        </is>
      </c>
      <c r="F83" s="5" t="inlineStr">
        <is>
          <t>N/A - Appended by Telium and Marketing Automation Tool</t>
        </is>
      </c>
      <c r="G83" s="5" t="inlineStr">
        <is>
          <t>Text</t>
        </is>
      </c>
      <c r="H83" s="5" t="n"/>
      <c r="I83" s="5" t="n"/>
      <c r="J83" s="5" t="inlineStr">
        <is>
          <t>Yes</t>
        </is>
      </c>
      <c r="K83" s="5" t="n"/>
      <c r="L83" s="5" t="inlineStr">
        <is>
          <t>Yes</t>
        </is>
      </c>
      <c r="M83" s="5" t="inlineStr">
        <is>
          <t>Yes</t>
        </is>
      </c>
      <c r="Q83" s="5" t="n"/>
    </row>
    <row r="84">
      <c r="A84" t="inlineStr">
        <is>
          <t>Google Click ID</t>
        </is>
      </c>
      <c r="B84" t="inlineStr">
        <is>
          <t>Derived</t>
        </is>
      </c>
      <c r="C84" t="inlineStr">
        <is>
          <t>Supports paid search click-level attribution and campaign performance reporting.</t>
        </is>
      </c>
      <c r="D84" t="inlineStr">
        <is>
          <t>Marketing Automation Tool/Tealium</t>
        </is>
      </c>
      <c r="E84" t="inlineStr">
        <is>
          <t>Captured from Google Ads click tracking parameters and passed to Marketing Automation Tool.</t>
        </is>
      </c>
      <c r="F84" t="inlineStr">
        <is>
          <t>What is the Google click identifier (gclid) for this submission?</t>
        </is>
      </c>
      <c r="G84" t="inlineStr">
        <is>
          <t>Text</t>
        </is>
      </c>
      <c r="I84" t="inlineStr">
        <is>
          <t>Yes</t>
        </is>
      </c>
      <c r="J84" t="inlineStr">
        <is>
          <t>Yes</t>
        </is>
      </c>
      <c r="M84" t="inlineStr">
        <is>
          <t>Yes</t>
        </is>
      </c>
    </row>
    <row r="85">
      <c r="A85" s="5" t="inlineStr">
        <is>
          <t>Link Click ID</t>
        </is>
      </c>
      <c r="B85" s="5" t="inlineStr">
        <is>
          <t>Derived</t>
        </is>
      </c>
      <c r="C85" s="5" t="inlineStr">
        <is>
          <t>Supports click-level attribution and operational reporting for paid media touchpoints.</t>
        </is>
      </c>
      <c r="D85" s="5" t="inlineStr">
        <is>
          <t>Marketing Automation Tool/Tealium</t>
        </is>
      </c>
      <c r="E85" s="5" t="inlineStr">
        <is>
          <t>Captured by Tealium system-generated alphanumeric code appended to an ad's destination URL when a user clicks it and passed to Marketing Automation Tool</t>
        </is>
      </c>
      <c r="F85" s="5" t="inlineStr">
        <is>
          <t>N/A - Appended by Telium and Marketing Automation Tool</t>
        </is>
      </c>
      <c r="G85" s="5" t="inlineStr">
        <is>
          <t>Text</t>
        </is>
      </c>
      <c r="H85" s="5" t="n"/>
      <c r="I85" s="5" t="inlineStr">
        <is>
          <t>Yes</t>
        </is>
      </c>
      <c r="J85" s="5" t="inlineStr">
        <is>
          <t>Yes</t>
        </is>
      </c>
      <c r="K85" s="5" t="n"/>
      <c r="L85" s="5" t="n"/>
      <c r="M85" s="5" t="inlineStr">
        <is>
          <t>Yes</t>
        </is>
      </c>
      <c r="Q85" s="5" t="n"/>
    </row>
    <row r="86">
      <c r="A86" t="inlineStr">
        <is>
          <t>Source Domain</t>
        </is>
      </c>
      <c r="B86" t="inlineStr">
        <is>
          <t>Derived</t>
        </is>
      </c>
      <c r="C86" t="inlineStr">
        <is>
          <t>Captures referring domain for attribution journey analysis and operational reporting.</t>
        </is>
      </c>
      <c r="D86" t="inlineStr">
        <is>
          <t>Marketing Automation Tool/Tealium</t>
        </is>
      </c>
      <c r="E86" t="inlineStr">
        <is>
          <t>Captured by Tealium from the Customers previous state to .com and passed to Marketing Automation Tool</t>
        </is>
      </c>
      <c r="F86" t="inlineStr">
        <is>
          <t>N/A - Appended by Telium and Marketing Automation Tool</t>
        </is>
      </c>
      <c r="G86" t="inlineStr">
        <is>
          <t>Text</t>
        </is>
      </c>
      <c r="I86" t="inlineStr">
        <is>
          <t>Yes</t>
        </is>
      </c>
      <c r="J86" t="inlineStr">
        <is>
          <t>Yes</t>
        </is>
      </c>
      <c r="M86" t="inlineStr">
        <is>
          <t>Yes</t>
        </is>
      </c>
    </row>
    <row r="87">
      <c r="A87" s="5" t="inlineStr">
        <is>
          <t>utm_campaign</t>
        </is>
      </c>
      <c r="B87" s="5" t="inlineStr">
        <is>
          <t>Derived</t>
        </is>
      </c>
      <c r="C87" s="5" t="inlineStr">
        <is>
          <t>Identifies the campaign for future attribution, operational, and funnel reporting after legacy IDs are decommissioned.</t>
        </is>
      </c>
      <c r="D87" s="5" t="inlineStr">
        <is>
          <t>Marketing Automation Tool/Tealium</t>
        </is>
      </c>
      <c r="E87" s="5" t="inlineStr">
        <is>
          <t>Captured by Tealium from customers driving URL and passed to Marketing Automation Tool</t>
        </is>
      </c>
      <c r="F87" s="5" t="inlineStr">
        <is>
          <t>N/A - Appended by Telium and Marketing Automation Tool</t>
        </is>
      </c>
      <c r="G87" s="5" t="inlineStr">
        <is>
          <t>Text</t>
        </is>
      </c>
      <c r="H87" s="5" t="n"/>
      <c r="I87" s="5" t="n"/>
      <c r="J87" s="5" t="inlineStr">
        <is>
          <t>Yes</t>
        </is>
      </c>
      <c r="K87" s="5" t="n"/>
      <c r="L87" s="5" t="n"/>
      <c r="M87" s="5" t="inlineStr">
        <is>
          <t>Yes</t>
        </is>
      </c>
      <c r="Q87" s="5" t="n"/>
    </row>
    <row r="88">
      <c r="A88" t="inlineStr">
        <is>
          <t>utm_content</t>
        </is>
      </c>
      <c r="B88" t="inlineStr">
        <is>
          <t>Derived</t>
        </is>
      </c>
      <c r="C88" t="inlineStr">
        <is>
          <t>Identifies the content variant for future attribution, operational, and funnel reporting after legacy IDs are decommissioned.</t>
        </is>
      </c>
      <c r="D88" t="inlineStr">
        <is>
          <t>Marketing Automation Tool/Tealium</t>
        </is>
      </c>
      <c r="E88" t="inlineStr">
        <is>
          <t>Captured by Tealium from customers driving URL and passed to Marketing Automation Tool</t>
        </is>
      </c>
      <c r="F88" t="inlineStr">
        <is>
          <t>N/A - Appended by Telium and Marketing Automation Tool</t>
        </is>
      </c>
      <c r="G88" t="inlineStr">
        <is>
          <t>Text</t>
        </is>
      </c>
      <c r="J88" t="inlineStr">
        <is>
          <t>Yes</t>
        </is>
      </c>
      <c r="M88" t="inlineStr">
        <is>
          <t>Yes</t>
        </is>
      </c>
    </row>
    <row r="89">
      <c r="A89" s="5" t="inlineStr">
        <is>
          <t>utm_creative</t>
        </is>
      </c>
      <c r="B89" s="5" t="inlineStr">
        <is>
          <t>Derived</t>
        </is>
      </c>
      <c r="C89" s="5" t="inlineStr">
        <is>
          <t>Identifies the creative for future attribution, operational, and funnel reporting after legacy IDs are decommissioned.</t>
        </is>
      </c>
      <c r="D89" s="5" t="inlineStr">
        <is>
          <t>Marketing Automation Tool/Tealium</t>
        </is>
      </c>
      <c r="E89" s="5" t="inlineStr">
        <is>
          <t>Captured by Tealium from customers driving URL and passed to Marketing Automation Tool</t>
        </is>
      </c>
      <c r="F89" s="5" t="inlineStr">
        <is>
          <t>N/A - Appended by Telium and Marketing Automation Tool</t>
        </is>
      </c>
      <c r="G89" s="5" t="inlineStr">
        <is>
          <t>Text</t>
        </is>
      </c>
      <c r="H89" s="5" t="n"/>
      <c r="I89" s="5" t="n"/>
      <c r="J89" s="5" t="inlineStr">
        <is>
          <t>Yes</t>
        </is>
      </c>
      <c r="K89" s="5" t="n"/>
      <c r="L89" s="5" t="n"/>
      <c r="M89" s="5" t="inlineStr">
        <is>
          <t>Yes</t>
        </is>
      </c>
      <c r="Q89" s="5" t="n"/>
    </row>
    <row r="90">
      <c r="A90" t="inlineStr">
        <is>
          <t>utm_medium</t>
        </is>
      </c>
      <c r="B90" t="inlineStr">
        <is>
          <t>Derived</t>
        </is>
      </c>
      <c r="C90" t="inlineStr">
        <is>
          <t>Identifies the driving channel for future attribution, operational, and funnel reporting after legacy IDs are decommissioned.</t>
        </is>
      </c>
      <c r="D90" t="inlineStr">
        <is>
          <t>Marketing Automation Tool/Tealium</t>
        </is>
      </c>
      <c r="E90" t="inlineStr">
        <is>
          <t>Captured by Tealium from customers driving URL and passed to Marketing Automation Tool</t>
        </is>
      </c>
      <c r="F90" t="inlineStr">
        <is>
          <t>N/A - Appended by Telium and Marketing Automation Tool</t>
        </is>
      </c>
      <c r="G90" t="inlineStr">
        <is>
          <t>Picklist/Text</t>
        </is>
      </c>
      <c r="I90" t="inlineStr">
        <is>
          <t>Yes</t>
        </is>
      </c>
      <c r="J90" t="inlineStr">
        <is>
          <t>Yes</t>
        </is>
      </c>
      <c r="M90" t="inlineStr">
        <is>
          <t>Yes</t>
        </is>
      </c>
    </row>
    <row r="91">
      <c r="A91" s="5" t="inlineStr">
        <is>
          <t>utm_source</t>
        </is>
      </c>
      <c r="B91" s="5" t="inlineStr">
        <is>
          <t>Derived</t>
        </is>
      </c>
      <c r="C91" s="5" t="inlineStr">
        <is>
          <t>Identifies platform/vendor source for future attribution, operational, and funnel reporting.</t>
        </is>
      </c>
      <c r="D91" s="5" t="inlineStr">
        <is>
          <t>Marketing Automation Tool/Tealium</t>
        </is>
      </c>
      <c r="E91" s="5" t="inlineStr">
        <is>
          <t>Captured by Tealium from customers driving URL and passed to Marketing Automation Tool</t>
        </is>
      </c>
      <c r="F91" s="5" t="inlineStr">
        <is>
          <t>N/A - Appended by Telium and Marketing Automation Tool</t>
        </is>
      </c>
      <c r="G91" s="5" t="inlineStr">
        <is>
          <t>Picklist/Text</t>
        </is>
      </c>
      <c r="H91" s="5" t="n"/>
      <c r="I91" s="5" t="inlineStr">
        <is>
          <t>Yes</t>
        </is>
      </c>
      <c r="J91" s="5" t="inlineStr">
        <is>
          <t>Yes</t>
        </is>
      </c>
      <c r="K91" s="5" t="n"/>
      <c r="L91" s="5" t="n"/>
      <c r="M91" s="5" t="inlineStr">
        <is>
          <t>Yes</t>
        </is>
      </c>
      <c r="Q91" s="5" t="n"/>
    </row>
    <row r="92">
      <c r="A92" t="inlineStr">
        <is>
          <t>utm_term</t>
        </is>
      </c>
    </row>
    <row r="93">
      <c r="A93" s="6" t="inlineStr">
        <is>
          <t>7 - Event Tracking Parameters</t>
        </is>
      </c>
    </row>
    <row r="94">
      <c r="A94" s="5" t="inlineStr">
        <is>
          <t>Event ID / EID</t>
        </is>
      </c>
      <c r="B94" s="5" t="inlineStr">
        <is>
          <t>Required</t>
        </is>
      </c>
      <c r="C94" s="5" t="inlineStr">
        <is>
          <t>Primary lookup key for attribution, operational reporting, and Global Events Table enrichment.</t>
        </is>
      </c>
      <c r="D94" s="5" t="inlineStr">
        <is>
          <t>Marketing team input</t>
        </is>
      </c>
      <c r="E94" s="5" t="inlineStr">
        <is>
          <t>EID is validated against Global Events Table for validity</t>
        </is>
      </c>
      <c r="F94" s="5" t="inlineStr">
        <is>
          <t>Which Event ID is this upload for?</t>
        </is>
      </c>
      <c r="G94" s="5" t="inlineStr">
        <is>
          <t>Picklist/Text</t>
        </is>
      </c>
      <c r="H94" s="5" t="n"/>
      <c r="I94" s="5" t="inlineStr">
        <is>
          <t>Yes</t>
        </is>
      </c>
      <c r="J94" s="5" t="inlineStr">
        <is>
          <t>Yes</t>
        </is>
      </c>
      <c r="K94" s="5" t="n"/>
      <c r="L94" s="5" t="inlineStr">
        <is>
          <t>Yes</t>
        </is>
      </c>
      <c r="M94" s="5" t="inlineStr">
        <is>
          <t>Yes</t>
        </is>
      </c>
      <c r="Q94" s="5" t="n"/>
    </row>
    <row r="95">
      <c r="A95" t="inlineStr">
        <is>
          <t>Event Name</t>
        </is>
      </c>
    </row>
    <row r="96">
      <c r="A96" s="6" t="inlineStr">
        <is>
          <t>8 - Activity Detail</t>
        </is>
      </c>
    </row>
    <row r="97">
      <c r="A97" s="5" t="inlineStr">
        <is>
          <t>Form Submit Date</t>
        </is>
      </c>
      <c r="B97" s="5" t="inlineStr">
        <is>
          <t>Derived</t>
        </is>
      </c>
      <c r="C97" s="5" t="inlineStr">
        <is>
          <t>Supports submission timing analysis and operational reporting.</t>
        </is>
      </c>
      <c r="D97" s="5" t="inlineStr">
        <is>
          <t>Marketing Automation Tool</t>
        </is>
      </c>
      <c r="E97" s="5" t="inlineStr">
        <is>
          <t>System-captured form submission date passed from Marketing Automation Tool or Tealium.</t>
        </is>
      </c>
      <c r="F97" s="5" t="inlineStr">
        <is>
          <t>What is the form submit date captured by the system?</t>
        </is>
      </c>
      <c r="G97" s="5" t="inlineStr">
        <is>
          <t>Date/Time</t>
        </is>
      </c>
      <c r="H97" s="5" t="n"/>
      <c r="I97" s="5" t="n"/>
      <c r="J97" s="5" t="inlineStr">
        <is>
          <t>Yes</t>
        </is>
      </c>
      <c r="K97" s="5" t="inlineStr">
        <is>
          <t>Yes</t>
        </is>
      </c>
      <c r="L97" s="5" t="n"/>
      <c r="M97" s="5" t="inlineStr">
        <is>
          <t>Yes</t>
        </is>
      </c>
      <c r="Q97" s="5" t="n"/>
    </row>
    <row r="98">
      <c r="A98" t="inlineStr">
        <is>
          <t>Contact Source Original</t>
        </is>
      </c>
      <c r="B98" t="inlineStr">
        <is>
          <t>Derived</t>
        </is>
      </c>
      <c r="C98" t="inlineStr">
        <is>
          <t>Supports source lineage for attribution, operational reporting, and seller enablement.</t>
        </is>
      </c>
      <c r="D98" t="inlineStr">
        <is>
          <t>Marketing Automation Tool</t>
        </is>
      </c>
      <c r="E98" t="inlineStr">
        <is>
          <t>System-captured original source identifier for the offer form submission.</t>
        </is>
      </c>
      <c r="F98" t="inlineStr">
        <is>
          <t>What is the original contact source for this submission?</t>
        </is>
      </c>
      <c r="G98" t="inlineStr">
        <is>
          <t>Text</t>
        </is>
      </c>
      <c r="J98" t="inlineStr">
        <is>
          <t>Yes</t>
        </is>
      </c>
      <c r="L98" t="inlineStr">
        <is>
          <t>Yes</t>
        </is>
      </c>
      <c r="M98" t="inlineStr">
        <is>
          <t>Yes</t>
        </is>
      </c>
    </row>
    <row r="99">
      <c r="A99" s="5" t="inlineStr">
        <is>
          <t>Enquiry Type</t>
        </is>
      </c>
      <c r="B99" s="5" t="inlineStr">
        <is>
          <t>Required</t>
        </is>
      </c>
      <c r="C99" s="5" t="inlineStr">
        <is>
          <t>Classifies the contact's intent for routing, lead scoring, seller enablement, and operational reporting.</t>
        </is>
      </c>
      <c r="D99" s="5" t="inlineStr">
        <is>
          <t>Customer Input</t>
        </is>
      </c>
      <c r="E99" s="5" t="inlineStr">
        <is>
          <t>Required customer-selected enquiry category captured on the offer form.</t>
        </is>
      </c>
      <c r="F99" s="5" t="inlineStr">
        <is>
          <t>What type of enquiry is the contact submitting? (looking for Guidance etc.)</t>
        </is>
      </c>
      <c r="G99" s="5" t="inlineStr">
        <is>
          <t>Picklist</t>
        </is>
      </c>
      <c r="H99" s="5" t="n"/>
      <c r="I99" s="5" t="n"/>
      <c r="J99" s="5" t="n"/>
      <c r="K99" s="5" t="n"/>
      <c r="L99" s="5" t="inlineStr">
        <is>
          <t>Yes</t>
        </is>
      </c>
      <c r="M99" s="5" t="inlineStr">
        <is>
          <t>Yes</t>
        </is>
      </c>
      <c r="Q99" s="5" t="n"/>
    </row>
    <row r="100">
      <c r="A100" t="inlineStr">
        <is>
          <t>Additional Enquiry Details</t>
        </is>
      </c>
      <c r="B100" t="inlineStr">
        <is>
          <t>Required</t>
        </is>
      </c>
      <c r="C100" t="inlineStr">
        <is>
          <t>Provides qualitative enquiry context for seller enablement and operational review.</t>
        </is>
      </c>
      <c r="D100" t="inlineStr">
        <is>
          <t>Customer Input</t>
        </is>
      </c>
      <c r="E100" t="inlineStr">
        <is>
          <t>Optional free-text response captured from the customer on the offer form.</t>
        </is>
      </c>
      <c r="F100" t="inlineStr">
        <is>
          <t>What additional details did the contact provide about their enquiry?</t>
        </is>
      </c>
      <c r="G100" t="inlineStr">
        <is>
          <t>Text</t>
        </is>
      </c>
      <c r="L100" t="inlineStr">
        <is>
          <t>Yes</t>
        </is>
      </c>
      <c r="M100" t="inlineStr">
        <is>
          <t>Yes</t>
        </is>
      </c>
    </row>
    <row r="101">
      <c r="A101" s="5" t="inlineStr">
        <is>
          <t>Language</t>
        </is>
      </c>
      <c r="B101" s="5" t="inlineStr">
        <is>
          <t>Derived</t>
        </is>
      </c>
      <c r="C101" s="5" t="inlineStr">
        <is>
          <t>Supports localized operational reporting, routing, and customer experience alignment.</t>
        </is>
      </c>
      <c r="D101" s="5" t="inlineStr">
        <is>
          <t>Marketing Automation Tool</t>
        </is>
      </c>
      <c r="E101" s="5" t="inlineStr">
        <is>
          <t>System-captured locale code (e.g., en_us, ja_jp) for the form submission.</t>
        </is>
      </c>
      <c r="F101" s="5" t="inlineStr">
        <is>
          <t>What is the form language/locale for this submission?</t>
        </is>
      </c>
      <c r="G101" s="5" t="inlineStr">
        <is>
          <t>Text</t>
        </is>
      </c>
      <c r="H101" s="5" t="n"/>
      <c r="I101" s="5" t="n"/>
      <c r="J101" s="5" t="inlineStr">
        <is>
          <t>Yes</t>
        </is>
      </c>
      <c r="K101" s="5" t="n"/>
      <c r="L101" s="5" t="inlineStr">
        <is>
          <t>Yes</t>
        </is>
      </c>
      <c r="M101" s="5" t="inlineStr">
        <is>
          <t>Yes</t>
        </is>
      </c>
      <c r="Q101" s="5" t="n"/>
    </row>
    <row r="102">
      <c r="A102" t="inlineStr">
        <is>
          <t>Funnel Stage</t>
        </is>
      </c>
      <c r="B102" t="inlineStr">
        <is>
          <t>Derived</t>
        </is>
      </c>
      <c r="C102" t="inlineStr">
        <is>
          <t>Supports funnel-based routing, lead scoring, and operational reporting.</t>
        </is>
      </c>
      <c r="D102" t="inlineStr">
        <is>
          <t>Marketing Automation Tool</t>
        </is>
      </c>
      <c r="E102" t="inlineStr">
        <is>
          <t>System-assigned funnel stage (e.g., top, middle, bottom) for the offer submission.</t>
        </is>
      </c>
      <c r="F102" t="inlineStr">
        <is>
          <t>What funnel stage is associated with this submission?</t>
        </is>
      </c>
      <c r="G102" t="inlineStr">
        <is>
          <t>Text</t>
        </is>
      </c>
      <c r="I102" t="inlineStr">
        <is>
          <t>Yes</t>
        </is>
      </c>
      <c r="J102" t="inlineStr">
        <is>
          <t>Yes</t>
        </is>
      </c>
      <c r="M102" t="inlineStr">
        <is>
          <t>Yes</t>
        </is>
      </c>
    </row>
    <row r="103">
      <c r="A103" s="5" t="inlineStr">
        <is>
          <t>Marketing Automation Tool Form ID</t>
        </is>
      </c>
      <c r="B103" s="5" t="inlineStr">
        <is>
          <t>Derived</t>
        </is>
      </c>
      <c r="C103" s="5" t="inlineStr">
        <is>
          <t>Connects the submission to the source form for operational reporting and validation.</t>
        </is>
      </c>
      <c r="D103" s="5" t="inlineStr">
        <is>
          <t>Marketing Automation Tool</t>
        </is>
      </c>
      <c r="E103" s="5" t="inlineStr">
        <is>
          <t>System-captured Marketing Automation Tool form identifier for the offer form.</t>
        </is>
      </c>
      <c r="F103" s="5" t="inlineStr">
        <is>
          <t>What is the Eloqua form identifier for this submission?</t>
        </is>
      </c>
      <c r="G103" s="5" t="inlineStr">
        <is>
          <t>Text</t>
        </is>
      </c>
      <c r="H103" s="5" t="n"/>
      <c r="I103" s="5" t="inlineStr">
        <is>
          <t>Yes</t>
        </is>
      </c>
      <c r="J103" s="5" t="inlineStr">
        <is>
          <t>Yes</t>
        </is>
      </c>
      <c r="K103" s="5" t="n"/>
      <c r="L103" s="5" t="n"/>
      <c r="M103" s="5" t="inlineStr">
        <is>
          <t>Yes</t>
        </is>
      </c>
      <c r="Q103" s="5" t="n"/>
    </row>
    <row r="104">
      <c r="A104" t="inlineStr">
        <is>
          <t>Marketing Automation Tool Email ID</t>
        </is>
      </c>
      <c r="B104" t="inlineStr">
        <is>
          <t>Derived</t>
        </is>
      </c>
      <c r="C104" t="inlineStr">
        <is>
          <t>Connects the submission to the source email for operational reporting and validation.</t>
        </is>
      </c>
      <c r="D104" t="inlineStr">
        <is>
          <t>Marketing Automation Tool</t>
        </is>
      </c>
      <c r="E104" t="inlineStr">
        <is>
          <t>System-captured Eloqua email identifier associated with the form submission.</t>
        </is>
      </c>
      <c r="F104" t="inlineStr">
        <is>
          <t>What is the Eloqua email identifier for this submission?</t>
        </is>
      </c>
      <c r="G104" t="inlineStr">
        <is>
          <t>Text</t>
        </is>
      </c>
      <c r="J104" t="inlineStr">
        <is>
          <t>Yes</t>
        </is>
      </c>
      <c r="M104" t="inlineStr">
        <is>
          <t>Yes</t>
        </is>
      </c>
    </row>
    <row r="105">
      <c r="A105" s="5" t="inlineStr">
        <is>
          <t>Marketing Automation Tool Landing Page ID</t>
        </is>
      </c>
      <c r="B105" s="5" t="inlineStr">
        <is>
          <t>Derived</t>
        </is>
      </c>
      <c r="C105" s="5" t="inlineStr">
        <is>
          <t>Connects the submission to the originating landing page for attribution and operational reporting.</t>
        </is>
      </c>
      <c r="D105" s="5" t="inlineStr">
        <is>
          <t>Marketing Automation Tool</t>
        </is>
      </c>
      <c r="E105" s="5" t="inlineStr">
        <is>
          <t>System-captured Marketing Automation Tool landing page identifier associated with the submission.</t>
        </is>
      </c>
      <c r="F105" s="5" t="inlineStr">
        <is>
          <t>What is the Eloqua landing page identifier for this submission?</t>
        </is>
      </c>
      <c r="G105" s="5" t="inlineStr">
        <is>
          <t>Text</t>
        </is>
      </c>
      <c r="H105" s="5" t="n"/>
      <c r="I105" s="5" t="inlineStr">
        <is>
          <t>Yes</t>
        </is>
      </c>
      <c r="J105" s="5" t="inlineStr">
        <is>
          <t>Yes</t>
        </is>
      </c>
      <c r="K105" s="5" t="n"/>
      <c r="L105" s="5" t="n"/>
      <c r="M105" s="5" t="inlineStr">
        <is>
          <t>Yes</t>
        </is>
      </c>
      <c r="Q105" s="5" t="n"/>
    </row>
  </sheetData>
  <mergeCells count="11">
    <mergeCell ref="A31:Q31"/>
    <mergeCell ref="A56:Q56"/>
    <mergeCell ref="A92:Q92"/>
    <mergeCell ref="A12:Q12"/>
    <mergeCell ref="A50:Q50"/>
    <mergeCell ref="A95:Q95"/>
    <mergeCell ref="A1:Q1"/>
    <mergeCell ref="B5:Q5"/>
    <mergeCell ref="A69:Q69"/>
    <mergeCell ref="B4:Q4"/>
    <mergeCell ref="B3:Q3"/>
  </mergeCells>
  <dataValidations count="1">
    <dataValidation sqref="Q8:Q105"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35.xml><?xml version="1.0" encoding="utf-8"?>
<worksheet xmlns="http://schemas.openxmlformats.org/spreadsheetml/2006/main">
  <sheetPr>
    <outlinePr summaryBelow="1" summaryRight="1"/>
    <pageSetUpPr/>
  </sheetPr>
  <dimension ref="A1:Q82"/>
  <sheetViews>
    <sheetView workbookViewId="0">
      <pane ySplit="6" topLeftCell="A7" activePane="bottomLeft" state="frozen"/>
      <selection pane="bottomLeft" activeCell="A1" sqref="A1"/>
    </sheetView>
  </sheetViews>
  <sheetFormatPr baseColWidth="8" defaultRowHeight="14.25"/>
  <cols>
    <col width="50" customWidth="1" style="7" min="1" max="1"/>
    <col width="16"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UC31 — Online Forms | Hand Raiser | Offers - Trial | Form Submit</t>
        </is>
      </c>
    </row>
    <row r="2">
      <c r="A2" s="14" t="inlineStr">
        <is>
          <t>← Use Case Index</t>
        </is>
      </c>
      <c r="Q2" s="14" t="inlineStr">
        <is>
          <t>Data Element Matrix →</t>
        </is>
      </c>
    </row>
    <row r="3">
      <c r="A3" s="4" t="inlineStr">
        <is>
          <t>Process</t>
        </is>
      </c>
      <c r="B3" t="inlineStr">
        <is>
          <t>Online Forms</t>
        </is>
      </c>
    </row>
    <row r="4">
      <c r="A4" s="4" t="inlineStr">
        <is>
          <t>Lead Category</t>
        </is>
      </c>
      <c r="B4" t="inlineStr">
        <is>
          <t>Hand Raiser</t>
        </is>
      </c>
    </row>
    <row r="5">
      <c r="A5" s="4" t="inlineStr">
        <is>
          <t>Use Case</t>
        </is>
      </c>
      <c r="B5" t="inlineStr">
        <is>
          <t>Offers - Trial</t>
        </is>
      </c>
    </row>
    <row r="6">
      <c r="A6" s="4" t="inlineStr">
        <is>
          <t>Activity Type</t>
        </is>
      </c>
      <c r="B6" t="inlineStr">
        <is>
          <t>Form Submit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To be able to align to lead scoring and attribution models</t>
        </is>
      </c>
      <c r="D9" t="inlineStr">
        <is>
          <t>Tray.io derived</t>
        </is>
      </c>
      <c r="E9" t="inlineStr">
        <is>
          <t>Set by Tray.io on receipt of form from Marketing Automation Tool.</t>
        </is>
      </c>
      <c r="F9" t="inlineStr">
        <is>
          <t>What is the Activity we are aligning attribution to?</t>
        </is>
      </c>
      <c r="G9" t="inlineStr">
        <is>
          <t>Text</t>
        </is>
      </c>
      <c r="I9" t="inlineStr">
        <is>
          <t>Yes</t>
        </is>
      </c>
      <c r="J9" t="inlineStr">
        <is>
          <t>Yes</t>
        </is>
      </c>
      <c r="K9" t="inlineStr">
        <is>
          <t>Yes</t>
        </is>
      </c>
      <c r="M9" t="inlineStr">
        <is>
          <t>Yes</t>
        </is>
      </c>
    </row>
    <row r="10">
      <c r="A10" s="5" t="inlineStr">
        <is>
          <t>Use Case</t>
        </is>
      </c>
      <c r="B10" s="5" t="inlineStr">
        <is>
          <t>Derived</t>
        </is>
      </c>
      <c r="C10" s="5" t="inlineStr">
        <is>
          <t>Separated the type of Form Submit for Attribution models to score separately</t>
        </is>
      </c>
      <c r="D10" s="5" t="inlineStr">
        <is>
          <t>Marketing Automation Tool</t>
        </is>
      </c>
      <c r="E10" s="5" t="inlineStr">
        <is>
          <t>Set by Marketing Automation Tool</t>
        </is>
      </c>
      <c r="F10" s="5" t="inlineStr">
        <is>
          <t>What type of form submit is this?</t>
        </is>
      </c>
      <c r="G10" s="5" t="inlineStr">
        <is>
          <t>Picklist/Text</t>
        </is>
      </c>
      <c r="H10" s="5" t="n"/>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Eloqua contact identifier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Customer Input</t>
        </is>
      </c>
      <c r="E17" s="5" t="inlineStr">
        <is>
          <t>Provided in uploaded contact file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Customer Input</t>
        </is>
      </c>
      <c r="E18" t="inlineStr">
        <is>
          <t>Provided in uploaded contact file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Customer Input</t>
        </is>
      </c>
      <c r="E19" s="5" t="inlineStr">
        <is>
          <t>Provided in uploaded contact file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Recommended</t>
        </is>
      </c>
      <c r="C20" t="inlineStr">
        <is>
          <t>Supports contact matching, enrichment, routing, and lead scoring</t>
        </is>
      </c>
      <c r="D20" t="inlineStr">
        <is>
          <t>Customer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level?</t>
        </is>
      </c>
      <c r="G20" t="inlineStr">
        <is>
          <t>List of values / derived</t>
        </is>
      </c>
      <c r="K20" t="inlineStr">
        <is>
          <t>Yes</t>
        </is>
      </c>
      <c r="L20" t="inlineStr">
        <is>
          <t>Yes</t>
        </is>
      </c>
      <c r="M20" t="inlineStr">
        <is>
          <t>Yes</t>
        </is>
      </c>
    </row>
    <row r="21">
      <c r="A21" s="5" t="inlineStr">
        <is>
          <t>Job Department</t>
        </is>
      </c>
      <c r="B21" s="5" t="inlineStr">
        <is>
          <t>Recommended</t>
        </is>
      </c>
      <c r="C21" s="5" t="inlineStr">
        <is>
          <t>Supports contact matching, enrichment, routing, and lead scoring</t>
        </is>
      </c>
      <c r="D21" s="5" t="inlineStr">
        <is>
          <t>Derived in Contact Database</t>
        </is>
      </c>
      <c r="E21" s="5" t="inlineStr">
        <is>
          <t>Marketing Source when available; if not provided, the value is programmatically derived from the existing Job Title within the contact database</t>
        </is>
      </c>
      <c r="F21" s="5" t="inlineStr">
        <is>
          <t>What is the contact job department?</t>
        </is>
      </c>
      <c r="G21" s="5" t="inlineStr">
        <is>
          <t>List of values / derived</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Customer Input</t>
        </is>
      </c>
      <c r="E22" t="inlineStr">
        <is>
          <t>Provided in Form</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Customer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Customer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Customer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Customer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Customer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Customer Input</t>
        </is>
      </c>
      <c r="E39" t="inlineStr">
        <is>
          <t>Provided in uploaded contact file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inlineStr">
        <is>
          <t>Yes</t>
        </is>
      </c>
      <c r="M48" s="5" t="inlineStr">
        <is>
          <t>Yes</t>
        </is>
      </c>
      <c r="Q48" s="5" t="n"/>
    </row>
    <row r="49">
      <c r="A49" t="inlineStr">
        <is>
          <t>Phone Extension</t>
        </is>
      </c>
      <c r="B49" t="inlineStr">
        <is>
          <t>Optional</t>
        </is>
      </c>
      <c r="C49" t="inlineStr">
        <is>
          <t>Excluded from standard performance reporting</t>
        </is>
      </c>
      <c r="D49" t="inlineStr">
        <is>
          <t>Customer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Customer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Customer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n"/>
      <c r="I53" s="5" t="n"/>
      <c r="J53" s="5" t="n"/>
      <c r="K53" s="5" t="n"/>
      <c r="L53" s="5" t="inlineStr">
        <is>
          <t>Yes</t>
        </is>
      </c>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Customer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L54" t="inlineStr">
        <is>
          <t>Yes</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Customer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inlineStr">
        <is>
          <t>Yes</t>
        </is>
      </c>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inlineStr">
        <is>
          <t>Yes</t>
        </is>
      </c>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L59" t="inlineStr">
        <is>
          <t>Yes</t>
        </is>
      </c>
      <c r="M59" t="inlineStr">
        <is>
          <t>Yes</t>
        </is>
      </c>
    </row>
    <row r="60">
      <c r="A60" s="5" t="inlineStr">
        <is>
          <t>Activity ID</t>
        </is>
      </c>
      <c r="B60" s="5" t="inlineStr">
        <is>
          <t>Derived</t>
        </is>
      </c>
      <c r="C60" s="5" t="inlineStr">
        <is>
          <t>Maintains compatibility with existing operational, attribution, and funnel reporting during transition.</t>
        </is>
      </c>
      <c r="D60" s="5" t="inlineStr">
        <is>
          <t>Marketing Automation Tool/Tealium</t>
        </is>
      </c>
      <c r="E60" s="5" t="inlineStr">
        <is>
          <t>Captured by Tealium from customers driving URL and passed to Marketing Automation Tool</t>
        </is>
      </c>
      <c r="F60" s="5" t="inlineStr">
        <is>
          <t>What is the  Activity ID for this activity?</t>
        </is>
      </c>
      <c r="G60" s="5" t="inlineStr">
        <is>
          <t>Text</t>
        </is>
      </c>
      <c r="H60" s="5" t="n"/>
      <c r="I60" s="5" t="inlineStr">
        <is>
          <t>Yes</t>
        </is>
      </c>
      <c r="J60" s="5" t="inlineStr">
        <is>
          <t>Yes</t>
        </is>
      </c>
      <c r="K60" s="5" t="inlineStr">
        <is>
          <t>Yes</t>
        </is>
      </c>
      <c r="L60" s="5" t="inlineStr">
        <is>
          <t>Yes</t>
        </is>
      </c>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L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inlineStr">
        <is>
          <t>Yes</t>
        </is>
      </c>
      <c r="M62" s="5" t="inlineStr">
        <is>
          <t>Yes</t>
        </is>
      </c>
      <c r="Q62" s="5" t="n"/>
    </row>
    <row r="63">
      <c r="A63" t="inlineStr">
        <is>
          <t>Drive To ID</t>
        </is>
      </c>
      <c r="B63" t="inlineStr">
        <is>
          <t>Required</t>
        </is>
      </c>
      <c r="C63" t="inlineStr">
        <is>
          <t>Maintains legacy destination and drive-to reporting alignment during transition.</t>
        </is>
      </c>
      <c r="D63" t="inlineStr">
        <is>
          <t>Marketing Automation Tool/Tealium</t>
        </is>
      </c>
      <c r="E63" t="inlineStr">
        <is>
          <t>Captured by Tealium from customers driving URL and passed to Marketing Automation Tool</t>
        </is>
      </c>
      <c r="F63" t="inlineStr">
        <is>
          <t>What is the Drive To ID?</t>
        </is>
      </c>
      <c r="G63" t="inlineStr">
        <is>
          <t>Text</t>
        </is>
      </c>
      <c r="I63" t="inlineStr">
        <is>
          <t>Yes</t>
        </is>
      </c>
      <c r="J63" t="inlineStr">
        <is>
          <t>Yes</t>
        </is>
      </c>
      <c r="L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Optional</t>
        </is>
      </c>
      <c r="C66" s="5" t="inlineStr">
        <is>
          <t>Maintains legacy offer identification for attribution, campaign reporting, and operational alignment during transition.</t>
        </is>
      </c>
      <c r="D66" s="5" t="inlineStr">
        <is>
          <t>Marketing Automation Tool/Tealium</t>
        </is>
      </c>
      <c r="E66" s="5" t="inlineStr">
        <is>
          <t>Captured by Marketing Automation Tool from Offer Consumed</t>
        </is>
      </c>
      <c r="F66" s="5" t="inlineStr">
        <is>
          <t>What is the Offer ID?</t>
        </is>
      </c>
      <c r="G66" s="5" t="inlineStr">
        <is>
          <t>Text</t>
        </is>
      </c>
      <c r="H66" s="5" t="n"/>
      <c r="I66" s="5" t="inlineStr">
        <is>
          <t>Yes</t>
        </is>
      </c>
      <c r="J66" s="5" t="inlineStr">
        <is>
          <t>Yes</t>
        </is>
      </c>
      <c r="K66" s="5" t="n"/>
      <c r="L66" s="5" t="inlineStr">
        <is>
          <t>Yes</t>
        </is>
      </c>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t>
        </is>
      </c>
      <c r="G67" t="inlineStr">
        <is>
          <t>System lookup</t>
        </is>
      </c>
      <c r="L67" t="inlineStr">
        <is>
          <t>Yes</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t>
        </is>
      </c>
      <c r="G68" s="5" t="inlineStr">
        <is>
          <t>System lookup</t>
        </is>
      </c>
      <c r="H68" s="5" t="n"/>
      <c r="I68" s="5" t="n"/>
      <c r="J68" s="5" t="n"/>
      <c r="K68" s="5" t="n"/>
      <c r="L68" s="5" t="inlineStr">
        <is>
          <t>Yes</t>
        </is>
      </c>
      <c r="M68" s="5" t="inlineStr">
        <is>
          <t>Yes</t>
        </is>
      </c>
      <c r="Q68" s="5" t="n"/>
    </row>
    <row r="69">
      <c r="A69" t="inlineStr">
        <is>
          <t>Offer Type</t>
        </is>
      </c>
    </row>
    <row r="70">
      <c r="A70" s="6" t="inlineStr">
        <is>
          <t>7 - Event Tracking Parameters</t>
        </is>
      </c>
    </row>
    <row r="71">
      <c r="A71" s="5" t="inlineStr">
        <is>
          <t>Event ID / EID</t>
        </is>
      </c>
      <c r="B71" s="5" t="inlineStr">
        <is>
          <t>Required</t>
        </is>
      </c>
      <c r="C71" s="5" t="inlineStr">
        <is>
          <t>Primary lookup key for attribution, operational reporting, and Global Events Table enrichment.</t>
        </is>
      </c>
      <c r="D71" s="5" t="inlineStr">
        <is>
          <t>Marketing team input</t>
        </is>
      </c>
      <c r="E71" s="5" t="inlineStr">
        <is>
          <t>EID is validated against Global Events Table for validity</t>
        </is>
      </c>
      <c r="F71" s="5" t="inlineStr">
        <is>
          <t>Which Event ID is this upload for?</t>
        </is>
      </c>
      <c r="G71" s="5" t="inlineStr">
        <is>
          <t>Picklist/Text</t>
        </is>
      </c>
      <c r="H71" s="5" t="n"/>
      <c r="I71" s="5" t="inlineStr">
        <is>
          <t>Yes</t>
        </is>
      </c>
      <c r="J71" s="5" t="inlineStr">
        <is>
          <t>Yes</t>
        </is>
      </c>
      <c r="K71" s="5" t="n"/>
      <c r="L71" s="5" t="inlineStr">
        <is>
          <t>Yes</t>
        </is>
      </c>
      <c r="M71" s="5" t="inlineStr">
        <is>
          <t>Yes</t>
        </is>
      </c>
      <c r="Q71" s="5" t="n"/>
    </row>
    <row r="72">
      <c r="A72" t="inlineStr">
        <is>
          <t>Event Name</t>
        </is>
      </c>
    </row>
    <row r="73">
      <c r="A73" s="6" t="inlineStr">
        <is>
          <t>8 - Activity Detail</t>
        </is>
      </c>
    </row>
    <row r="74">
      <c r="A74" s="5" t="inlineStr">
        <is>
          <t>Form Submit Date</t>
        </is>
      </c>
      <c r="B74" s="5" t="inlineStr">
        <is>
          <t>Derived</t>
        </is>
      </c>
      <c r="C74" s="5" t="inlineStr">
        <is>
          <t>Supports submission timing analysis and operational reporting.</t>
        </is>
      </c>
      <c r="D74" s="5" t="inlineStr">
        <is>
          <t>Marketing Automation Tool</t>
        </is>
      </c>
      <c r="E74" s="5" t="inlineStr">
        <is>
          <t>System-captured form submission date passed from Marketing Automation Tool or Tealium.</t>
        </is>
      </c>
      <c r="F74" s="5" t="inlineStr">
        <is>
          <t>What is the form submit date captured by the system?</t>
        </is>
      </c>
      <c r="G74" s="5" t="inlineStr">
        <is>
          <t>Date/Time</t>
        </is>
      </c>
      <c r="H74" s="5" t="n"/>
      <c r="I74" s="5" t="n"/>
      <c r="J74" s="5" t="inlineStr">
        <is>
          <t>Yes</t>
        </is>
      </c>
      <c r="K74" s="5" t="inlineStr">
        <is>
          <t>Yes</t>
        </is>
      </c>
      <c r="L74" s="5" t="n"/>
      <c r="M74" s="5" t="inlineStr">
        <is>
          <t>Yes</t>
        </is>
      </c>
      <c r="Q74" s="5" t="n"/>
    </row>
    <row r="75">
      <c r="A75" t="inlineStr">
        <is>
          <t>Contact Source Original</t>
        </is>
      </c>
      <c r="B75" t="inlineStr">
        <is>
          <t>Derived</t>
        </is>
      </c>
      <c r="C75" t="inlineStr">
        <is>
          <t>Supports source lineage for attribution, operational reporting, and seller enablement.</t>
        </is>
      </c>
      <c r="D75" t="inlineStr">
        <is>
          <t>Marketing Automation Tool</t>
        </is>
      </c>
      <c r="E75" t="inlineStr">
        <is>
          <t>System-captured original source identifier for the offer form submission.</t>
        </is>
      </c>
      <c r="F75" t="inlineStr">
        <is>
          <t>What is the original contact source for this submission?</t>
        </is>
      </c>
      <c r="G75" t="inlineStr">
        <is>
          <t>Text</t>
        </is>
      </c>
      <c r="J75" t="inlineStr">
        <is>
          <t>Yes</t>
        </is>
      </c>
      <c r="L75" t="inlineStr">
        <is>
          <t>Yes</t>
        </is>
      </c>
      <c r="M75" t="inlineStr">
        <is>
          <t>Yes</t>
        </is>
      </c>
    </row>
    <row r="76">
      <c r="A76" s="5" t="inlineStr">
        <is>
          <t>Enquiry Type</t>
        </is>
      </c>
      <c r="B76" s="5" t="inlineStr">
        <is>
          <t>Required</t>
        </is>
      </c>
      <c r="C76" s="5" t="inlineStr">
        <is>
          <t>Classifies the contact's intent for routing, lead scoring, seller enablement, and operational reporting.</t>
        </is>
      </c>
      <c r="D76" s="5" t="inlineStr">
        <is>
          <t>Customer Input</t>
        </is>
      </c>
      <c r="E76" s="5" t="inlineStr">
        <is>
          <t>Required customer-selected enquiry category captured on the offer form.</t>
        </is>
      </c>
      <c r="F76" s="5" t="inlineStr">
        <is>
          <t>What type of enquiry is the contact submitting? (looking for Guidance etc.)</t>
        </is>
      </c>
      <c r="G76" s="5" t="inlineStr">
        <is>
          <t>Picklist</t>
        </is>
      </c>
      <c r="H76" s="5" t="n"/>
      <c r="I76" s="5" t="n"/>
      <c r="J76" s="5" t="n"/>
      <c r="K76" s="5" t="n"/>
      <c r="L76" s="5" t="inlineStr">
        <is>
          <t>Yes</t>
        </is>
      </c>
      <c r="M76" s="5" t="inlineStr">
        <is>
          <t>Yes</t>
        </is>
      </c>
      <c r="Q76" s="5" t="n"/>
    </row>
    <row r="77">
      <c r="A77" t="inlineStr">
        <is>
          <t>Additional Enquiry Details</t>
        </is>
      </c>
      <c r="B77" t="inlineStr">
        <is>
          <t>Required</t>
        </is>
      </c>
      <c r="C77" t="inlineStr">
        <is>
          <t>Provides qualitative enquiry context for seller enablement and operational review.</t>
        </is>
      </c>
      <c r="D77" t="inlineStr">
        <is>
          <t>Customer Input</t>
        </is>
      </c>
      <c r="E77" t="inlineStr">
        <is>
          <t>Optional free-text response captured from the customer on the offer form.</t>
        </is>
      </c>
      <c r="F77" t="inlineStr">
        <is>
          <t>What additional details did the contact provide about their enquiry?</t>
        </is>
      </c>
      <c r="G77" t="inlineStr">
        <is>
          <t>Text</t>
        </is>
      </c>
      <c r="L77" t="inlineStr">
        <is>
          <t>Yes</t>
        </is>
      </c>
      <c r="M77" t="inlineStr">
        <is>
          <t>Yes</t>
        </is>
      </c>
    </row>
    <row r="78">
      <c r="A78" s="5" t="inlineStr">
        <is>
          <t>Language</t>
        </is>
      </c>
      <c r="B78" s="5" t="inlineStr">
        <is>
          <t>Derived</t>
        </is>
      </c>
      <c r="C78" s="5" t="inlineStr">
        <is>
          <t>Supports localized operational reporting, routing, and customer experience alignment.</t>
        </is>
      </c>
      <c r="D78" s="5" t="inlineStr">
        <is>
          <t>Marketing Automation Tool</t>
        </is>
      </c>
      <c r="E78" s="5" t="inlineStr">
        <is>
          <t>System-captured locale code (e.g., en_us, ja_jp) for the form submission.</t>
        </is>
      </c>
      <c r="F78" s="5" t="inlineStr">
        <is>
          <t>What is the form language/locale for this submission?</t>
        </is>
      </c>
      <c r="G78" s="5" t="inlineStr">
        <is>
          <t>Text</t>
        </is>
      </c>
      <c r="H78" s="5" t="n"/>
      <c r="I78" s="5" t="n"/>
      <c r="J78" s="5" t="inlineStr">
        <is>
          <t>Yes</t>
        </is>
      </c>
      <c r="K78" s="5" t="n"/>
      <c r="L78" s="5" t="inlineStr">
        <is>
          <t>Yes</t>
        </is>
      </c>
      <c r="M78" s="5" t="inlineStr">
        <is>
          <t>Yes</t>
        </is>
      </c>
      <c r="Q78" s="5" t="n"/>
    </row>
    <row r="79">
      <c r="A79" t="inlineStr">
        <is>
          <t>Funnel Stage</t>
        </is>
      </c>
      <c r="B79" t="inlineStr">
        <is>
          <t>Derived</t>
        </is>
      </c>
      <c r="C79" t="inlineStr">
        <is>
          <t>Supports funnel-based routing, lead scoring, and operational reporting.</t>
        </is>
      </c>
      <c r="D79" t="inlineStr">
        <is>
          <t>Marketing Automation Tool</t>
        </is>
      </c>
      <c r="E79" t="inlineStr">
        <is>
          <t>System-assigned funnel stage (e.g., top, middle, bottom) for the offer submission.</t>
        </is>
      </c>
      <c r="F79" t="inlineStr">
        <is>
          <t>What funnel stage is associated with this submission?</t>
        </is>
      </c>
      <c r="G79" t="inlineStr">
        <is>
          <t>Text</t>
        </is>
      </c>
      <c r="I79" t="inlineStr">
        <is>
          <t>Yes</t>
        </is>
      </c>
      <c r="J79" t="inlineStr">
        <is>
          <t>Yes</t>
        </is>
      </c>
      <c r="M79" t="inlineStr">
        <is>
          <t>Yes</t>
        </is>
      </c>
    </row>
    <row r="80">
      <c r="A80" s="5" t="inlineStr">
        <is>
          <t>Marketing Automation Tool Form ID</t>
        </is>
      </c>
      <c r="B80" s="5" t="inlineStr">
        <is>
          <t>Derived</t>
        </is>
      </c>
      <c r="C80" s="5" t="inlineStr">
        <is>
          <t>Connects the submission to the source form for operational reporting and validation.</t>
        </is>
      </c>
      <c r="D80" s="5" t="inlineStr">
        <is>
          <t>Marketing Automation Tool</t>
        </is>
      </c>
      <c r="E80" s="5" t="inlineStr">
        <is>
          <t>System-captured Marketing Automation Tool form identifier for the offer form.</t>
        </is>
      </c>
      <c r="F80" s="5" t="inlineStr">
        <is>
          <t>What is the Eloqua form identifier for this submission?</t>
        </is>
      </c>
      <c r="G80" s="5" t="inlineStr">
        <is>
          <t>Text</t>
        </is>
      </c>
      <c r="H80" s="5" t="n"/>
      <c r="I80" s="5" t="inlineStr">
        <is>
          <t>Yes</t>
        </is>
      </c>
      <c r="J80" s="5" t="inlineStr">
        <is>
          <t>Yes</t>
        </is>
      </c>
      <c r="K80" s="5" t="n"/>
      <c r="L80" s="5" t="n"/>
      <c r="M80" s="5" t="inlineStr">
        <is>
          <t>Yes</t>
        </is>
      </c>
      <c r="Q80" s="5" t="n"/>
    </row>
    <row r="81">
      <c r="A81" t="inlineStr">
        <is>
          <t>Marketing Automation Tool Email ID</t>
        </is>
      </c>
      <c r="B81" t="inlineStr">
        <is>
          <t>Derived</t>
        </is>
      </c>
      <c r="C81" t="inlineStr">
        <is>
          <t>Connects the submission to the source email for operational reporting and validation.</t>
        </is>
      </c>
      <c r="D81" t="inlineStr">
        <is>
          <t>Marketing Automation Tool</t>
        </is>
      </c>
      <c r="E81" t="inlineStr">
        <is>
          <t>System-captured Eloqua email identifier associated with the form submission.</t>
        </is>
      </c>
      <c r="F81" t="inlineStr">
        <is>
          <t>What is the Eloqua email identifier for this submission?</t>
        </is>
      </c>
      <c r="G81" t="inlineStr">
        <is>
          <t>Text</t>
        </is>
      </c>
      <c r="J81" t="inlineStr">
        <is>
          <t>Yes</t>
        </is>
      </c>
      <c r="M81" t="inlineStr">
        <is>
          <t>Yes</t>
        </is>
      </c>
    </row>
    <row r="82">
      <c r="A82" s="5" t="inlineStr">
        <is>
          <t>Marketing Automation Tool Landing Page ID</t>
        </is>
      </c>
      <c r="B82" s="5" t="inlineStr">
        <is>
          <t>Derived</t>
        </is>
      </c>
      <c r="C82" s="5" t="inlineStr">
        <is>
          <t>Connects the submission to the originating landing page for attribution and operational reporting.</t>
        </is>
      </c>
      <c r="D82" s="5" t="inlineStr">
        <is>
          <t>Marketing Automation Tool</t>
        </is>
      </c>
      <c r="E82" s="5" t="inlineStr">
        <is>
          <t>System-captured Marketing Automation Tool landing page identifier associated with the submission.</t>
        </is>
      </c>
      <c r="F82" s="5" t="inlineStr">
        <is>
          <t>What is the Eloqua landing page identifier for this submission?</t>
        </is>
      </c>
      <c r="G82" s="5" t="inlineStr">
        <is>
          <t>Text</t>
        </is>
      </c>
      <c r="H82" s="5" t="n"/>
      <c r="I82" s="5" t="inlineStr">
        <is>
          <t>Yes</t>
        </is>
      </c>
      <c r="J82" s="5" t="inlineStr">
        <is>
          <t>Yes</t>
        </is>
      </c>
      <c r="K82" s="5" t="n"/>
      <c r="L82" s="5" t="n"/>
      <c r="M82" s="5" t="inlineStr">
        <is>
          <t>Yes</t>
        </is>
      </c>
      <c r="Q82" s="5" t="n"/>
    </row>
  </sheetData>
  <mergeCells count="10">
    <mergeCell ref="A31:Q31"/>
    <mergeCell ref="A56:Q56"/>
    <mergeCell ref="A12:Q12"/>
    <mergeCell ref="A50:Q50"/>
    <mergeCell ref="A1:Q1"/>
    <mergeCell ref="B5:Q5"/>
    <mergeCell ref="A69:Q69"/>
    <mergeCell ref="B4:Q4"/>
    <mergeCell ref="A72:Q72"/>
    <mergeCell ref="B3:Q3"/>
  </mergeCells>
  <dataValidations count="1">
    <dataValidation sqref="Q8:Q82"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36.xml><?xml version="1.0" encoding="utf-8"?>
<worksheet xmlns="http://schemas.openxmlformats.org/spreadsheetml/2006/main">
  <sheetPr>
    <outlinePr summaryBelow="1" summaryRight="1"/>
    <pageSetUpPr/>
  </sheetPr>
  <dimension ref="A1:Q30"/>
  <sheetViews>
    <sheetView workbookViewId="0">
      <pane ySplit="6" topLeftCell="A7" activePane="bottomLeft" state="frozen"/>
      <selection pane="bottomLeft" activeCell="A1" sqref="A1"/>
    </sheetView>
  </sheetViews>
  <sheetFormatPr baseColWidth="8" defaultRowHeight="14.25"/>
  <cols>
    <col width="50" customWidth="1" style="7" min="1" max="1"/>
    <col width="17" customWidth="1" style="7" min="2" max="2"/>
    <col width="50" customWidth="1" style="7" min="3" max="3"/>
    <col width="35" customWidth="1" style="7" min="4" max="4"/>
    <col width="50" customWidth="1" style="7" min="5" max="6"/>
    <col width="15"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UC32 — Online Forms | Hand Raiser | Offers - Trials | Form Submit</t>
        </is>
      </c>
    </row>
    <row r="2">
      <c r="A2" s="14" t="inlineStr">
        <is>
          <t>← Use Case Index</t>
        </is>
      </c>
      <c r="Q2" s="14" t="inlineStr">
        <is>
          <t>Data Element Matrix →</t>
        </is>
      </c>
    </row>
    <row r="3">
      <c r="A3" s="4" t="inlineStr">
        <is>
          <t>Process</t>
        </is>
      </c>
      <c r="B3" t="inlineStr">
        <is>
          <t>Online Forms</t>
        </is>
      </c>
    </row>
    <row r="4">
      <c r="A4" s="4" t="inlineStr">
        <is>
          <t>Lead Category</t>
        </is>
      </c>
      <c r="B4" t="inlineStr">
        <is>
          <t>Hand Raiser</t>
        </is>
      </c>
    </row>
    <row r="5">
      <c r="A5" s="4" t="inlineStr">
        <is>
          <t>Use Case</t>
        </is>
      </c>
      <c r="B5" t="inlineStr">
        <is>
          <t>Offers - Trials</t>
        </is>
      </c>
    </row>
    <row r="6">
      <c r="A6" s="4" t="inlineStr">
        <is>
          <t>Activity Type</t>
        </is>
      </c>
      <c r="B6" t="inlineStr">
        <is>
          <t>Form Submit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6 - Future Tracking Parameters</t>
        </is>
      </c>
    </row>
    <row r="9">
      <c r="A9" t="inlineStr">
        <is>
          <t>Workfront Channel ID</t>
        </is>
      </c>
      <c r="B9" t="inlineStr">
        <is>
          <t>Derived</t>
        </is>
      </c>
      <c r="C9" t="inlineStr">
        <is>
          <t>Connects the upload to the Workfront channel taxonomy for durable operational and attribution alignment.</t>
        </is>
      </c>
      <c r="D9" t="inlineStr">
        <is>
          <t>Marketing Automation Tool/Tealium</t>
        </is>
      </c>
      <c r="E9" t="inlineStr">
        <is>
          <t>Captured by Tealium from customers driving URL and passed to Marketing Automation Tool</t>
        </is>
      </c>
      <c r="F9" t="inlineStr">
        <is>
          <t>N/A - appended by Tray.io after upload</t>
        </is>
      </c>
      <c r="G9" t="inlineStr">
        <is>
          <t>Text</t>
        </is>
      </c>
      <c r="I9" t="inlineStr">
        <is>
          <t>Yes</t>
        </is>
      </c>
      <c r="J9" t="inlineStr">
        <is>
          <t>Yes</t>
        </is>
      </c>
      <c r="L9" t="inlineStr">
        <is>
          <t>Yes</t>
        </is>
      </c>
      <c r="M9" t="inlineStr">
        <is>
          <t>Yes</t>
        </is>
      </c>
    </row>
    <row r="10">
      <c r="A10" s="5" t="inlineStr">
        <is>
          <t>Primary Technology</t>
        </is>
      </c>
      <c r="B10" s="5" t="inlineStr">
        <is>
          <t>Derived</t>
        </is>
      </c>
      <c r="C10" s="5" t="inlineStr">
        <is>
          <t>Identifies the primary technology associated with the content for future attribution, operational, and seller enablement reporting.</t>
        </is>
      </c>
      <c r="D10" s="5" t="inlineStr">
        <is>
          <t>Tray.io / Workfront derived</t>
        </is>
      </c>
      <c r="E10" s="5" t="inlineStr">
        <is>
          <t>Tray.io derives Primary Technology from Workfront Content ID and Workfront Channel ID alignment.</t>
        </is>
      </c>
      <c r="F10" s="5" t="inlineStr">
        <is>
          <t>N/A - appended by Tray.io after upload</t>
        </is>
      </c>
      <c r="G10" s="5" t="inlineStr">
        <is>
          <t>System lookup</t>
        </is>
      </c>
      <c r="H10" s="5" t="n"/>
      <c r="I10" s="5" t="inlineStr">
        <is>
          <t>Yes</t>
        </is>
      </c>
      <c r="J10" s="5" t="inlineStr">
        <is>
          <t>Yes</t>
        </is>
      </c>
      <c r="K10" s="5" t="n"/>
      <c r="L10" s="5" t="inlineStr">
        <is>
          <t>Yes</t>
        </is>
      </c>
      <c r="M10" s="5" t="inlineStr">
        <is>
          <t>Yes</t>
        </is>
      </c>
      <c r="Q10" s="5" t="n"/>
    </row>
    <row r="11">
      <c r="A11" t="inlineStr">
        <is>
          <t>Campaign</t>
        </is>
      </c>
      <c r="B11" t="inlineStr">
        <is>
          <t>Derived</t>
        </is>
      </c>
      <c r="C11" t="inlineStr">
        <is>
          <t>Connects the touchpoint to campaign-level attribution and marketing sourced pipeline reporting aligned to Workfront Content ID and Channel ID.</t>
        </is>
      </c>
      <c r="D11" t="inlineStr">
        <is>
          <t>Tray.io / Workfront derived</t>
        </is>
      </c>
      <c r="E11" t="inlineStr">
        <is>
          <t>Tray.io derives Campaign from Workfront Content ID and Workfront Channel ID alignment.</t>
        </is>
      </c>
      <c r="F11" t="inlineStr">
        <is>
          <t>N/A - appended by Tray.io after upload</t>
        </is>
      </c>
      <c r="G11" t="inlineStr">
        <is>
          <t>System lookup</t>
        </is>
      </c>
      <c r="I11" t="inlineStr">
        <is>
          <t>Yes</t>
        </is>
      </c>
      <c r="J11" t="inlineStr">
        <is>
          <t>Yes</t>
        </is>
      </c>
      <c r="L11" t="inlineStr">
        <is>
          <t>Yes</t>
        </is>
      </c>
      <c r="M11" t="inlineStr">
        <is>
          <t>Yes</t>
        </is>
      </c>
    </row>
    <row r="12">
      <c r="A12" s="5" t="inlineStr">
        <is>
          <t>Program</t>
        </is>
      </c>
      <c r="B12" s="5" t="inlineStr">
        <is>
          <t>Derived</t>
        </is>
      </c>
      <c r="C12" s="5" t="inlineStr">
        <is>
          <t>Connects the touchpoint to program-level attribution and marketing sourced pipeline reporting aligned to Workfront Content ID and Channel ID.</t>
        </is>
      </c>
      <c r="D12" s="5" t="inlineStr">
        <is>
          <t>Tray.io / Workfront derived</t>
        </is>
      </c>
      <c r="E12" s="5" t="inlineStr">
        <is>
          <t>Tray.io derives Program from Workfront Content ID and Workfront Channel ID alignment.</t>
        </is>
      </c>
      <c r="F12" s="5" t="inlineStr">
        <is>
          <t>N/A - appended by Tray.io after upload</t>
        </is>
      </c>
      <c r="G12" s="5" t="inlineStr">
        <is>
          <t>System lookup</t>
        </is>
      </c>
      <c r="H12" s="5" t="n"/>
      <c r="I12" s="5" t="inlineStr">
        <is>
          <t>Yes</t>
        </is>
      </c>
      <c r="J12" s="5" t="inlineStr">
        <is>
          <t>Yes</t>
        </is>
      </c>
      <c r="K12" s="5" t="n"/>
      <c r="L12" s="5" t="inlineStr">
        <is>
          <t>Yes</t>
        </is>
      </c>
      <c r="M12" s="5" t="inlineStr">
        <is>
          <t>Yes</t>
        </is>
      </c>
      <c r="Q12" s="5" t="n"/>
    </row>
    <row r="13">
      <c r="A13" t="inlineStr">
        <is>
          <t>Funnel Stage</t>
        </is>
      </c>
      <c r="B13" t="inlineStr">
        <is>
          <t>Derived</t>
        </is>
      </c>
      <c r="C13" t="inlineStr">
        <is>
          <t>Supports funnel-based routing, lead scoring, and operational reporting aligned to Workfront Content ID and Channel ID.</t>
        </is>
      </c>
      <c r="D13" t="inlineStr">
        <is>
          <t>Tray.io / Workfront derived</t>
        </is>
      </c>
      <c r="E13" t="inlineStr">
        <is>
          <t>Tray.io derives Funnel Stage from Workfront Content ID and Workfront Channel ID alignment.</t>
        </is>
      </c>
      <c r="F13" t="inlineStr">
        <is>
          <t>N/A - appended by Tray.io after upload</t>
        </is>
      </c>
      <c r="G13" t="inlineStr">
        <is>
          <t>System lookup</t>
        </is>
      </c>
      <c r="I13" t="inlineStr">
        <is>
          <t>Yes</t>
        </is>
      </c>
      <c r="J13" t="inlineStr">
        <is>
          <t>Yes</t>
        </is>
      </c>
      <c r="M13" t="inlineStr">
        <is>
          <t>Yes</t>
        </is>
      </c>
    </row>
    <row r="14">
      <c r="A14" s="5" t="inlineStr">
        <is>
          <t>Workfront Content ID</t>
        </is>
      </c>
      <c r="B14" s="5" t="inlineStr">
        <is>
          <t>Derived</t>
        </is>
      </c>
      <c r="C14" s="5" t="inlineStr">
        <is>
          <t>Connects the upload to the Workfront Content taxonomy for durable operational and attribution alignment.</t>
        </is>
      </c>
      <c r="D14" s="5" t="inlineStr">
        <is>
          <t>Marketing Automation Tool/Tealium</t>
        </is>
      </c>
      <c r="E14" s="5" t="inlineStr">
        <is>
          <t>Captured by Marketing Automation Tool from Offer Consumed aligned to the Workfront Project that created it</t>
        </is>
      </c>
      <c r="F14" s="5" t="inlineStr">
        <is>
          <t>N/A - Appended by Telium and Marketing Automation Tool</t>
        </is>
      </c>
      <c r="G14" s="5" t="inlineStr">
        <is>
          <t>Text</t>
        </is>
      </c>
      <c r="H14" s="5" t="n"/>
      <c r="I14" s="5" t="inlineStr">
        <is>
          <t>Yes</t>
        </is>
      </c>
      <c r="J14" s="5" t="inlineStr">
        <is>
          <t>Yes</t>
        </is>
      </c>
      <c r="K14" s="5" t="n"/>
      <c r="L14" s="5" t="inlineStr">
        <is>
          <t>Yes</t>
        </is>
      </c>
      <c r="M14" s="5" t="inlineStr">
        <is>
          <t>Yes</t>
        </is>
      </c>
      <c r="Q14" s="5" t="n"/>
    </row>
    <row r="15">
      <c r="A15" t="inlineStr">
        <is>
          <t>Content Type</t>
        </is>
      </c>
      <c r="B15" t="inlineStr">
        <is>
          <t>Derived</t>
        </is>
      </c>
      <c r="C15" t="inlineStr">
        <is>
          <t>Identifies the content classification for future attribution, operational, and funnel reporting aligned to Workfront Content ID.</t>
        </is>
      </c>
      <c r="D15" t="inlineStr">
        <is>
          <t>Tray.io / Workfront derived</t>
        </is>
      </c>
      <c r="E15" t="inlineStr">
        <is>
          <t>Tray.io derives Content Type from Workfront Content ID alignment.</t>
        </is>
      </c>
      <c r="F15" t="inlineStr">
        <is>
          <t>N/A - appended by Tray.io after upload</t>
        </is>
      </c>
      <c r="G15" t="inlineStr">
        <is>
          <t>System lookup</t>
        </is>
      </c>
      <c r="H15" t="inlineStr">
        <is>
          <t>This field relates to Web Content Type, Webinar Type and Event Type from Workfront.</t>
        </is>
      </c>
      <c r="I15" t="inlineStr">
        <is>
          <t>Yes</t>
        </is>
      </c>
      <c r="J15" t="inlineStr">
        <is>
          <t>Yes</t>
        </is>
      </c>
      <c r="L15" t="inlineStr">
        <is>
          <t>Yes</t>
        </is>
      </c>
      <c r="M15" t="inlineStr">
        <is>
          <t>Yes</t>
        </is>
      </c>
    </row>
    <row r="16">
      <c r="A16" s="5" t="inlineStr">
        <is>
          <t>C_ECID</t>
        </is>
      </c>
      <c r="B16" s="5" t="inlineStr">
        <is>
          <t>Derived</t>
        </is>
      </c>
      <c r="C16" s="5" t="inlineStr">
        <is>
          <t>Supports cross-session identity stitching for attribution and operational reporting.</t>
        </is>
      </c>
      <c r="D16" s="5" t="inlineStr">
        <is>
          <t>Marketing Automation Tool/Tealium</t>
        </is>
      </c>
      <c r="E16" s="5" t="inlineStr">
        <is>
          <t>Captured by Tealium as First Party Cookie and passed to Marketing Automation Tool</t>
        </is>
      </c>
      <c r="F16" s="5" t="inlineStr">
        <is>
          <t>N/A - Appended by Telium and Marketing Automation Tool</t>
        </is>
      </c>
      <c r="G16" s="5" t="inlineStr">
        <is>
          <t>Text</t>
        </is>
      </c>
      <c r="H16" s="5" t="n"/>
      <c r="I16" s="5" t="inlineStr">
        <is>
          <t>Yes</t>
        </is>
      </c>
      <c r="J16" s="5" t="inlineStr">
        <is>
          <t>Yes</t>
        </is>
      </c>
      <c r="K16" s="5" t="n"/>
      <c r="L16" s="5" t="n"/>
      <c r="M16" s="5" t="inlineStr">
        <is>
          <t>Yes</t>
        </is>
      </c>
      <c r="Q16" s="5" t="n"/>
    </row>
    <row r="17">
      <c r="A17" t="inlineStr">
        <is>
          <t>C_FPID</t>
        </is>
      </c>
      <c r="B17" t="inlineStr">
        <is>
          <t>Derived</t>
        </is>
      </c>
      <c r="C17" t="inlineStr">
        <is>
          <t>Supports first-party identity stitching for attribution and operational reporting.</t>
        </is>
      </c>
      <c r="D17" t="inlineStr">
        <is>
          <t>Marketing Automation Tool/Tealium</t>
        </is>
      </c>
      <c r="E17" t="inlineStr">
        <is>
          <t>Captured by Tealium as First Party Cookie and passed to Marketing Automation Tool</t>
        </is>
      </c>
      <c r="F17" t="inlineStr">
        <is>
          <t>N/A - Appended by Telium and Marketing Automation Tool</t>
        </is>
      </c>
      <c r="G17" t="inlineStr">
        <is>
          <t>Text</t>
        </is>
      </c>
      <c r="I17" t="inlineStr">
        <is>
          <t>Yes</t>
        </is>
      </c>
      <c r="J17" t="inlineStr">
        <is>
          <t>Yes</t>
        </is>
      </c>
      <c r="M17" t="inlineStr">
        <is>
          <t>Yes</t>
        </is>
      </c>
    </row>
    <row r="18">
      <c r="A18" s="5" t="inlineStr">
        <is>
          <t>Call to Action URL</t>
        </is>
      </c>
      <c r="B18" s="5" t="inlineStr">
        <is>
          <t>Derived</t>
        </is>
      </c>
      <c r="C18" s="5" t="inlineStr">
        <is>
          <t>Captures the CTA destination for attribution, seller enablement, and downstream follow-up context.</t>
        </is>
      </c>
      <c r="D18" s="5" t="inlineStr">
        <is>
          <t>Marketing Automation Tool/Tealium</t>
        </is>
      </c>
      <c r="E18" s="5" t="inlineStr">
        <is>
          <t>Captured by Tealium from the Customers selection of the Call to Action to access the Gated Offer and passed to Marketing Automation Tool</t>
        </is>
      </c>
      <c r="F18" s="5" t="inlineStr">
        <is>
          <t>N/A - Appended by Telium and Marketing Automation Tool</t>
        </is>
      </c>
      <c r="G18" s="5" t="inlineStr">
        <is>
          <t>Text</t>
        </is>
      </c>
      <c r="H18" s="5" t="n"/>
      <c r="I18" s="5" t="n"/>
      <c r="J18" s="5" t="n"/>
      <c r="K18" s="5" t="n"/>
      <c r="L18" s="5" t="inlineStr">
        <is>
          <t>Yes</t>
        </is>
      </c>
      <c r="M18" s="5" t="inlineStr">
        <is>
          <t>Yes</t>
        </is>
      </c>
      <c r="Q18" s="5" t="n"/>
    </row>
    <row r="19">
      <c r="A19" t="inlineStr">
        <is>
          <t>CP_GUTC</t>
        </is>
      </c>
      <c r="B19" t="inlineStr">
        <is>
          <t>Derived</t>
        </is>
      </c>
      <c r="C19" t="inlineStr">
        <is>
          <t>Supports visitor tracking, identity stitching, and attribution analysis.</t>
        </is>
      </c>
      <c r="D19" t="inlineStr">
        <is>
          <t>Marketing Automation Tool/Tealium</t>
        </is>
      </c>
      <c r="E19" t="inlineStr">
        <is>
          <t>Captured by Tealium tracking cookie and passed to Marketing Automation Tool.</t>
        </is>
      </c>
      <c r="F19" t="inlineStr">
        <is>
          <t>What is the Cisco tracking cookie value for this submission?</t>
        </is>
      </c>
      <c r="G19" t="inlineStr">
        <is>
          <t>Text</t>
        </is>
      </c>
      <c r="I19" t="inlineStr">
        <is>
          <t>Yes</t>
        </is>
      </c>
      <c r="J19" t="inlineStr">
        <is>
          <t>Yes</t>
        </is>
      </c>
      <c r="M19" t="inlineStr">
        <is>
          <t>Yes</t>
        </is>
      </c>
    </row>
    <row r="20">
      <c r="A20" s="5" t="inlineStr">
        <is>
          <t>Entry URL</t>
        </is>
      </c>
      <c r="B20" s="5" t="inlineStr">
        <is>
          <t>Derived</t>
        </is>
      </c>
      <c r="C20" s="5" t="inlineStr">
        <is>
          <t>Captures first-entry URL for attribution journey analysis and operational reporting.</t>
        </is>
      </c>
      <c r="D20" s="5" t="inlineStr">
        <is>
          <t>Marketing Automation Tool/Tealium</t>
        </is>
      </c>
      <c r="E20" s="5" t="inlineStr">
        <is>
          <t>Captured by Tealium from the Customers first entry to .com and passed to Marketing Automation Tool</t>
        </is>
      </c>
      <c r="F20" s="5" t="inlineStr">
        <is>
          <t>N/A - Appended by Telium and Marketing Automation Tool</t>
        </is>
      </c>
      <c r="G20" s="5" t="inlineStr">
        <is>
          <t>Text</t>
        </is>
      </c>
      <c r="H20" s="5" t="n"/>
      <c r="I20" s="5" t="inlineStr">
        <is>
          <t>Yes</t>
        </is>
      </c>
      <c r="J20" s="5" t="inlineStr">
        <is>
          <t>Yes</t>
        </is>
      </c>
      <c r="K20" s="5" t="n"/>
      <c r="L20" s="5" t="n"/>
      <c r="M20" s="5" t="inlineStr">
        <is>
          <t>Yes</t>
        </is>
      </c>
      <c r="Q20" s="5" t="n"/>
    </row>
    <row r="21">
      <c r="A21" t="inlineStr">
        <is>
          <t>Gated Page URL</t>
        </is>
      </c>
      <c r="B21" t="inlineStr">
        <is>
          <t>Derived</t>
        </is>
      </c>
      <c r="C21" t="inlineStr">
        <is>
          <t>Captures gated offer page context for operational reporting, seller enablement, and downstream follow-up.</t>
        </is>
      </c>
      <c r="D21" t="inlineStr">
        <is>
          <t>Marketing Automation Tool/Tealium</t>
        </is>
      </c>
      <c r="E21" t="inlineStr">
        <is>
          <t>Captured by Tealium from gated offer page consumed by the customer and passed to Marketing Automation Tool</t>
        </is>
      </c>
      <c r="F21" t="inlineStr">
        <is>
          <t>N/A - Appended by Telium and Marketing Automation Tool</t>
        </is>
      </c>
      <c r="G21" t="inlineStr">
        <is>
          <t>Text</t>
        </is>
      </c>
      <c r="J21" t="inlineStr">
        <is>
          <t>Yes</t>
        </is>
      </c>
      <c r="L21" t="inlineStr">
        <is>
          <t>Yes</t>
        </is>
      </c>
      <c r="M21" t="inlineStr">
        <is>
          <t>Yes</t>
        </is>
      </c>
    </row>
    <row r="22">
      <c r="A22" s="5" t="inlineStr">
        <is>
          <t>Google Click ID</t>
        </is>
      </c>
      <c r="B22" s="5" t="inlineStr">
        <is>
          <t>Derived</t>
        </is>
      </c>
      <c r="C22" s="5" t="inlineStr">
        <is>
          <t>Supports paid search click-level attribution and campaign performance reporting.</t>
        </is>
      </c>
      <c r="D22" s="5" t="inlineStr">
        <is>
          <t>Marketing Automation Tool/Tealium</t>
        </is>
      </c>
      <c r="E22" s="5" t="inlineStr">
        <is>
          <t>Captured from Google Ads click tracking parameters and passed to Marketing Automation Tool.</t>
        </is>
      </c>
      <c r="F22" s="5" t="inlineStr">
        <is>
          <t>What is the Google click identifier (gclid) for this submission?</t>
        </is>
      </c>
      <c r="G22" s="5" t="inlineStr">
        <is>
          <t>Text</t>
        </is>
      </c>
      <c r="H22" s="5" t="n"/>
      <c r="I22" s="5" t="inlineStr">
        <is>
          <t>Yes</t>
        </is>
      </c>
      <c r="J22" s="5" t="inlineStr">
        <is>
          <t>Yes</t>
        </is>
      </c>
      <c r="K22" s="5" t="n"/>
      <c r="L22" s="5" t="n"/>
      <c r="M22" s="5" t="inlineStr">
        <is>
          <t>Yes</t>
        </is>
      </c>
      <c r="Q22" s="5" t="n"/>
    </row>
    <row r="23">
      <c r="A23" t="inlineStr">
        <is>
          <t>Link Click ID</t>
        </is>
      </c>
      <c r="B23" t="inlineStr">
        <is>
          <t>Derived</t>
        </is>
      </c>
      <c r="C23" t="inlineStr">
        <is>
          <t>Supports click-level attribution and operational reporting for paid media touchpoints.</t>
        </is>
      </c>
      <c r="D23" t="inlineStr">
        <is>
          <t>Marketing Automation Tool/Tealium</t>
        </is>
      </c>
      <c r="E23" t="inlineStr">
        <is>
          <t>Captured by Tealium system-generated alphanumeric code appended to an ad's destination URL when a user clicks it and passed to Marketing Automation Tool</t>
        </is>
      </c>
      <c r="F23" t="inlineStr">
        <is>
          <t>N/A - Appended by Telium and Marketing Automation Tool</t>
        </is>
      </c>
      <c r="G23" t="inlineStr">
        <is>
          <t>Text</t>
        </is>
      </c>
      <c r="I23" t="inlineStr">
        <is>
          <t>Yes</t>
        </is>
      </c>
      <c r="J23" t="inlineStr">
        <is>
          <t>Yes</t>
        </is>
      </c>
      <c r="M23" t="inlineStr">
        <is>
          <t>Yes</t>
        </is>
      </c>
    </row>
    <row r="24">
      <c r="A24" s="5" t="inlineStr">
        <is>
          <t>Source Domain</t>
        </is>
      </c>
      <c r="B24" s="5" t="inlineStr">
        <is>
          <t>Derived</t>
        </is>
      </c>
      <c r="C24" s="5" t="inlineStr">
        <is>
          <t>Captures referring domain for attribution journey analysis and operational reporting.</t>
        </is>
      </c>
      <c r="D24" s="5" t="inlineStr">
        <is>
          <t>Marketing Automation Tool/Tealium</t>
        </is>
      </c>
      <c r="E24" s="5" t="inlineStr">
        <is>
          <t>Captured by Tealium from the Customers previous state to .com and passed to Marketing Automation Tool</t>
        </is>
      </c>
      <c r="F24" s="5" t="inlineStr">
        <is>
          <t>N/A - Appended by Telium and Marketing Automation Tool</t>
        </is>
      </c>
      <c r="G24" s="5" t="inlineStr">
        <is>
          <t>Text</t>
        </is>
      </c>
      <c r="H24" s="5" t="n"/>
      <c r="I24" s="5" t="inlineStr">
        <is>
          <t>Yes</t>
        </is>
      </c>
      <c r="J24" s="5" t="inlineStr">
        <is>
          <t>Yes</t>
        </is>
      </c>
      <c r="K24" s="5" t="n"/>
      <c r="L24" s="5" t="n"/>
      <c r="M24" s="5" t="inlineStr">
        <is>
          <t>Yes</t>
        </is>
      </c>
      <c r="Q24" s="5" t="n"/>
    </row>
    <row r="25">
      <c r="A25" t="inlineStr">
        <is>
          <t>utm_campaign</t>
        </is>
      </c>
      <c r="B25" t="inlineStr">
        <is>
          <t>Derived</t>
        </is>
      </c>
      <c r="C25" t="inlineStr">
        <is>
          <t>Identifies the campaign for future attribution, operational, and funnel reporting after legacy IDs are decommissioned.</t>
        </is>
      </c>
      <c r="D25" t="inlineStr">
        <is>
          <t>Marketing Automation Tool/Tealium</t>
        </is>
      </c>
      <c r="E25" t="inlineStr">
        <is>
          <t>Captured by Tealium from customers driving URL and passed to Marketing Automation Tool</t>
        </is>
      </c>
      <c r="F25" t="inlineStr">
        <is>
          <t>N/A - Appended by Telium and Marketing Automation Tool</t>
        </is>
      </c>
      <c r="G25" t="inlineStr">
        <is>
          <t>Text</t>
        </is>
      </c>
      <c r="J25" t="inlineStr">
        <is>
          <t>Yes</t>
        </is>
      </c>
      <c r="M25" t="inlineStr">
        <is>
          <t>Yes</t>
        </is>
      </c>
    </row>
    <row r="26">
      <c r="A26" s="5" t="inlineStr">
        <is>
          <t>utm_content</t>
        </is>
      </c>
      <c r="B26" s="5" t="inlineStr">
        <is>
          <t>Derived</t>
        </is>
      </c>
      <c r="C26" s="5" t="inlineStr">
        <is>
          <t>Identifies the content variant for future attribution, operational, and funnel reporting after legacy IDs are decommissioned.</t>
        </is>
      </c>
      <c r="D26" s="5" t="inlineStr">
        <is>
          <t>Marketing Automation Tool/Tealium</t>
        </is>
      </c>
      <c r="E26" s="5" t="inlineStr">
        <is>
          <t>Captured by Tealium from customers driving URL and passed to Marketing Automation Tool</t>
        </is>
      </c>
      <c r="F26" s="5" t="inlineStr">
        <is>
          <t>N/A - Appended by Telium and Marketing Automation Tool</t>
        </is>
      </c>
      <c r="G26" s="5" t="inlineStr">
        <is>
          <t>Text</t>
        </is>
      </c>
      <c r="H26" s="5" t="n"/>
      <c r="I26" s="5" t="n"/>
      <c r="J26" s="5" t="inlineStr">
        <is>
          <t>Yes</t>
        </is>
      </c>
      <c r="K26" s="5" t="n"/>
      <c r="L26" s="5" t="n"/>
      <c r="M26" s="5" t="inlineStr">
        <is>
          <t>Yes</t>
        </is>
      </c>
      <c r="Q26" s="5" t="n"/>
    </row>
    <row r="27">
      <c r="A27" t="inlineStr">
        <is>
          <t>utm_creative</t>
        </is>
      </c>
      <c r="B27" t="inlineStr">
        <is>
          <t>Derived</t>
        </is>
      </c>
      <c r="C27" t="inlineStr">
        <is>
          <t>Identifies the creative for future attribution, operational, and funnel reporting after legacy IDs are decommissioned.</t>
        </is>
      </c>
      <c r="D27" t="inlineStr">
        <is>
          <t>Marketing Automation Tool/Tealium</t>
        </is>
      </c>
      <c r="E27" t="inlineStr">
        <is>
          <t>Captured by Tealium from customers driving URL and passed to Marketing Automation Tool</t>
        </is>
      </c>
      <c r="F27" t="inlineStr">
        <is>
          <t>N/A - Appended by Telium and Marketing Automation Tool</t>
        </is>
      </c>
      <c r="G27" t="inlineStr">
        <is>
          <t>Text</t>
        </is>
      </c>
      <c r="J27" t="inlineStr">
        <is>
          <t>Yes</t>
        </is>
      </c>
      <c r="M27" t="inlineStr">
        <is>
          <t>Yes</t>
        </is>
      </c>
    </row>
    <row r="28">
      <c r="A28" s="5" t="inlineStr">
        <is>
          <t>utm_medium</t>
        </is>
      </c>
      <c r="B28" s="5" t="inlineStr">
        <is>
          <t>Derived</t>
        </is>
      </c>
      <c r="C28" s="5" t="inlineStr">
        <is>
          <t>Identifies the driving channel for future attribution, operational, and funnel reporting after legacy IDs are decommissioned.</t>
        </is>
      </c>
      <c r="D28" s="5" t="inlineStr">
        <is>
          <t>Marketing Automation Tool/Tealium</t>
        </is>
      </c>
      <c r="E28" s="5" t="inlineStr">
        <is>
          <t>Captured by Tealium from customers driving URL and passed to Marketing Automation Tool</t>
        </is>
      </c>
      <c r="F28" s="5" t="inlineStr">
        <is>
          <t>N/A - Appended by Telium and Marketing Automation Tool</t>
        </is>
      </c>
      <c r="G28" s="5" t="inlineStr">
        <is>
          <t>Picklist/Text</t>
        </is>
      </c>
      <c r="H28" s="5" t="n"/>
      <c r="I28" s="5" t="inlineStr">
        <is>
          <t>Yes</t>
        </is>
      </c>
      <c r="J28" s="5" t="inlineStr">
        <is>
          <t>Yes</t>
        </is>
      </c>
      <c r="K28" s="5" t="n"/>
      <c r="L28" s="5" t="n"/>
      <c r="M28" s="5" t="inlineStr">
        <is>
          <t>Yes</t>
        </is>
      </c>
      <c r="Q28" s="5" t="n"/>
    </row>
    <row r="29">
      <c r="A29" t="inlineStr">
        <is>
          <t>utm_source</t>
        </is>
      </c>
      <c r="B29" t="inlineStr">
        <is>
          <t>Derived</t>
        </is>
      </c>
      <c r="C29" t="inlineStr">
        <is>
          <t>Identifies platform/vendor source for future attribution, operational, and funnel reporting.</t>
        </is>
      </c>
      <c r="D29" t="inlineStr">
        <is>
          <t>Marketing Automation Tool/Tealium</t>
        </is>
      </c>
      <c r="E29" t="inlineStr">
        <is>
          <t>Captured by Tealium from customers driving URL and passed to Marketing Automation Tool</t>
        </is>
      </c>
      <c r="F29" t="inlineStr">
        <is>
          <t>N/A - Appended by Telium and Marketing Automation Tool</t>
        </is>
      </c>
      <c r="G29" t="inlineStr">
        <is>
          <t>Picklist/Text</t>
        </is>
      </c>
      <c r="I29" t="inlineStr">
        <is>
          <t>Yes</t>
        </is>
      </c>
      <c r="J29" t="inlineStr">
        <is>
          <t>Yes</t>
        </is>
      </c>
      <c r="M29" t="inlineStr">
        <is>
          <t>Yes</t>
        </is>
      </c>
    </row>
    <row r="30">
      <c r="A30" s="5" t="inlineStr">
        <is>
          <t>utm_term</t>
        </is>
      </c>
      <c r="B30" s="5" t="inlineStr">
        <is>
          <t>Derived</t>
        </is>
      </c>
      <c r="C30" s="5" t="inlineStr">
        <is>
          <t>Identifies the paid search term for future attribution, operational, and funnel reporting after legacy IDs are decommissioned.</t>
        </is>
      </c>
      <c r="D30" s="5" t="inlineStr">
        <is>
          <t>Marketing Automation Tool/Tealium</t>
        </is>
      </c>
      <c r="E30" s="5" t="inlineStr">
        <is>
          <t>Captured by Tealium from customers driving URL and passed to Marketing Automation Tool</t>
        </is>
      </c>
      <c r="F30" s="5" t="inlineStr">
        <is>
          <t>N/A - Appended by Telium and Marketing Automation Tool</t>
        </is>
      </c>
      <c r="G30" s="5" t="inlineStr">
        <is>
          <t>Text</t>
        </is>
      </c>
      <c r="H30" s="5" t="n"/>
      <c r="I30" s="5" t="n"/>
      <c r="J30" s="5" t="inlineStr">
        <is>
          <t>Yes</t>
        </is>
      </c>
      <c r="K30" s="5" t="n"/>
      <c r="L30" s="5" t="n"/>
      <c r="M30" s="5" t="inlineStr">
        <is>
          <t>Yes</t>
        </is>
      </c>
      <c r="Q30" s="5" t="n"/>
    </row>
  </sheetData>
  <mergeCells count="4">
    <mergeCell ref="B4:Q4"/>
    <mergeCell ref="A1:Q1"/>
    <mergeCell ref="B3:Q3"/>
    <mergeCell ref="B5:Q5"/>
  </mergeCells>
  <dataValidations count="1">
    <dataValidation sqref="Q8:Q30"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37.xml><?xml version="1.0" encoding="utf-8"?>
<worksheet xmlns="http://schemas.openxmlformats.org/spreadsheetml/2006/main">
  <sheetPr>
    <outlinePr summaryBelow="1" summaryRight="1"/>
    <pageSetUpPr/>
  </sheetPr>
  <dimension ref="A1:J386"/>
  <sheetViews>
    <sheetView workbookViewId="0">
      <pane ySplit="1" topLeftCell="A2" activePane="bottomLeft" state="frozen"/>
      <selection pane="bottomLeft" activeCell="A1" sqref="A1"/>
    </sheetView>
  </sheetViews>
  <sheetFormatPr baseColWidth="8" defaultRowHeight="14.25"/>
  <cols>
    <col width="13" customWidth="1" style="7" min="1" max="1"/>
    <col width="33" customWidth="1" style="7" min="2" max="2"/>
    <col width="21" customWidth="1" style="7" min="3" max="4"/>
    <col width="25" customWidth="1" style="7" min="5" max="5"/>
    <col width="32" customWidth="1" style="7" min="6" max="6"/>
    <col width="33" customWidth="1" style="7" min="7" max="7"/>
    <col width="55" customWidth="1" style="7" min="8" max="9"/>
    <col width="15" customWidth="1" style="7" min="10" max="10"/>
  </cols>
  <sheetData>
    <row r="1">
      <c r="A1" s="3" t="inlineStr">
        <is>
          <t>Use Case ID</t>
        </is>
      </c>
      <c r="B1" s="3" t="inlineStr">
        <is>
          <t>Sheet Name</t>
        </is>
      </c>
      <c r="C1" s="3" t="inlineStr">
        <is>
          <t>Process</t>
        </is>
      </c>
      <c r="D1" s="3" t="inlineStr">
        <is>
          <t>Use Case</t>
        </is>
      </c>
      <c r="E1" s="3" t="inlineStr">
        <is>
          <t>Activity Type</t>
        </is>
      </c>
      <c r="F1" s="3" t="inlineStr">
        <is>
          <t>Section</t>
        </is>
      </c>
      <c r="G1" s="3" t="inlineStr">
        <is>
          <t>Data Element</t>
        </is>
      </c>
      <c r="H1" s="3" t="inlineStr">
        <is>
          <t>Outstanding Questions</t>
        </is>
      </c>
      <c r="I1" s="3" t="inlineStr">
        <is>
          <t>Why We Need This</t>
        </is>
      </c>
      <c r="J1" s="3" t="inlineStr">
        <is>
          <t>Review Status</t>
        </is>
      </c>
    </row>
    <row r="2">
      <c r="A2" t="inlineStr">
        <is>
          <t>UC01</t>
        </is>
      </c>
      <c r="B2" t="inlineStr">
        <is>
          <t>UC01 Content Syndication Attend</t>
        </is>
      </c>
      <c r="C2" t="inlineStr">
        <is>
          <t>Content Syndication</t>
        </is>
      </c>
      <c r="D2" t="inlineStr">
        <is>
          <t>Content Syndication</t>
        </is>
      </c>
      <c r="E2" t="inlineStr">
        <is>
          <t>Attended on Demand</t>
        </is>
      </c>
      <c r="F2" t="inlineStr">
        <is>
          <t>2 - Contact Identity</t>
        </is>
      </c>
      <c r="G2" t="inlineStr">
        <is>
          <t>Email</t>
        </is>
      </c>
      <c r="H2" t="inlineStr">
        <is>
          <t>Confirm whether business email is mandatory and personal email domains are allowed.</t>
        </is>
      </c>
      <c r="I2" t="inlineStr">
        <is>
          <t>Primary contact matching key for Eloqua/SFDC and deduplication.</t>
        </is>
      </c>
    </row>
    <row r="3">
      <c r="A3" t="inlineStr">
        <is>
          <t>UC01</t>
        </is>
      </c>
      <c r="B3" t="inlineStr">
        <is>
          <t>UC01 Content Syndication Attend</t>
        </is>
      </c>
      <c r="C3" t="inlineStr">
        <is>
          <t>Content Syndication</t>
        </is>
      </c>
      <c r="D3" t="inlineStr">
        <is>
          <t>Content Syndication</t>
        </is>
      </c>
      <c r="E3" t="inlineStr">
        <is>
          <t>Attended on Demand</t>
        </is>
      </c>
      <c r="F3" t="inlineStr">
        <is>
          <t>2 - Contact Identity</t>
        </is>
      </c>
      <c r="G3" t="inlineStr">
        <is>
          <t>Company Name</t>
        </is>
      </c>
      <c r="H3" t="inlineStr">
        <is>
          <t>Confirm whether account matching requires domain, account ID, or company name only.</t>
        </is>
      </c>
      <c r="I3" t="inlineStr">
        <is>
          <t>Supports account matching, attribution, and funnel reporting.</t>
        </is>
      </c>
    </row>
    <row r="4">
      <c r="A4" t="inlineStr">
        <is>
          <t>UC01</t>
        </is>
      </c>
      <c r="B4" t="inlineStr">
        <is>
          <t>UC01 Content Syndication Attend</t>
        </is>
      </c>
      <c r="C4" t="inlineStr">
        <is>
          <t>Content Syndication</t>
        </is>
      </c>
      <c r="D4" t="inlineStr">
        <is>
          <t>Content Syndication</t>
        </is>
      </c>
      <c r="E4" t="inlineStr">
        <is>
          <t>Attended on Demand</t>
        </is>
      </c>
      <c r="F4" t="inlineStr">
        <is>
          <t>3 - Account Identity</t>
        </is>
      </c>
      <c r="G4" t="inlineStr">
        <is>
          <t>Phone Extension</t>
        </is>
      </c>
      <c r="H4" t="inlineStr">
        <is>
          <t>Do we still need Extension for B&amp;S to auto dial?</t>
        </is>
      </c>
      <c r="I4" t="inlineStr">
        <is>
          <t>Excluded from standard performance reporting</t>
        </is>
      </c>
    </row>
    <row r="5">
      <c r="A5" t="inlineStr">
        <is>
          <t>UC01</t>
        </is>
      </c>
      <c r="B5" t="inlineStr">
        <is>
          <t>UC01 Content Syndication Attend</t>
        </is>
      </c>
      <c r="C5" t="inlineStr">
        <is>
          <t>Content Syndication</t>
        </is>
      </c>
      <c r="D5" t="inlineStr">
        <is>
          <t>Content Syndication</t>
        </is>
      </c>
      <c r="E5" t="inlineStr">
        <is>
          <t>Attended on Demand</t>
        </is>
      </c>
      <c r="F5" t="inlineStr">
        <is>
          <t>3 - Account Identity</t>
        </is>
      </c>
      <c r="G5" t="inlineStr">
        <is>
          <t>Primary Phone Number</t>
        </is>
      </c>
      <c r="H5" t="inlineStr">
        <is>
          <t>OK to send if no phone number aligned?</t>
        </is>
      </c>
      <c r="I5" t="inlineStr">
        <is>
          <t>Excluded from standard performance reporting but essential for upstream Virtual Demand Center (VDC) follow-up; Phone number should not be passed to sell if localized or country-specific phone opt-out privacy rules apply</t>
        </is>
      </c>
    </row>
    <row r="6">
      <c r="A6" t="inlineStr">
        <is>
          <t>UC01</t>
        </is>
      </c>
      <c r="B6" t="inlineStr">
        <is>
          <t>UC01 Content Syndication Attend</t>
        </is>
      </c>
      <c r="C6" t="inlineStr">
        <is>
          <t>Content Syndication</t>
        </is>
      </c>
      <c r="D6" t="inlineStr">
        <is>
          <t>Content Syndication</t>
        </is>
      </c>
      <c r="E6" t="inlineStr">
        <is>
          <t>Attended on Demand</t>
        </is>
      </c>
      <c r="F6" t="inlineStr">
        <is>
          <t>5 - Legacy Tracking Parameters</t>
        </is>
      </c>
      <c r="G6" t="inlineStr">
        <is>
          <t>Drive To ID</t>
        </is>
      </c>
      <c r="H6" t="inlineStr">
        <is>
          <t>We should be able to get the drive to information from the Channel ID - I think we can retire DTID for Content Syndication</t>
        </is>
      </c>
      <c r="I6" t="inlineStr">
        <is>
          <t>Maintains legacy destination and drive-to reporting alignment during transition.</t>
        </is>
      </c>
    </row>
    <row r="7">
      <c r="A7" t="inlineStr">
        <is>
          <t>UC01</t>
        </is>
      </c>
      <c r="B7" t="inlineStr">
        <is>
          <t>UC01 Content Syndication Attend</t>
        </is>
      </c>
      <c r="C7" t="inlineStr">
        <is>
          <t>Content Syndication</t>
        </is>
      </c>
      <c r="D7" t="inlineStr">
        <is>
          <t>Content Syndication</t>
        </is>
      </c>
      <c r="E7" t="inlineStr">
        <is>
          <t>Attended on Demand</t>
        </is>
      </c>
      <c r="F7" t="inlineStr">
        <is>
          <t>6 - Future Tracking Parameters</t>
        </is>
      </c>
      <c r="G7" t="inlineStr">
        <is>
          <t>Content Type</t>
        </is>
      </c>
      <c r="H7" t="inlineStr">
        <is>
          <t>This field relates to Web Content Type, Webinar Type and Event Type from Workfront.</t>
        </is>
      </c>
      <c r="I7" t="inlineStr">
        <is>
          <t>Identifies the content classification for future attribution, operational, and funnel reporting aligned to Workfront Content ID.</t>
        </is>
      </c>
    </row>
    <row r="8">
      <c r="A8" t="inlineStr">
        <is>
          <t>UC02</t>
        </is>
      </c>
      <c r="B8" t="inlineStr">
        <is>
          <t>UC02 Content Syndication Form S</t>
        </is>
      </c>
      <c r="C8" t="inlineStr">
        <is>
          <t>Content Syndication</t>
        </is>
      </c>
      <c r="D8" t="inlineStr">
        <is>
          <t>Content Syndication</t>
        </is>
      </c>
      <c r="E8" t="inlineStr">
        <is>
          <t>Form Submit</t>
        </is>
      </c>
      <c r="F8" t="inlineStr">
        <is>
          <t>2 - Contact Identity</t>
        </is>
      </c>
      <c r="G8" t="inlineStr">
        <is>
          <t>Email</t>
        </is>
      </c>
      <c r="H8" t="inlineStr">
        <is>
          <t>Confirm whether business email is mandatory and personal email domains are allowed.</t>
        </is>
      </c>
      <c r="I8" t="inlineStr">
        <is>
          <t>Primary contact matching key for Eloqua/SFDC and deduplication.</t>
        </is>
      </c>
    </row>
    <row r="9">
      <c r="A9" t="inlineStr">
        <is>
          <t>UC02</t>
        </is>
      </c>
      <c r="B9" t="inlineStr">
        <is>
          <t>UC02 Content Syndication Form S</t>
        </is>
      </c>
      <c r="C9" t="inlineStr">
        <is>
          <t>Content Syndication</t>
        </is>
      </c>
      <c r="D9" t="inlineStr">
        <is>
          <t>Content Syndication</t>
        </is>
      </c>
      <c r="E9" t="inlineStr">
        <is>
          <t>Form Submit</t>
        </is>
      </c>
      <c r="F9" t="inlineStr">
        <is>
          <t>2 - Contact Identity</t>
        </is>
      </c>
      <c r="G9" t="inlineStr">
        <is>
          <t>Company Name</t>
        </is>
      </c>
      <c r="H9" t="inlineStr">
        <is>
          <t>Confirm whether account matching requires domain, account ID, or company name only.</t>
        </is>
      </c>
      <c r="I9" t="inlineStr">
        <is>
          <t>Supports account matching, attribution, and funnel reporting.</t>
        </is>
      </c>
    </row>
    <row r="10">
      <c r="A10" t="inlineStr">
        <is>
          <t>UC02</t>
        </is>
      </c>
      <c r="B10" t="inlineStr">
        <is>
          <t>UC02 Content Syndication Form S</t>
        </is>
      </c>
      <c r="C10" t="inlineStr">
        <is>
          <t>Content Syndication</t>
        </is>
      </c>
      <c r="D10" t="inlineStr">
        <is>
          <t>Content Syndication</t>
        </is>
      </c>
      <c r="E10" t="inlineStr">
        <is>
          <t>Form Submit</t>
        </is>
      </c>
      <c r="F10" t="inlineStr">
        <is>
          <t>3 - Account Identity</t>
        </is>
      </c>
      <c r="G10" t="inlineStr">
        <is>
          <t>Phone Extension</t>
        </is>
      </c>
      <c r="H10" t="inlineStr">
        <is>
          <t>Do we still need Extension for B&amp;S to auto dial?</t>
        </is>
      </c>
      <c r="I10" t="inlineStr">
        <is>
          <t>Excluded from standard performance reporting</t>
        </is>
      </c>
    </row>
    <row r="11">
      <c r="A11" t="inlineStr">
        <is>
          <t>UC02</t>
        </is>
      </c>
      <c r="B11" t="inlineStr">
        <is>
          <t>UC02 Content Syndication Form S</t>
        </is>
      </c>
      <c r="C11" t="inlineStr">
        <is>
          <t>Content Syndication</t>
        </is>
      </c>
      <c r="D11" t="inlineStr">
        <is>
          <t>Content Syndication</t>
        </is>
      </c>
      <c r="E11" t="inlineStr">
        <is>
          <t>Form Submit</t>
        </is>
      </c>
      <c r="F11" t="inlineStr">
        <is>
          <t>3 - Account Identity</t>
        </is>
      </c>
      <c r="G11" t="inlineStr">
        <is>
          <t>Primary Phone Number</t>
        </is>
      </c>
      <c r="H11" t="inlineStr">
        <is>
          <t>OK to send if no phone number aligned?</t>
        </is>
      </c>
      <c r="I11" t="inlineStr">
        <is>
          <t>Excluded from standard performance reporting but essential for upstream Virtual Demand Center (VDC) follow-up; Phone number should not be passed to sell if localized or country-specific phone opt-out privacy rules apply</t>
        </is>
      </c>
    </row>
    <row r="12">
      <c r="A12" t="inlineStr">
        <is>
          <t>UC02</t>
        </is>
      </c>
      <c r="B12" t="inlineStr">
        <is>
          <t>UC02 Content Syndication Form S</t>
        </is>
      </c>
      <c r="C12" t="inlineStr">
        <is>
          <t>Content Syndication</t>
        </is>
      </c>
      <c r="D12" t="inlineStr">
        <is>
          <t>Content Syndication</t>
        </is>
      </c>
      <c r="E12" t="inlineStr">
        <is>
          <t>Form Submit</t>
        </is>
      </c>
      <c r="F12" t="inlineStr">
        <is>
          <t>5 - Legacy Tracking Parameters</t>
        </is>
      </c>
      <c r="G12" t="inlineStr">
        <is>
          <t>Drive To ID</t>
        </is>
      </c>
      <c r="H12" t="inlineStr">
        <is>
          <t>We should be able to get the drive to information from the Channel ID - I think we can retire DTID for Content Syndication</t>
        </is>
      </c>
      <c r="I12" t="inlineStr">
        <is>
          <t>Maintains legacy destination and drive-to reporting alignment during transition.</t>
        </is>
      </c>
    </row>
    <row r="13">
      <c r="A13" t="inlineStr">
        <is>
          <t>UC02</t>
        </is>
      </c>
      <c r="B13" t="inlineStr">
        <is>
          <t>UC02 Content Syndication Form S</t>
        </is>
      </c>
      <c r="C13" t="inlineStr">
        <is>
          <t>Content Syndication</t>
        </is>
      </c>
      <c r="D13" t="inlineStr">
        <is>
          <t>Content Syndication</t>
        </is>
      </c>
      <c r="E13" t="inlineStr">
        <is>
          <t>Form Submit</t>
        </is>
      </c>
      <c r="F13" t="inlineStr">
        <is>
          <t>6 - Future Tracking Parameters</t>
        </is>
      </c>
      <c r="G13" t="inlineStr">
        <is>
          <t>Content Type</t>
        </is>
      </c>
      <c r="H13" t="inlineStr">
        <is>
          <t>This field relates to Web Content Type, Webinar Type and Event Type from Workfront.</t>
        </is>
      </c>
      <c r="I13" t="inlineStr">
        <is>
          <t>Identifies the content classification for future attribution, operational, and funnel reporting aligned to Workfront Content ID.</t>
        </is>
      </c>
    </row>
    <row r="14">
      <c r="A14" t="inlineStr">
        <is>
          <t>UC03</t>
        </is>
      </c>
      <c r="B14" t="inlineStr">
        <is>
          <t>UC03 Content Syndication Attend</t>
        </is>
      </c>
      <c r="C14" t="inlineStr">
        <is>
          <t>Content Syndication</t>
        </is>
      </c>
      <c r="D14" t="inlineStr">
        <is>
          <t>Content Syndication</t>
        </is>
      </c>
      <c r="E14" t="inlineStr">
        <is>
          <t>Attended on Demand</t>
        </is>
      </c>
      <c r="F14" t="inlineStr">
        <is>
          <t>2 - Contact Identity</t>
        </is>
      </c>
      <c r="G14" t="inlineStr">
        <is>
          <t>Email</t>
        </is>
      </c>
      <c r="H14" t="inlineStr">
        <is>
          <t>Confirm whether business email is mandatory and personal email domains are allowed.</t>
        </is>
      </c>
      <c r="I14" t="inlineStr">
        <is>
          <t>Primary contact matching key for Eloqua/SFDC and deduplication.</t>
        </is>
      </c>
    </row>
    <row r="15">
      <c r="A15" t="inlineStr">
        <is>
          <t>UC03</t>
        </is>
      </c>
      <c r="B15" t="inlineStr">
        <is>
          <t>UC03 Content Syndication Attend</t>
        </is>
      </c>
      <c r="C15" t="inlineStr">
        <is>
          <t>Content Syndication</t>
        </is>
      </c>
      <c r="D15" t="inlineStr">
        <is>
          <t>Content Syndication</t>
        </is>
      </c>
      <c r="E15" t="inlineStr">
        <is>
          <t>Attended on Demand</t>
        </is>
      </c>
      <c r="F15" t="inlineStr">
        <is>
          <t>2 - Contact Identity</t>
        </is>
      </c>
      <c r="G15" t="inlineStr">
        <is>
          <t>Company Name</t>
        </is>
      </c>
      <c r="H15" t="inlineStr">
        <is>
          <t>Confirm whether account matching requires domain, account ID, or company name only.</t>
        </is>
      </c>
      <c r="I15" t="inlineStr">
        <is>
          <t>Supports account matching, attribution, and funnel reporting.</t>
        </is>
      </c>
    </row>
    <row r="16">
      <c r="A16" t="inlineStr">
        <is>
          <t>UC03</t>
        </is>
      </c>
      <c r="B16" t="inlineStr">
        <is>
          <t>UC03 Content Syndication Attend</t>
        </is>
      </c>
      <c r="C16" t="inlineStr">
        <is>
          <t>Content Syndication</t>
        </is>
      </c>
      <c r="D16" t="inlineStr">
        <is>
          <t>Content Syndication</t>
        </is>
      </c>
      <c r="E16" t="inlineStr">
        <is>
          <t>Attended on Demand</t>
        </is>
      </c>
      <c r="F16" t="inlineStr">
        <is>
          <t>3 - Account Identity</t>
        </is>
      </c>
      <c r="G16" t="inlineStr">
        <is>
          <t>Phone Extension</t>
        </is>
      </c>
      <c r="H16" t="inlineStr">
        <is>
          <t>Do we still need Extension for B&amp;S to auto dial?</t>
        </is>
      </c>
      <c r="I16" t="inlineStr">
        <is>
          <t>Excluded from standard performance reporting</t>
        </is>
      </c>
    </row>
    <row r="17">
      <c r="A17" t="inlineStr">
        <is>
          <t>UC03</t>
        </is>
      </c>
      <c r="B17" t="inlineStr">
        <is>
          <t>UC03 Content Syndication Attend</t>
        </is>
      </c>
      <c r="C17" t="inlineStr">
        <is>
          <t>Content Syndication</t>
        </is>
      </c>
      <c r="D17" t="inlineStr">
        <is>
          <t>Content Syndication</t>
        </is>
      </c>
      <c r="E17" t="inlineStr">
        <is>
          <t>Attended on Demand</t>
        </is>
      </c>
      <c r="F17" t="inlineStr">
        <is>
          <t>3 - Account Identity</t>
        </is>
      </c>
      <c r="G17" t="inlineStr">
        <is>
          <t>Primary Phone Number</t>
        </is>
      </c>
      <c r="H17" t="inlineStr">
        <is>
          <t>OK to send if no phone number aligned?</t>
        </is>
      </c>
      <c r="I17" t="inlineStr">
        <is>
          <t>Excluded from standard performance reporting but essential for upstream Virtual Demand Center (VDC) follow-up; Phone number should not be passed to sell if localized or country-specific phone opt-out privacy rules apply</t>
        </is>
      </c>
    </row>
    <row r="18">
      <c r="A18" t="inlineStr">
        <is>
          <t>UC03</t>
        </is>
      </c>
      <c r="B18" t="inlineStr">
        <is>
          <t>UC03 Content Syndication Attend</t>
        </is>
      </c>
      <c r="C18" t="inlineStr">
        <is>
          <t>Content Syndication</t>
        </is>
      </c>
      <c r="D18" t="inlineStr">
        <is>
          <t>Content Syndication</t>
        </is>
      </c>
      <c r="E18" t="inlineStr">
        <is>
          <t>Attended on Demand</t>
        </is>
      </c>
      <c r="F18" t="inlineStr">
        <is>
          <t>5 - Legacy Tracking Parameters</t>
        </is>
      </c>
      <c r="G18" t="inlineStr">
        <is>
          <t>Drive To ID</t>
        </is>
      </c>
      <c r="H18" t="inlineStr">
        <is>
          <t>We should be able to get the drive to information from the Channel ID - I think we can retire DTID for Content Syndication</t>
        </is>
      </c>
      <c r="I18" t="inlineStr">
        <is>
          <t>Maintains legacy destination and drive-to reporting alignment during transition.</t>
        </is>
      </c>
    </row>
    <row r="19">
      <c r="A19" t="inlineStr">
        <is>
          <t>UC03</t>
        </is>
      </c>
      <c r="B19" t="inlineStr">
        <is>
          <t>UC03 Content Syndication Attend</t>
        </is>
      </c>
      <c r="C19" t="inlineStr">
        <is>
          <t>Content Syndication</t>
        </is>
      </c>
      <c r="D19" t="inlineStr">
        <is>
          <t>Content Syndication</t>
        </is>
      </c>
      <c r="E19" t="inlineStr">
        <is>
          <t>Attended on Demand</t>
        </is>
      </c>
      <c r="F19" t="inlineStr">
        <is>
          <t>6 - Future Tracking Parameters</t>
        </is>
      </c>
      <c r="G19" t="inlineStr">
        <is>
          <t>Content Type</t>
        </is>
      </c>
      <c r="H19" t="inlineStr">
        <is>
          <t>This field relates to Web Content Type, Webinar Type and Event Type from Workfront.</t>
        </is>
      </c>
      <c r="I19" t="inlineStr">
        <is>
          <t>Identifies the content classification for future attribution, operational, and funnel reporting aligned to Workfront Content ID.</t>
        </is>
      </c>
    </row>
    <row r="20">
      <c r="A20" t="inlineStr">
        <is>
          <t>UC04</t>
        </is>
      </c>
      <c r="B20" t="inlineStr">
        <is>
          <t>UC04 Content Syndication Form S</t>
        </is>
      </c>
      <c r="C20" t="inlineStr">
        <is>
          <t>Content Syndication</t>
        </is>
      </c>
      <c r="D20" t="inlineStr">
        <is>
          <t>Content Syndication</t>
        </is>
      </c>
      <c r="E20" t="inlineStr">
        <is>
          <t>Form Submit</t>
        </is>
      </c>
      <c r="F20" t="inlineStr">
        <is>
          <t>2 - Contact Identity</t>
        </is>
      </c>
      <c r="G20" t="inlineStr">
        <is>
          <t>Email</t>
        </is>
      </c>
      <c r="H20" t="inlineStr">
        <is>
          <t>Confirm whether business email is mandatory and personal email domains are allowed.</t>
        </is>
      </c>
      <c r="I20" t="inlineStr">
        <is>
          <t>Primary contact matching key for Eloqua/SFDC and deduplication.</t>
        </is>
      </c>
    </row>
    <row r="21">
      <c r="A21" t="inlineStr">
        <is>
          <t>UC04</t>
        </is>
      </c>
      <c r="B21" t="inlineStr">
        <is>
          <t>UC04 Content Syndication Form S</t>
        </is>
      </c>
      <c r="C21" t="inlineStr">
        <is>
          <t>Content Syndication</t>
        </is>
      </c>
      <c r="D21" t="inlineStr">
        <is>
          <t>Content Syndication</t>
        </is>
      </c>
      <c r="E21" t="inlineStr">
        <is>
          <t>Form Submit</t>
        </is>
      </c>
      <c r="F21" t="inlineStr">
        <is>
          <t>2 - Contact Identity</t>
        </is>
      </c>
      <c r="G21" t="inlineStr">
        <is>
          <t>Company Name</t>
        </is>
      </c>
      <c r="H21" t="inlineStr">
        <is>
          <t>Confirm whether account matching requires domain, account ID, or company name only.</t>
        </is>
      </c>
      <c r="I21" t="inlineStr">
        <is>
          <t>Supports account matching, attribution, and funnel reporting.</t>
        </is>
      </c>
    </row>
    <row r="22">
      <c r="A22" t="inlineStr">
        <is>
          <t>UC04</t>
        </is>
      </c>
      <c r="B22" t="inlineStr">
        <is>
          <t>UC04 Content Syndication Form S</t>
        </is>
      </c>
      <c r="C22" t="inlineStr">
        <is>
          <t>Content Syndication</t>
        </is>
      </c>
      <c r="D22" t="inlineStr">
        <is>
          <t>Content Syndication</t>
        </is>
      </c>
      <c r="E22" t="inlineStr">
        <is>
          <t>Form Submit</t>
        </is>
      </c>
      <c r="F22" t="inlineStr">
        <is>
          <t>3 - Account Identity</t>
        </is>
      </c>
      <c r="G22" t="inlineStr">
        <is>
          <t>Phone Extension</t>
        </is>
      </c>
      <c r="H22" t="inlineStr">
        <is>
          <t>Do we still need Extension for B&amp;S to auto dial?</t>
        </is>
      </c>
      <c r="I22" t="inlineStr">
        <is>
          <t>Excluded from standard performance reporting</t>
        </is>
      </c>
    </row>
    <row r="23">
      <c r="A23" t="inlineStr">
        <is>
          <t>UC04</t>
        </is>
      </c>
      <c r="B23" t="inlineStr">
        <is>
          <t>UC04 Content Syndication Form S</t>
        </is>
      </c>
      <c r="C23" t="inlineStr">
        <is>
          <t>Content Syndication</t>
        </is>
      </c>
      <c r="D23" t="inlineStr">
        <is>
          <t>Content Syndication</t>
        </is>
      </c>
      <c r="E23" t="inlineStr">
        <is>
          <t>Form Submit</t>
        </is>
      </c>
      <c r="F23" t="inlineStr">
        <is>
          <t>3 - Account Identity</t>
        </is>
      </c>
      <c r="G23" t="inlineStr">
        <is>
          <t>Primary Phone Number</t>
        </is>
      </c>
      <c r="H23" t="inlineStr">
        <is>
          <t>OK to send if no phone number aligned?</t>
        </is>
      </c>
      <c r="I23" t="inlineStr">
        <is>
          <t>Excluded from standard performance reporting but essential for upstream Virtual Demand Center (VDC) follow-up; Phone number should not be passed to sell if localized or country-specific phone opt-out privacy rules apply</t>
        </is>
      </c>
    </row>
    <row r="24">
      <c r="A24" t="inlineStr">
        <is>
          <t>UC04</t>
        </is>
      </c>
      <c r="B24" t="inlineStr">
        <is>
          <t>UC04 Content Syndication Form S</t>
        </is>
      </c>
      <c r="C24" t="inlineStr">
        <is>
          <t>Content Syndication</t>
        </is>
      </c>
      <c r="D24" t="inlineStr">
        <is>
          <t>Content Syndication</t>
        </is>
      </c>
      <c r="E24" t="inlineStr">
        <is>
          <t>Form Submit</t>
        </is>
      </c>
      <c r="F24" t="inlineStr">
        <is>
          <t>5 - Legacy Tracking Parameters</t>
        </is>
      </c>
      <c r="G24" t="inlineStr">
        <is>
          <t>Drive To ID</t>
        </is>
      </c>
      <c r="H24" t="inlineStr">
        <is>
          <t>We should be able to get the drive to information from the Channel ID - I think we can retire DTID for Content Syndication</t>
        </is>
      </c>
      <c r="I24" t="inlineStr">
        <is>
          <t>Maintains legacy destination and drive-to reporting alignment during transition.</t>
        </is>
      </c>
    </row>
    <row r="25">
      <c r="A25" t="inlineStr">
        <is>
          <t>UC04</t>
        </is>
      </c>
      <c r="B25" t="inlineStr">
        <is>
          <t>UC04 Content Syndication Form S</t>
        </is>
      </c>
      <c r="C25" t="inlineStr">
        <is>
          <t>Content Syndication</t>
        </is>
      </c>
      <c r="D25" t="inlineStr">
        <is>
          <t>Content Syndication</t>
        </is>
      </c>
      <c r="E25" t="inlineStr">
        <is>
          <t>Form Submit</t>
        </is>
      </c>
      <c r="F25" t="inlineStr">
        <is>
          <t>6 - Future Tracking Parameters</t>
        </is>
      </c>
      <c r="G25" t="inlineStr">
        <is>
          <t>Content Type</t>
        </is>
      </c>
      <c r="H25" t="inlineStr">
        <is>
          <t>This field relates to Web Content Type, Webinar Type and Event Type from Workfront.</t>
        </is>
      </c>
      <c r="I25" t="inlineStr">
        <is>
          <t>Identifies the content classification for future attribution, operational, and funnel reporting aligned to Workfront Content ID.</t>
        </is>
      </c>
    </row>
    <row r="26">
      <c r="A26" t="inlineStr">
        <is>
          <t>UC05</t>
        </is>
      </c>
      <c r="B26" t="inlineStr">
        <is>
          <t>UC05 1st Party Events Follow-Up</t>
        </is>
      </c>
      <c r="C26" t="inlineStr">
        <is>
          <t>Manual Uploads</t>
        </is>
      </c>
      <c r="D26" t="inlineStr">
        <is>
          <t>1st Party Events</t>
        </is>
      </c>
      <c r="E26" t="inlineStr">
        <is>
          <t>Follow-Up Requested</t>
        </is>
      </c>
      <c r="F26" t="inlineStr">
        <is>
          <t>1 - System Classification</t>
        </is>
      </c>
      <c r="G26" t="inlineStr">
        <is>
          <t>Activity Type</t>
        </is>
      </c>
      <c r="H26" t="inlineStr">
        <is>
          <t>Confirm all Activity Types are captured</t>
        </is>
      </c>
      <c r="I26" t="inlineStr">
        <is>
          <t>Controls which fields are shown and how the activity maps to reporting/scoring.</t>
        </is>
      </c>
    </row>
    <row r="27">
      <c r="A27" t="inlineStr">
        <is>
          <t>UC05</t>
        </is>
      </c>
      <c r="B27" t="inlineStr">
        <is>
          <t>UC05 1st Party Events Follow-Up</t>
        </is>
      </c>
      <c r="C27" t="inlineStr">
        <is>
          <t>Manual Uploads</t>
        </is>
      </c>
      <c r="D27" t="inlineStr">
        <is>
          <t>1st Party Events</t>
        </is>
      </c>
      <c r="E27" t="inlineStr">
        <is>
          <t>Follow-Up Requested</t>
        </is>
      </c>
      <c r="F27" t="inlineStr">
        <is>
          <t>1 - System Classification</t>
        </is>
      </c>
      <c r="G27" t="inlineStr">
        <is>
          <t>Use Case</t>
        </is>
      </c>
      <c r="H27" t="inlineStr">
        <is>
          <t>Confirm Final list of use cases</t>
        </is>
      </c>
      <c r="I27" t="inlineStr">
        <is>
          <t>Controls the upload path, available activity and lead category types.</t>
        </is>
      </c>
    </row>
    <row r="28">
      <c r="A28" t="inlineStr">
        <is>
          <t>UC05</t>
        </is>
      </c>
      <c r="B28" t="inlineStr">
        <is>
          <t>UC05 1st Party Events Follow-Up</t>
        </is>
      </c>
      <c r="C28" t="inlineStr">
        <is>
          <t>Manual Uploads</t>
        </is>
      </c>
      <c r="D28" t="inlineStr">
        <is>
          <t>1st Party Events</t>
        </is>
      </c>
      <c r="E28" t="inlineStr">
        <is>
          <t>Follow-Up Requested</t>
        </is>
      </c>
      <c r="F28" t="inlineStr">
        <is>
          <t>1 - System Classification</t>
        </is>
      </c>
      <c r="G28" t="inlineStr">
        <is>
          <t>Sales Routing Trigger</t>
        </is>
      </c>
      <c r="H28" t="inlineStr">
        <is>
          <t>Confirm routing treatment for non-follow-up high-intent activities.</t>
        </is>
      </c>
      <c r="I28" t="inlineStr">
        <is>
          <t>Determines whether the record bypasses nurture and routes to sales.</t>
        </is>
      </c>
    </row>
    <row r="29">
      <c r="A29" t="inlineStr">
        <is>
          <t>UC05</t>
        </is>
      </c>
      <c r="B29" t="inlineStr">
        <is>
          <t>UC05 1st Party Events Follow-Up</t>
        </is>
      </c>
      <c r="C29" t="inlineStr">
        <is>
          <t>Manual Uploads</t>
        </is>
      </c>
      <c r="D29" t="inlineStr">
        <is>
          <t>1st Party Events</t>
        </is>
      </c>
      <c r="E29" t="inlineStr">
        <is>
          <t>Follow-Up Requested</t>
        </is>
      </c>
      <c r="F29" t="inlineStr">
        <is>
          <t>2 - Contact Identity</t>
        </is>
      </c>
      <c r="G29" t="inlineStr">
        <is>
          <t>Email</t>
        </is>
      </c>
      <c r="H29" t="inlineStr">
        <is>
          <t>Confirm whether business email is mandatory and personal email domains are allowed.</t>
        </is>
      </c>
      <c r="I29" t="inlineStr">
        <is>
          <t>Primary contact matching key for Eloqua/SFDC and deduplication.</t>
        </is>
      </c>
    </row>
    <row r="30">
      <c r="A30" t="inlineStr">
        <is>
          <t>UC05</t>
        </is>
      </c>
      <c r="B30" t="inlineStr">
        <is>
          <t>UC05 1st Party Events Follow-Up</t>
        </is>
      </c>
      <c r="C30" t="inlineStr">
        <is>
          <t>Manual Uploads</t>
        </is>
      </c>
      <c r="D30" t="inlineStr">
        <is>
          <t>1st Party Events</t>
        </is>
      </c>
      <c r="E30" t="inlineStr">
        <is>
          <t>Follow-Up Requested</t>
        </is>
      </c>
      <c r="F30" t="inlineStr">
        <is>
          <t>2 - Contact Identity</t>
        </is>
      </c>
      <c r="G30" t="inlineStr">
        <is>
          <t>Company Name</t>
        </is>
      </c>
      <c r="H30" t="inlineStr">
        <is>
          <t>Confirm whether account matching requires domain, account ID, or company name only.</t>
        </is>
      </c>
      <c r="I30" t="inlineStr">
        <is>
          <t>Supports account matching, attribution, and funnel reporting.</t>
        </is>
      </c>
    </row>
    <row r="31">
      <c r="A31" t="inlineStr">
        <is>
          <t>UC05</t>
        </is>
      </c>
      <c r="B31" t="inlineStr">
        <is>
          <t>UC05 1st Party Events Follow-Up</t>
        </is>
      </c>
      <c r="C31" t="inlineStr">
        <is>
          <t>Manual Uploads</t>
        </is>
      </c>
      <c r="D31" t="inlineStr">
        <is>
          <t>1st Party Events</t>
        </is>
      </c>
      <c r="E31" t="inlineStr">
        <is>
          <t>Follow-Up Requested</t>
        </is>
      </c>
      <c r="F31" t="inlineStr">
        <is>
          <t>3 - Account Identity</t>
        </is>
      </c>
      <c r="G31" t="inlineStr">
        <is>
          <t>Phone Extension</t>
        </is>
      </c>
      <c r="H31" t="inlineStr">
        <is>
          <t>Do we still need Extension for B&amp;S to auto dial?</t>
        </is>
      </c>
      <c r="I31" t="inlineStr">
        <is>
          <t>Excluded from standard performance reporting</t>
        </is>
      </c>
    </row>
    <row r="32">
      <c r="A32" t="inlineStr">
        <is>
          <t>UC05</t>
        </is>
      </c>
      <c r="B32" t="inlineStr">
        <is>
          <t>UC05 1st Party Events Follow-Up</t>
        </is>
      </c>
      <c r="C32" t="inlineStr">
        <is>
          <t>Manual Uploads</t>
        </is>
      </c>
      <c r="D32" t="inlineStr">
        <is>
          <t>1st Party Events</t>
        </is>
      </c>
      <c r="E32" t="inlineStr">
        <is>
          <t>Follow-Up Requested</t>
        </is>
      </c>
      <c r="F32" t="inlineStr">
        <is>
          <t>3 - Account Identity</t>
        </is>
      </c>
      <c r="G32" t="inlineStr">
        <is>
          <t>Primary Phone Number</t>
        </is>
      </c>
      <c r="H32" t="inlineStr">
        <is>
          <t>OK to send if no phone number aligned?</t>
        </is>
      </c>
      <c r="I32" t="inlineStr">
        <is>
          <t>Excluded from standard performance reporting but essential for upstream Virtual Demand Center (VDC) follow-up; Phone number should not be passed to sell if localized or country-specific phone opt-out privacy rules apply</t>
        </is>
      </c>
    </row>
    <row r="33">
      <c r="A33" t="inlineStr">
        <is>
          <t>UC05</t>
        </is>
      </c>
      <c r="B33" t="inlineStr">
        <is>
          <t>UC05 1st Party Events Follow-Up</t>
        </is>
      </c>
      <c r="C33" t="inlineStr">
        <is>
          <t>Manual Uploads</t>
        </is>
      </c>
      <c r="D33" t="inlineStr">
        <is>
          <t>1st Party Events</t>
        </is>
      </c>
      <c r="E33" t="inlineStr">
        <is>
          <t>Follow-Up Requested</t>
        </is>
      </c>
      <c r="F33" t="inlineStr">
        <is>
          <t>4 - Compliance / Permissions</t>
        </is>
      </c>
      <c r="G33" t="inlineStr">
        <is>
          <t>Email Opt-In Permission</t>
        </is>
      </c>
      <c r="H33" t="inlineStr">
        <is>
          <t>How should we deal with customer wanting to Opt Out - we see errors of N being added in error</t>
        </is>
      </c>
      <c r="I33" t="inlineStr">
        <is>
          <t>Supports consent, privacy, and compliance checks for manual-upload processing.</t>
        </is>
      </c>
    </row>
    <row r="34">
      <c r="A34" t="inlineStr">
        <is>
          <t>UC05</t>
        </is>
      </c>
      <c r="B34" t="inlineStr">
        <is>
          <t>UC05 1st Party Events Follow-Up</t>
        </is>
      </c>
      <c r="C34" t="inlineStr">
        <is>
          <t>Manual Uploads</t>
        </is>
      </c>
      <c r="D34" t="inlineStr">
        <is>
          <t>1st Party Events</t>
        </is>
      </c>
      <c r="E34" t="inlineStr">
        <is>
          <t>Follow-Up Requested</t>
        </is>
      </c>
      <c r="F34" t="inlineStr">
        <is>
          <t>4 - Compliance / Permissions</t>
        </is>
      </c>
      <c r="G34" t="inlineStr">
        <is>
          <t>Primary Phone Opt-In Permission</t>
        </is>
      </c>
      <c r="H34" t="inlineStr">
        <is>
          <t>How should we deal with customer wanting to Opt Out - we see errors of N being added in error</t>
        </is>
      </c>
      <c r="I34" t="inlineStr">
        <is>
          <t>Supports consent, privacy, and compliance checks for manual-upload processing.</t>
        </is>
      </c>
    </row>
    <row r="35">
      <c r="A35" t="inlineStr">
        <is>
          <t>UC05</t>
        </is>
      </c>
      <c r="B35" t="inlineStr">
        <is>
          <t>UC05 1st Party Events Follow-Up</t>
        </is>
      </c>
      <c r="C35" t="inlineStr">
        <is>
          <t>Manual Uploads</t>
        </is>
      </c>
      <c r="D35" t="inlineStr">
        <is>
          <t>1st Party Events</t>
        </is>
      </c>
      <c r="E35" t="inlineStr">
        <is>
          <t>Follow-Up Requested</t>
        </is>
      </c>
      <c r="F35" t="inlineStr">
        <is>
          <t>5 - Legacy Tracking Parameters</t>
        </is>
      </c>
      <c r="G35" t="inlineStr">
        <is>
          <t>Drive To ID</t>
        </is>
      </c>
      <c r="H35" t="inlineStr">
        <is>
          <t>Attribution is using EID to determine First and Third party Events - so I think we can retire DTID for Event Uploads</t>
        </is>
      </c>
      <c r="I35" t="inlineStr">
        <is>
          <t>Maintains legacy destination and drive-to reporting alignment during transition.</t>
        </is>
      </c>
    </row>
    <row r="36">
      <c r="A36" t="inlineStr">
        <is>
          <t>UC05</t>
        </is>
      </c>
      <c r="B36" t="inlineStr">
        <is>
          <t>UC05 1st Party Events Follow-Up</t>
        </is>
      </c>
      <c r="C36" t="inlineStr">
        <is>
          <t>Manual Uploads</t>
        </is>
      </c>
      <c r="D36" t="inlineStr">
        <is>
          <t>1st Party Events</t>
        </is>
      </c>
      <c r="E36" t="inlineStr">
        <is>
          <t>Follow-Up Requested</t>
        </is>
      </c>
      <c r="F36" t="inlineStr">
        <is>
          <t>5 - Legacy Tracking Parameters</t>
        </is>
      </c>
      <c r="G36" t="inlineStr">
        <is>
          <t>Offer ID</t>
        </is>
      </c>
      <c r="H36" t="inlineStr">
        <is>
          <t>Think we should remove Offer ID from events</t>
        </is>
      </c>
    </row>
    <row r="37">
      <c r="A37" t="inlineStr">
        <is>
          <t>UC05</t>
        </is>
      </c>
      <c r="B37" t="inlineStr">
        <is>
          <t>UC05 1st Party Events Follow-Up</t>
        </is>
      </c>
      <c r="C37" t="inlineStr">
        <is>
          <t>Manual Uploads</t>
        </is>
      </c>
      <c r="D37" t="inlineStr">
        <is>
          <t>1st Party Events</t>
        </is>
      </c>
      <c r="E37" t="inlineStr">
        <is>
          <t>Follow-Up Requested</t>
        </is>
      </c>
      <c r="F37" t="inlineStr">
        <is>
          <t>6 - Future Tracking Parameters</t>
        </is>
      </c>
      <c r="G37" t="inlineStr">
        <is>
          <t>Workfront Channel ID</t>
        </is>
      </c>
      <c r="H37" t="inlineStr">
        <is>
          <t>Will events data come from Workfront, or can all of this information come from the Global Events Table via the EID?</t>
        </is>
      </c>
      <c r="I37" t="inlineStr">
        <is>
          <t>Connects the upload to the Workfront channel taxonomy for durable operational and attribution alignment.</t>
        </is>
      </c>
    </row>
    <row r="38">
      <c r="A38" t="inlineStr">
        <is>
          <t>UC05</t>
        </is>
      </c>
      <c r="B38" t="inlineStr">
        <is>
          <t>UC05 1st Party Events Follow-Up</t>
        </is>
      </c>
      <c r="C38" t="inlineStr">
        <is>
          <t>Manual Uploads</t>
        </is>
      </c>
      <c r="D38" t="inlineStr">
        <is>
          <t>1st Party Events</t>
        </is>
      </c>
      <c r="E38" t="inlineStr">
        <is>
          <t>Follow-Up Requested</t>
        </is>
      </c>
      <c r="F38" t="inlineStr">
        <is>
          <t>6 - Future Tracking Parameters</t>
        </is>
      </c>
      <c r="G38" t="inlineStr">
        <is>
          <t>Workfront Content ID</t>
        </is>
      </c>
      <c r="H38" t="inlineStr">
        <is>
          <t>Would the Event manual Upload use cases really capture a Workfront Content ID</t>
        </is>
      </c>
      <c r="I38" t="inlineStr">
        <is>
          <t>Connects the upload to the Workfront Content taxonomy for durable operational and attribution alignment.</t>
        </is>
      </c>
    </row>
    <row r="39">
      <c r="A39" t="inlineStr">
        <is>
          <t>UC05</t>
        </is>
      </c>
      <c r="B39" t="inlineStr">
        <is>
          <t>UC05 1st Party Events Follow-Up</t>
        </is>
      </c>
      <c r="C39" t="inlineStr">
        <is>
          <t>Manual Uploads</t>
        </is>
      </c>
      <c r="D39" t="inlineStr">
        <is>
          <t>1st Party Events</t>
        </is>
      </c>
      <c r="E39" t="inlineStr">
        <is>
          <t>Follow-Up Requested</t>
        </is>
      </c>
      <c r="F39" t="inlineStr">
        <is>
          <t>6 - Future Tracking Parameters</t>
        </is>
      </c>
      <c r="G39" t="inlineStr">
        <is>
          <t>Content Type</t>
        </is>
      </c>
      <c r="H39" t="inlineStr">
        <is>
          <t>This field relates to Web Content Type, Webinar Type and Event Type from Workfront.</t>
        </is>
      </c>
      <c r="I39" t="inlineStr">
        <is>
          <t>Identifies the content classification for future attribution, operational, and funnel reporting aligned to Workfront Content ID.</t>
        </is>
      </c>
    </row>
    <row r="40">
      <c r="A40" t="inlineStr">
        <is>
          <t>UC05</t>
        </is>
      </c>
      <c r="B40" t="inlineStr">
        <is>
          <t>UC05 1st Party Events Follow-Up</t>
        </is>
      </c>
      <c r="C40" t="inlineStr">
        <is>
          <t>Manual Uploads</t>
        </is>
      </c>
      <c r="D40" t="inlineStr">
        <is>
          <t>1st Party Events</t>
        </is>
      </c>
      <c r="E40" t="inlineStr">
        <is>
          <t>Follow-Up Requested</t>
        </is>
      </c>
      <c r="F40" t="inlineStr">
        <is>
          <t>7 - Event Tracking Parameters</t>
        </is>
      </c>
      <c r="G40" t="inlineStr">
        <is>
          <t>Event ID / EID</t>
        </is>
      </c>
      <c r="H40" t="inlineStr">
        <is>
          <t>Confirm uploader has this value before upload.</t>
        </is>
      </c>
      <c r="I40" t="inlineStr">
        <is>
          <t>Primary lookup key for attribution, operational reporting, and Global Events Table enrichment. MRF should capture the same fields as Workfront</t>
        </is>
      </c>
    </row>
    <row r="41">
      <c r="A41" t="inlineStr">
        <is>
          <t>UC06</t>
        </is>
      </c>
      <c r="B41" t="inlineStr">
        <is>
          <t>UC06 3rd Party Events Follow-Up</t>
        </is>
      </c>
      <c r="C41" t="inlineStr">
        <is>
          <t>Manual Uploads</t>
        </is>
      </c>
      <c r="D41" t="inlineStr">
        <is>
          <t>3rd Party Events</t>
        </is>
      </c>
      <c r="E41" t="inlineStr">
        <is>
          <t>Follow-Up Requested</t>
        </is>
      </c>
      <c r="F41" t="inlineStr">
        <is>
          <t>1 - System Classification</t>
        </is>
      </c>
      <c r="G41" t="inlineStr">
        <is>
          <t>Activity Type</t>
        </is>
      </c>
      <c r="H41" t="inlineStr">
        <is>
          <t>Confirm all Activity Types are captured</t>
        </is>
      </c>
      <c r="I41" t="inlineStr">
        <is>
          <t>Controls which fields are shown and how the activity maps to reporting/scoring.</t>
        </is>
      </c>
    </row>
    <row r="42">
      <c r="A42" t="inlineStr">
        <is>
          <t>UC06</t>
        </is>
      </c>
      <c r="B42" t="inlineStr">
        <is>
          <t>UC06 3rd Party Events Follow-Up</t>
        </is>
      </c>
      <c r="C42" t="inlineStr">
        <is>
          <t>Manual Uploads</t>
        </is>
      </c>
      <c r="D42" t="inlineStr">
        <is>
          <t>3rd Party Events</t>
        </is>
      </c>
      <c r="E42" t="inlineStr">
        <is>
          <t>Follow-Up Requested</t>
        </is>
      </c>
      <c r="F42" t="inlineStr">
        <is>
          <t>1 - System Classification</t>
        </is>
      </c>
      <c r="G42" t="inlineStr">
        <is>
          <t>Use Case</t>
        </is>
      </c>
      <c r="H42" t="inlineStr">
        <is>
          <t>Confirm Final list of use cases</t>
        </is>
      </c>
      <c r="I42" t="inlineStr">
        <is>
          <t>Controls the upload path, available activity and lead category types.</t>
        </is>
      </c>
    </row>
    <row r="43">
      <c r="A43" t="inlineStr">
        <is>
          <t>UC06</t>
        </is>
      </c>
      <c r="B43" t="inlineStr">
        <is>
          <t>UC06 3rd Party Events Follow-Up</t>
        </is>
      </c>
      <c r="C43" t="inlineStr">
        <is>
          <t>Manual Uploads</t>
        </is>
      </c>
      <c r="D43" t="inlineStr">
        <is>
          <t>3rd Party Events</t>
        </is>
      </c>
      <c r="E43" t="inlineStr">
        <is>
          <t>Follow-Up Requested</t>
        </is>
      </c>
      <c r="F43" t="inlineStr">
        <is>
          <t>1 - System Classification</t>
        </is>
      </c>
      <c r="G43" t="inlineStr">
        <is>
          <t>Sales Routing Trigger</t>
        </is>
      </c>
      <c r="H43" t="inlineStr">
        <is>
          <t>Confirm routing treatment for non-follow-up high-intent activities.</t>
        </is>
      </c>
      <c r="I43" t="inlineStr">
        <is>
          <t>Determines whether the record bypasses nurture and routes to sales.</t>
        </is>
      </c>
    </row>
    <row r="44">
      <c r="A44" t="inlineStr">
        <is>
          <t>UC06</t>
        </is>
      </c>
      <c r="B44" t="inlineStr">
        <is>
          <t>UC06 3rd Party Events Follow-Up</t>
        </is>
      </c>
      <c r="C44" t="inlineStr">
        <is>
          <t>Manual Uploads</t>
        </is>
      </c>
      <c r="D44" t="inlineStr">
        <is>
          <t>3rd Party Events</t>
        </is>
      </c>
      <c r="E44" t="inlineStr">
        <is>
          <t>Follow-Up Requested</t>
        </is>
      </c>
      <c r="F44" t="inlineStr">
        <is>
          <t>2 - Contact Identity</t>
        </is>
      </c>
      <c r="G44" t="inlineStr">
        <is>
          <t>Email</t>
        </is>
      </c>
      <c r="H44" t="inlineStr">
        <is>
          <t>Confirm whether business email is mandatory and personal email domains are allowed.</t>
        </is>
      </c>
      <c r="I44" t="inlineStr">
        <is>
          <t>Primary contact matching key for Eloqua/SFDC and deduplication.</t>
        </is>
      </c>
    </row>
    <row r="45">
      <c r="A45" t="inlineStr">
        <is>
          <t>UC06</t>
        </is>
      </c>
      <c r="B45" t="inlineStr">
        <is>
          <t>UC06 3rd Party Events Follow-Up</t>
        </is>
      </c>
      <c r="C45" t="inlineStr">
        <is>
          <t>Manual Uploads</t>
        </is>
      </c>
      <c r="D45" t="inlineStr">
        <is>
          <t>3rd Party Events</t>
        </is>
      </c>
      <c r="E45" t="inlineStr">
        <is>
          <t>Follow-Up Requested</t>
        </is>
      </c>
      <c r="F45" t="inlineStr">
        <is>
          <t>2 - Contact Identity</t>
        </is>
      </c>
      <c r="G45" t="inlineStr">
        <is>
          <t>Company Name</t>
        </is>
      </c>
      <c r="H45" t="inlineStr">
        <is>
          <t>Confirm whether account matching requires domain, account ID, or company name only.</t>
        </is>
      </c>
      <c r="I45" t="inlineStr">
        <is>
          <t>Supports account matching, attribution, and funnel reporting.</t>
        </is>
      </c>
    </row>
    <row r="46">
      <c r="A46" t="inlineStr">
        <is>
          <t>UC06</t>
        </is>
      </c>
      <c r="B46" t="inlineStr">
        <is>
          <t>UC06 3rd Party Events Follow-Up</t>
        </is>
      </c>
      <c r="C46" t="inlineStr">
        <is>
          <t>Manual Uploads</t>
        </is>
      </c>
      <c r="D46" t="inlineStr">
        <is>
          <t>3rd Party Events</t>
        </is>
      </c>
      <c r="E46" t="inlineStr">
        <is>
          <t>Follow-Up Requested</t>
        </is>
      </c>
      <c r="F46" t="inlineStr">
        <is>
          <t>3 - Account Identity</t>
        </is>
      </c>
      <c r="G46" t="inlineStr">
        <is>
          <t>Phone Extension</t>
        </is>
      </c>
      <c r="H46" t="inlineStr">
        <is>
          <t>Do we still need Extension for B&amp;S to auto dial?</t>
        </is>
      </c>
      <c r="I46" t="inlineStr">
        <is>
          <t>Excluded from standard performance reporting</t>
        </is>
      </c>
    </row>
    <row r="47">
      <c r="A47" t="inlineStr">
        <is>
          <t>UC06</t>
        </is>
      </c>
      <c r="B47" t="inlineStr">
        <is>
          <t>UC06 3rd Party Events Follow-Up</t>
        </is>
      </c>
      <c r="C47" t="inlineStr">
        <is>
          <t>Manual Uploads</t>
        </is>
      </c>
      <c r="D47" t="inlineStr">
        <is>
          <t>3rd Party Events</t>
        </is>
      </c>
      <c r="E47" t="inlineStr">
        <is>
          <t>Follow-Up Requested</t>
        </is>
      </c>
      <c r="F47" t="inlineStr">
        <is>
          <t>3 - Account Identity</t>
        </is>
      </c>
      <c r="G47" t="inlineStr">
        <is>
          <t>Primary Phone Number</t>
        </is>
      </c>
      <c r="H47" t="inlineStr">
        <is>
          <t>OK to send if no phone number aligned?</t>
        </is>
      </c>
      <c r="I47" t="inlineStr">
        <is>
          <t>Excluded from standard performance reporting but essential for upstream Virtual Demand Center (VDC) follow-up; Phone number should not be passed to sell if localized or country-specific phone opt-out privacy rules apply</t>
        </is>
      </c>
    </row>
    <row r="48">
      <c r="A48" t="inlineStr">
        <is>
          <t>UC06</t>
        </is>
      </c>
      <c r="B48" t="inlineStr">
        <is>
          <t>UC06 3rd Party Events Follow-Up</t>
        </is>
      </c>
      <c r="C48" t="inlineStr">
        <is>
          <t>Manual Uploads</t>
        </is>
      </c>
      <c r="D48" t="inlineStr">
        <is>
          <t>3rd Party Events</t>
        </is>
      </c>
      <c r="E48" t="inlineStr">
        <is>
          <t>Follow-Up Requested</t>
        </is>
      </c>
      <c r="F48" t="inlineStr">
        <is>
          <t>4 - Compliance / Permissions</t>
        </is>
      </c>
      <c r="G48" t="inlineStr">
        <is>
          <t>Email Opt-In Permission</t>
        </is>
      </c>
      <c r="H48" t="inlineStr">
        <is>
          <t>How should we deal with customer wanting to Opt Out - we see errors of N being added in error</t>
        </is>
      </c>
      <c r="I48" t="inlineStr">
        <is>
          <t>Supports consent, privacy, and compliance checks for manual-upload processing.</t>
        </is>
      </c>
    </row>
    <row r="49">
      <c r="A49" t="inlineStr">
        <is>
          <t>UC06</t>
        </is>
      </c>
      <c r="B49" t="inlineStr">
        <is>
          <t>UC06 3rd Party Events Follow-Up</t>
        </is>
      </c>
      <c r="C49" t="inlineStr">
        <is>
          <t>Manual Uploads</t>
        </is>
      </c>
      <c r="D49" t="inlineStr">
        <is>
          <t>3rd Party Events</t>
        </is>
      </c>
      <c r="E49" t="inlineStr">
        <is>
          <t>Follow-Up Requested</t>
        </is>
      </c>
      <c r="F49" t="inlineStr">
        <is>
          <t>4 - Compliance / Permissions</t>
        </is>
      </c>
      <c r="G49" t="inlineStr">
        <is>
          <t>Primary Phone Opt-In Permission</t>
        </is>
      </c>
      <c r="H49" t="inlineStr">
        <is>
          <t>How should we deal with customer wanting to Opt Out - we see errors of N being added in error</t>
        </is>
      </c>
      <c r="I49" t="inlineStr">
        <is>
          <t>Supports consent, privacy, and compliance checks for manual-upload processing.</t>
        </is>
      </c>
    </row>
    <row r="50">
      <c r="A50" t="inlineStr">
        <is>
          <t>UC06</t>
        </is>
      </c>
      <c r="B50" t="inlineStr">
        <is>
          <t>UC06 3rd Party Events Follow-Up</t>
        </is>
      </c>
      <c r="C50" t="inlineStr">
        <is>
          <t>Manual Uploads</t>
        </is>
      </c>
      <c r="D50" t="inlineStr">
        <is>
          <t>3rd Party Events</t>
        </is>
      </c>
      <c r="E50" t="inlineStr">
        <is>
          <t>Follow-Up Requested</t>
        </is>
      </c>
      <c r="F50" t="inlineStr">
        <is>
          <t>5 - Legacy Tracking Parameters</t>
        </is>
      </c>
      <c r="G50" t="inlineStr">
        <is>
          <t>Drive To ID</t>
        </is>
      </c>
      <c r="H50" t="inlineStr">
        <is>
          <t>Attribution is using EID to determine First and Third party Events - so I think we can retire DTID for Event Uploads</t>
        </is>
      </c>
      <c r="I50" t="inlineStr">
        <is>
          <t>Maintains legacy destination and drive-to reporting alignment during transition.</t>
        </is>
      </c>
    </row>
    <row r="51">
      <c r="A51" t="inlineStr">
        <is>
          <t>UC06</t>
        </is>
      </c>
      <c r="B51" t="inlineStr">
        <is>
          <t>UC06 3rd Party Events Follow-Up</t>
        </is>
      </c>
      <c r="C51" t="inlineStr">
        <is>
          <t>Manual Uploads</t>
        </is>
      </c>
      <c r="D51" t="inlineStr">
        <is>
          <t>3rd Party Events</t>
        </is>
      </c>
      <c r="E51" t="inlineStr">
        <is>
          <t>Follow-Up Requested</t>
        </is>
      </c>
      <c r="F51" t="inlineStr">
        <is>
          <t>5 - Legacy Tracking Parameters</t>
        </is>
      </c>
      <c r="G51" t="inlineStr">
        <is>
          <t>Offer ID</t>
        </is>
      </c>
      <c r="H51" t="inlineStr">
        <is>
          <t>Think we should remove Offer ID from events</t>
        </is>
      </c>
    </row>
    <row r="52">
      <c r="A52" t="inlineStr">
        <is>
          <t>UC06</t>
        </is>
      </c>
      <c r="B52" t="inlineStr">
        <is>
          <t>UC06 3rd Party Events Follow-Up</t>
        </is>
      </c>
      <c r="C52" t="inlineStr">
        <is>
          <t>Manual Uploads</t>
        </is>
      </c>
      <c r="D52" t="inlineStr">
        <is>
          <t>3rd Party Events</t>
        </is>
      </c>
      <c r="E52" t="inlineStr">
        <is>
          <t>Follow-Up Requested</t>
        </is>
      </c>
      <c r="F52" t="inlineStr">
        <is>
          <t>6 - Future Tracking Parameters</t>
        </is>
      </c>
      <c r="G52" t="inlineStr">
        <is>
          <t>Workfront Channel ID</t>
        </is>
      </c>
      <c r="H52" t="inlineStr">
        <is>
          <t>Will events data come from Workfront, or can all of this information come from the Global Events Table via the EID?</t>
        </is>
      </c>
      <c r="I52" t="inlineStr">
        <is>
          <t>Connects the upload to the Workfront channel taxonomy for durable operational and attribution alignment.</t>
        </is>
      </c>
    </row>
    <row r="53">
      <c r="A53" t="inlineStr">
        <is>
          <t>UC06</t>
        </is>
      </c>
      <c r="B53" t="inlineStr">
        <is>
          <t>UC06 3rd Party Events Follow-Up</t>
        </is>
      </c>
      <c r="C53" t="inlineStr">
        <is>
          <t>Manual Uploads</t>
        </is>
      </c>
      <c r="D53" t="inlineStr">
        <is>
          <t>3rd Party Events</t>
        </is>
      </c>
      <c r="E53" t="inlineStr">
        <is>
          <t>Follow-Up Requested</t>
        </is>
      </c>
      <c r="F53" t="inlineStr">
        <is>
          <t>6 - Future Tracking Parameters</t>
        </is>
      </c>
      <c r="G53" t="inlineStr">
        <is>
          <t>Workfront Content ID</t>
        </is>
      </c>
      <c r="H53" t="inlineStr">
        <is>
          <t>Would the Event manual Upload use cases really capture a Workfront Content ID</t>
        </is>
      </c>
      <c r="I53" t="inlineStr">
        <is>
          <t>Connects the upload to the Workfront Content taxonomy for durable operational and attribution alignment.</t>
        </is>
      </c>
    </row>
    <row r="54">
      <c r="A54" t="inlineStr">
        <is>
          <t>UC06</t>
        </is>
      </c>
      <c r="B54" t="inlineStr">
        <is>
          <t>UC06 3rd Party Events Follow-Up</t>
        </is>
      </c>
      <c r="C54" t="inlineStr">
        <is>
          <t>Manual Uploads</t>
        </is>
      </c>
      <c r="D54" t="inlineStr">
        <is>
          <t>3rd Party Events</t>
        </is>
      </c>
      <c r="E54" t="inlineStr">
        <is>
          <t>Follow-Up Requested</t>
        </is>
      </c>
      <c r="F54" t="inlineStr">
        <is>
          <t>6 - Future Tracking Parameters</t>
        </is>
      </c>
      <c r="G54" t="inlineStr">
        <is>
          <t>Content Type</t>
        </is>
      </c>
      <c r="H54" t="inlineStr">
        <is>
          <t>This field relates to Web Content Type, Webinar Type and Event Type from Workfront.</t>
        </is>
      </c>
      <c r="I54" t="inlineStr">
        <is>
          <t>Identifies the content classification for future attribution, operational, and funnel reporting aligned to Workfront Content ID.</t>
        </is>
      </c>
    </row>
    <row r="55">
      <c r="A55" t="inlineStr">
        <is>
          <t>UC06</t>
        </is>
      </c>
      <c r="B55" t="inlineStr">
        <is>
          <t>UC06 3rd Party Events Follow-Up</t>
        </is>
      </c>
      <c r="C55" t="inlineStr">
        <is>
          <t>Manual Uploads</t>
        </is>
      </c>
      <c r="D55" t="inlineStr">
        <is>
          <t>3rd Party Events</t>
        </is>
      </c>
      <c r="E55" t="inlineStr">
        <is>
          <t>Follow-Up Requested</t>
        </is>
      </c>
      <c r="F55" t="inlineStr">
        <is>
          <t>7 - Event Tracking Parameters</t>
        </is>
      </c>
      <c r="G55" t="inlineStr">
        <is>
          <t>Event ID / EID</t>
        </is>
      </c>
      <c r="H55" t="inlineStr">
        <is>
          <t>Confirm uploader has this value before upload.</t>
        </is>
      </c>
      <c r="I55" t="inlineStr">
        <is>
          <t>Primary lookup key for attribution, operational reporting, and Global Events Table enrichment. MRF should capture the same fields as Workfront</t>
        </is>
      </c>
    </row>
    <row r="56">
      <c r="A56" t="inlineStr">
        <is>
          <t>UC07</t>
        </is>
      </c>
      <c r="B56" t="inlineStr">
        <is>
          <t>UC07 Paid Leads Follow-Up Reque</t>
        </is>
      </c>
      <c r="C56" t="inlineStr">
        <is>
          <t>Manual Uploads</t>
        </is>
      </c>
      <c r="D56" t="inlineStr">
        <is>
          <t>Paid Leads</t>
        </is>
      </c>
      <c r="E56" t="inlineStr">
        <is>
          <t>Follow-Up Requested</t>
        </is>
      </c>
      <c r="F56" t="inlineStr">
        <is>
          <t>1 - System Classification</t>
        </is>
      </c>
      <c r="G56" t="inlineStr">
        <is>
          <t>Activity Type</t>
        </is>
      </c>
      <c r="H56" t="inlineStr">
        <is>
          <t>Confirm all Activity Types are captured</t>
        </is>
      </c>
      <c r="I56" t="inlineStr">
        <is>
          <t>Controls which fields are shown and how the activity maps to reporting/scoring.</t>
        </is>
      </c>
    </row>
    <row r="57">
      <c r="A57" t="inlineStr">
        <is>
          <t>UC07</t>
        </is>
      </c>
      <c r="B57" t="inlineStr">
        <is>
          <t>UC07 Paid Leads Follow-Up Reque</t>
        </is>
      </c>
      <c r="C57" t="inlineStr">
        <is>
          <t>Manual Uploads</t>
        </is>
      </c>
      <c r="D57" t="inlineStr">
        <is>
          <t>Paid Leads</t>
        </is>
      </c>
      <c r="E57" t="inlineStr">
        <is>
          <t>Follow-Up Requested</t>
        </is>
      </c>
      <c r="F57" t="inlineStr">
        <is>
          <t>1 - System Classification</t>
        </is>
      </c>
      <c r="G57" t="inlineStr">
        <is>
          <t>Use Case</t>
        </is>
      </c>
      <c r="H57" t="inlineStr">
        <is>
          <t>Confirm Final list of use cases</t>
        </is>
      </c>
      <c r="I57" t="inlineStr">
        <is>
          <t>Controls the upload path, available activity and lead category types.</t>
        </is>
      </c>
    </row>
    <row r="58">
      <c r="A58" t="inlineStr">
        <is>
          <t>UC07</t>
        </is>
      </c>
      <c r="B58" t="inlineStr">
        <is>
          <t>UC07 Paid Leads Follow-Up Reque</t>
        </is>
      </c>
      <c r="C58" t="inlineStr">
        <is>
          <t>Manual Uploads</t>
        </is>
      </c>
      <c r="D58" t="inlineStr">
        <is>
          <t>Paid Leads</t>
        </is>
      </c>
      <c r="E58" t="inlineStr">
        <is>
          <t>Follow-Up Requested</t>
        </is>
      </c>
      <c r="F58" t="inlineStr">
        <is>
          <t>1 - System Classification</t>
        </is>
      </c>
      <c r="G58" t="inlineStr">
        <is>
          <t>Sales Routing Trigger</t>
        </is>
      </c>
      <c r="H58" t="inlineStr">
        <is>
          <t>Confirm routing treatment for non-follow-up high-intent activities.</t>
        </is>
      </c>
      <c r="I58" t="inlineStr">
        <is>
          <t>Determines whether the record bypasses nurture and routes to sales.</t>
        </is>
      </c>
    </row>
    <row r="59">
      <c r="A59" t="inlineStr">
        <is>
          <t>UC07</t>
        </is>
      </c>
      <c r="B59" t="inlineStr">
        <is>
          <t>UC07 Paid Leads Follow-Up Reque</t>
        </is>
      </c>
      <c r="C59" t="inlineStr">
        <is>
          <t>Manual Uploads</t>
        </is>
      </c>
      <c r="D59" t="inlineStr">
        <is>
          <t>Paid Leads</t>
        </is>
      </c>
      <c r="E59" t="inlineStr">
        <is>
          <t>Follow-Up Requested</t>
        </is>
      </c>
      <c r="F59" t="inlineStr">
        <is>
          <t>2 - Contact Identity</t>
        </is>
      </c>
      <c r="G59" t="inlineStr">
        <is>
          <t>Email</t>
        </is>
      </c>
      <c r="H59" t="inlineStr">
        <is>
          <t>Confirm whether business email is mandatory and personal email domains are allowed.</t>
        </is>
      </c>
      <c r="I59" t="inlineStr">
        <is>
          <t>Primary contact matching key for Eloqua/SFDC and deduplication.</t>
        </is>
      </c>
    </row>
    <row r="60">
      <c r="A60" t="inlineStr">
        <is>
          <t>UC07</t>
        </is>
      </c>
      <c r="B60" t="inlineStr">
        <is>
          <t>UC07 Paid Leads Follow-Up Reque</t>
        </is>
      </c>
      <c r="C60" t="inlineStr">
        <is>
          <t>Manual Uploads</t>
        </is>
      </c>
      <c r="D60" t="inlineStr">
        <is>
          <t>Paid Leads</t>
        </is>
      </c>
      <c r="E60" t="inlineStr">
        <is>
          <t>Follow-Up Requested</t>
        </is>
      </c>
      <c r="F60" t="inlineStr">
        <is>
          <t>2 - Contact Identity</t>
        </is>
      </c>
      <c r="G60" t="inlineStr">
        <is>
          <t>Company Name</t>
        </is>
      </c>
      <c r="H60" t="inlineStr">
        <is>
          <t>Confirm whether account matching requires domain, account ID, or company name only.</t>
        </is>
      </c>
      <c r="I60" t="inlineStr">
        <is>
          <t>Supports account matching, attribution, and funnel reporting.</t>
        </is>
      </c>
    </row>
    <row r="61">
      <c r="A61" t="inlineStr">
        <is>
          <t>UC07</t>
        </is>
      </c>
      <c r="B61" t="inlineStr">
        <is>
          <t>UC07 Paid Leads Follow-Up Reque</t>
        </is>
      </c>
      <c r="C61" t="inlineStr">
        <is>
          <t>Manual Uploads</t>
        </is>
      </c>
      <c r="D61" t="inlineStr">
        <is>
          <t>Paid Leads</t>
        </is>
      </c>
      <c r="E61" t="inlineStr">
        <is>
          <t>Follow-Up Requested</t>
        </is>
      </c>
      <c r="F61" t="inlineStr">
        <is>
          <t>3 - Account Identity</t>
        </is>
      </c>
      <c r="G61" t="inlineStr">
        <is>
          <t>Phone Extension</t>
        </is>
      </c>
      <c r="H61" t="inlineStr">
        <is>
          <t>Do we still need Extension for B&amp;S to auto dial?</t>
        </is>
      </c>
      <c r="I61" t="inlineStr">
        <is>
          <t>Excluded from standard performance reporting</t>
        </is>
      </c>
    </row>
    <row r="62">
      <c r="A62" t="inlineStr">
        <is>
          <t>UC07</t>
        </is>
      </c>
      <c r="B62" t="inlineStr">
        <is>
          <t>UC07 Paid Leads Follow-Up Reque</t>
        </is>
      </c>
      <c r="C62" t="inlineStr">
        <is>
          <t>Manual Uploads</t>
        </is>
      </c>
      <c r="D62" t="inlineStr">
        <is>
          <t>Paid Leads</t>
        </is>
      </c>
      <c r="E62" t="inlineStr">
        <is>
          <t>Follow-Up Requested</t>
        </is>
      </c>
      <c r="F62" t="inlineStr">
        <is>
          <t>3 - Account Identity</t>
        </is>
      </c>
      <c r="G62" t="inlineStr">
        <is>
          <t>Primary Phone Number</t>
        </is>
      </c>
      <c r="H62" t="inlineStr">
        <is>
          <t>OK to send if no phone number aligned?</t>
        </is>
      </c>
      <c r="I62" t="inlineStr">
        <is>
          <t>Excluded from standard performance reporting but essential for upstream Virtual Demand Center (VDC) follow-up; Phone number should not be passed to sell if localized or country-specific phone opt-out privacy rules apply</t>
        </is>
      </c>
    </row>
    <row r="63">
      <c r="A63" t="inlineStr">
        <is>
          <t>UC07</t>
        </is>
      </c>
      <c r="B63" t="inlineStr">
        <is>
          <t>UC07 Paid Leads Follow-Up Reque</t>
        </is>
      </c>
      <c r="C63" t="inlineStr">
        <is>
          <t>Manual Uploads</t>
        </is>
      </c>
      <c r="D63" t="inlineStr">
        <is>
          <t>Paid Leads</t>
        </is>
      </c>
      <c r="E63" t="inlineStr">
        <is>
          <t>Follow-Up Requested</t>
        </is>
      </c>
      <c r="F63" t="inlineStr">
        <is>
          <t>4 - Compliance / Permissions</t>
        </is>
      </c>
      <c r="G63" t="inlineStr">
        <is>
          <t>Email Opt-In Permission</t>
        </is>
      </c>
      <c r="H63" t="inlineStr">
        <is>
          <t>How should we deal with customer wanting to Opt Out - we see errors of N being added in error</t>
        </is>
      </c>
      <c r="I63" t="inlineStr">
        <is>
          <t>Supports consent, privacy, and compliance checks for manual-upload processing.</t>
        </is>
      </c>
    </row>
    <row r="64">
      <c r="A64" t="inlineStr">
        <is>
          <t>UC07</t>
        </is>
      </c>
      <c r="B64" t="inlineStr">
        <is>
          <t>UC07 Paid Leads Follow-Up Reque</t>
        </is>
      </c>
      <c r="C64" t="inlineStr">
        <is>
          <t>Manual Uploads</t>
        </is>
      </c>
      <c r="D64" t="inlineStr">
        <is>
          <t>Paid Leads</t>
        </is>
      </c>
      <c r="E64" t="inlineStr">
        <is>
          <t>Follow-Up Requested</t>
        </is>
      </c>
      <c r="F64" t="inlineStr">
        <is>
          <t>4 - Compliance / Permissions</t>
        </is>
      </c>
      <c r="G64" t="inlineStr">
        <is>
          <t>Primary Phone Opt-In Permission</t>
        </is>
      </c>
      <c r="H64" t="inlineStr">
        <is>
          <t>How should we deal with customer wanting to Opt Out - we see errors of N being added in error</t>
        </is>
      </c>
      <c r="I64" t="inlineStr">
        <is>
          <t>Supports consent, privacy, and compliance checks for manual-upload processing.</t>
        </is>
      </c>
    </row>
    <row r="65">
      <c r="A65" t="inlineStr">
        <is>
          <t>UC07</t>
        </is>
      </c>
      <c r="B65" t="inlineStr">
        <is>
          <t>UC07 Paid Leads Follow-Up Reque</t>
        </is>
      </c>
      <c r="C65" t="inlineStr">
        <is>
          <t>Manual Uploads</t>
        </is>
      </c>
      <c r="D65" t="inlineStr">
        <is>
          <t>Paid Leads</t>
        </is>
      </c>
      <c r="E65" t="inlineStr">
        <is>
          <t>Follow-Up Requested</t>
        </is>
      </c>
      <c r="F65" t="inlineStr">
        <is>
          <t>5 - Legacy Tracking Parameters</t>
        </is>
      </c>
      <c r="G65" t="inlineStr">
        <is>
          <t>Drive To ID</t>
        </is>
      </c>
      <c r="H65" t="inlineStr">
        <is>
          <t>Need to validate the default DTID to use to ensure correct MSP Alignment</t>
        </is>
      </c>
      <c r="I65" t="inlineStr">
        <is>
          <t>Maintains legacy destination and drive-to reporting alignment during transition.</t>
        </is>
      </c>
    </row>
    <row r="66">
      <c r="A66" t="inlineStr">
        <is>
          <t>UC07</t>
        </is>
      </c>
      <c r="B66" t="inlineStr">
        <is>
          <t>UC07 Paid Leads Follow-Up Reque</t>
        </is>
      </c>
      <c r="C66" t="inlineStr">
        <is>
          <t>Manual Uploads</t>
        </is>
      </c>
      <c r="D66" t="inlineStr">
        <is>
          <t>Paid Leads</t>
        </is>
      </c>
      <c r="E66" t="inlineStr">
        <is>
          <t>Follow-Up Requested</t>
        </is>
      </c>
      <c r="F66" t="inlineStr">
        <is>
          <t>6 - Future Tracking Parameters</t>
        </is>
      </c>
      <c r="G66" t="inlineStr">
        <is>
          <t>Workfront Channel ID</t>
        </is>
      </c>
      <c r="H66" t="inlineStr">
        <is>
          <t>Will events data come from Workfront, or can all of this information come from the Global Events Table?</t>
        </is>
      </c>
      <c r="I66" t="inlineStr">
        <is>
          <t>Connects the upload to the Workfront channel taxonomy for durable operational and attribution alignment.</t>
        </is>
      </c>
    </row>
    <row r="67">
      <c r="A67" t="inlineStr">
        <is>
          <t>UC07</t>
        </is>
      </c>
      <c r="B67" t="inlineStr">
        <is>
          <t>UC07 Paid Leads Follow-Up Reque</t>
        </is>
      </c>
      <c r="C67" t="inlineStr">
        <is>
          <t>Manual Uploads</t>
        </is>
      </c>
      <c r="D67" t="inlineStr">
        <is>
          <t>Paid Leads</t>
        </is>
      </c>
      <c r="E67" t="inlineStr">
        <is>
          <t>Follow-Up Requested</t>
        </is>
      </c>
      <c r="F67" t="inlineStr">
        <is>
          <t>6 - Future Tracking Parameters</t>
        </is>
      </c>
      <c r="G67" t="inlineStr">
        <is>
          <t>Workfront Content ID</t>
        </is>
      </c>
      <c r="H67" t="inlineStr">
        <is>
          <t>Would the manual Upload use cases really capture a Workfront Content ID</t>
        </is>
      </c>
      <c r="I67" t="inlineStr">
        <is>
          <t>Connects the upload to the Workfront Content taxonomy for durable operational and attribution alignment.</t>
        </is>
      </c>
    </row>
    <row r="68">
      <c r="A68" t="inlineStr">
        <is>
          <t>UC07</t>
        </is>
      </c>
      <c r="B68" t="inlineStr">
        <is>
          <t>UC07 Paid Leads Follow-Up Reque</t>
        </is>
      </c>
      <c r="C68" t="inlineStr">
        <is>
          <t>Manual Uploads</t>
        </is>
      </c>
      <c r="D68" t="inlineStr">
        <is>
          <t>Paid Leads</t>
        </is>
      </c>
      <c r="E68" t="inlineStr">
        <is>
          <t>Follow-Up Requested</t>
        </is>
      </c>
      <c r="F68" t="inlineStr">
        <is>
          <t>6 - Future Tracking Parameters</t>
        </is>
      </c>
      <c r="G68" t="inlineStr">
        <is>
          <t>Content Type</t>
        </is>
      </c>
      <c r="H68" t="inlineStr">
        <is>
          <t>This field relates to Web Content Type, Webinar Type and Event Type from Workfront.</t>
        </is>
      </c>
      <c r="I68" t="inlineStr">
        <is>
          <t>Identifies the content classification for future attribution, operational, and funnel reporting aligned to Workfront Content ID.</t>
        </is>
      </c>
    </row>
    <row r="69">
      <c r="A69" t="inlineStr">
        <is>
          <t>UC07</t>
        </is>
      </c>
      <c r="B69" t="inlineStr">
        <is>
          <t>UC07 Paid Leads Follow-Up Reque</t>
        </is>
      </c>
      <c r="C69" t="inlineStr">
        <is>
          <t>Manual Uploads</t>
        </is>
      </c>
      <c r="D69" t="inlineStr">
        <is>
          <t>Paid Leads</t>
        </is>
      </c>
      <c r="E69" t="inlineStr">
        <is>
          <t>Follow-Up Requested</t>
        </is>
      </c>
      <c r="F69" t="inlineStr">
        <is>
          <t>8 - Activity Detail</t>
        </is>
      </c>
      <c r="G69" t="inlineStr">
        <is>
          <t>Customer Comments</t>
        </is>
      </c>
      <c r="H69" t="inlineStr">
        <is>
          <t>Do we need to capture this for Non-Hand Raisers?</t>
        </is>
      </c>
      <c r="I69" t="inlineStr">
        <is>
          <t>Supports activity context, seller follow-up, and operational validation.</t>
        </is>
      </c>
    </row>
    <row r="70">
      <c r="A70" t="inlineStr">
        <is>
          <t>UC08</t>
        </is>
      </c>
      <c r="B70" t="inlineStr">
        <is>
          <t>UC08 Webinars Follow-Up Request</t>
        </is>
      </c>
      <c r="C70" t="inlineStr">
        <is>
          <t>Manual Uploads</t>
        </is>
      </c>
      <c r="D70" t="inlineStr">
        <is>
          <t>Webinars</t>
        </is>
      </c>
      <c r="E70" t="inlineStr">
        <is>
          <t>Follow-Up Requested</t>
        </is>
      </c>
      <c r="F70" t="inlineStr">
        <is>
          <t>1 - System Classification</t>
        </is>
      </c>
      <c r="G70" t="inlineStr">
        <is>
          <t>Activity Type</t>
        </is>
      </c>
      <c r="H70" t="inlineStr">
        <is>
          <t>Confirm all Activity Types are captured</t>
        </is>
      </c>
      <c r="I70" t="inlineStr">
        <is>
          <t>Controls which fields are shown and how the activity maps to reporting/scoring.</t>
        </is>
      </c>
    </row>
    <row r="71">
      <c r="A71" t="inlineStr">
        <is>
          <t>UC08</t>
        </is>
      </c>
      <c r="B71" t="inlineStr">
        <is>
          <t>UC08 Webinars Follow-Up Request</t>
        </is>
      </c>
      <c r="C71" t="inlineStr">
        <is>
          <t>Manual Uploads</t>
        </is>
      </c>
      <c r="D71" t="inlineStr">
        <is>
          <t>Webinars</t>
        </is>
      </c>
      <c r="E71" t="inlineStr">
        <is>
          <t>Follow-Up Requested</t>
        </is>
      </c>
      <c r="F71" t="inlineStr">
        <is>
          <t>1 - System Classification</t>
        </is>
      </c>
      <c r="G71" t="inlineStr">
        <is>
          <t>Use Case</t>
        </is>
      </c>
      <c r="H71" t="inlineStr">
        <is>
          <t>Confirm Final list of use cases</t>
        </is>
      </c>
      <c r="I71" t="inlineStr">
        <is>
          <t>Controls the upload path, available activity and lead category types.</t>
        </is>
      </c>
    </row>
    <row r="72">
      <c r="A72" t="inlineStr">
        <is>
          <t>UC08</t>
        </is>
      </c>
      <c r="B72" t="inlineStr">
        <is>
          <t>UC08 Webinars Follow-Up Request</t>
        </is>
      </c>
      <c r="C72" t="inlineStr">
        <is>
          <t>Manual Uploads</t>
        </is>
      </c>
      <c r="D72" t="inlineStr">
        <is>
          <t>Webinars</t>
        </is>
      </c>
      <c r="E72" t="inlineStr">
        <is>
          <t>Follow-Up Requested</t>
        </is>
      </c>
      <c r="F72" t="inlineStr">
        <is>
          <t>1 - System Classification</t>
        </is>
      </c>
      <c r="G72" t="inlineStr">
        <is>
          <t>Sales Routing Trigger</t>
        </is>
      </c>
      <c r="H72" t="inlineStr">
        <is>
          <t>Confirm routing treatment for non-follow-up high-intent activities.</t>
        </is>
      </c>
      <c r="I72" t="inlineStr">
        <is>
          <t>Determines whether the record bypasses nurture and routes to sales.</t>
        </is>
      </c>
    </row>
    <row r="73">
      <c r="A73" t="inlineStr">
        <is>
          <t>UC08</t>
        </is>
      </c>
      <c r="B73" t="inlineStr">
        <is>
          <t>UC08 Webinars Follow-Up Request</t>
        </is>
      </c>
      <c r="C73" t="inlineStr">
        <is>
          <t>Manual Uploads</t>
        </is>
      </c>
      <c r="D73" t="inlineStr">
        <is>
          <t>Webinars</t>
        </is>
      </c>
      <c r="E73" t="inlineStr">
        <is>
          <t>Follow-Up Requested</t>
        </is>
      </c>
      <c r="F73" t="inlineStr">
        <is>
          <t>2 - Contact Identity</t>
        </is>
      </c>
      <c r="G73" t="inlineStr">
        <is>
          <t>Email</t>
        </is>
      </c>
      <c r="H73" t="inlineStr">
        <is>
          <t>Confirm whether business email is mandatory and personal email domains are allowed.</t>
        </is>
      </c>
      <c r="I73" t="inlineStr">
        <is>
          <t>Primary contact matching key for Eloqua/SFDC and deduplication.</t>
        </is>
      </c>
    </row>
    <row r="74">
      <c r="A74" t="inlineStr">
        <is>
          <t>UC08</t>
        </is>
      </c>
      <c r="B74" t="inlineStr">
        <is>
          <t>UC08 Webinars Follow-Up Request</t>
        </is>
      </c>
      <c r="C74" t="inlineStr">
        <is>
          <t>Manual Uploads</t>
        </is>
      </c>
      <c r="D74" t="inlineStr">
        <is>
          <t>Webinars</t>
        </is>
      </c>
      <c r="E74" t="inlineStr">
        <is>
          <t>Follow-Up Requested</t>
        </is>
      </c>
      <c r="F74" t="inlineStr">
        <is>
          <t>2 - Contact Identity</t>
        </is>
      </c>
      <c r="G74" t="inlineStr">
        <is>
          <t>Company Name</t>
        </is>
      </c>
      <c r="H74" t="inlineStr">
        <is>
          <t>Confirm whether account matching requires domain, account ID, or company name only.</t>
        </is>
      </c>
      <c r="I74" t="inlineStr">
        <is>
          <t>Supports account matching, attribution, and funnel reporting.</t>
        </is>
      </c>
    </row>
    <row r="75">
      <c r="A75" t="inlineStr">
        <is>
          <t>UC08</t>
        </is>
      </c>
      <c r="B75" t="inlineStr">
        <is>
          <t>UC08 Webinars Follow-Up Request</t>
        </is>
      </c>
      <c r="C75" t="inlineStr">
        <is>
          <t>Manual Uploads</t>
        </is>
      </c>
      <c r="D75" t="inlineStr">
        <is>
          <t>Webinars</t>
        </is>
      </c>
      <c r="E75" t="inlineStr">
        <is>
          <t>Follow-Up Requested</t>
        </is>
      </c>
      <c r="F75" t="inlineStr">
        <is>
          <t>3 - Account Identity</t>
        </is>
      </c>
      <c r="G75" t="inlineStr">
        <is>
          <t>Phone Extension</t>
        </is>
      </c>
      <c r="H75" t="inlineStr">
        <is>
          <t>Do we still need Extension for B&amp;S to auto dial?</t>
        </is>
      </c>
      <c r="I75" t="inlineStr">
        <is>
          <t>Excluded from standard performance reporting</t>
        </is>
      </c>
    </row>
    <row r="76">
      <c r="A76" t="inlineStr">
        <is>
          <t>UC08</t>
        </is>
      </c>
      <c r="B76" t="inlineStr">
        <is>
          <t>UC08 Webinars Follow-Up Request</t>
        </is>
      </c>
      <c r="C76" t="inlineStr">
        <is>
          <t>Manual Uploads</t>
        </is>
      </c>
      <c r="D76" t="inlineStr">
        <is>
          <t>Webinars</t>
        </is>
      </c>
      <c r="E76" t="inlineStr">
        <is>
          <t>Follow-Up Requested</t>
        </is>
      </c>
      <c r="F76" t="inlineStr">
        <is>
          <t>3 - Account Identity</t>
        </is>
      </c>
      <c r="G76" t="inlineStr">
        <is>
          <t>Primary Phone Number</t>
        </is>
      </c>
      <c r="H76" t="inlineStr">
        <is>
          <t>OK to send if no phone number aligned?</t>
        </is>
      </c>
      <c r="I76" t="inlineStr">
        <is>
          <t>Excluded from standard performance reporting but essential for upstream Virtual Demand Center (VDC) follow-up; Phone number should not be passed to sell if localized or country-specific phone opt-out privacy rules apply</t>
        </is>
      </c>
    </row>
    <row r="77">
      <c r="A77" t="inlineStr">
        <is>
          <t>UC08</t>
        </is>
      </c>
      <c r="B77" t="inlineStr">
        <is>
          <t>UC08 Webinars Follow-Up Request</t>
        </is>
      </c>
      <c r="C77" t="inlineStr">
        <is>
          <t>Manual Uploads</t>
        </is>
      </c>
      <c r="D77" t="inlineStr">
        <is>
          <t>Webinars</t>
        </is>
      </c>
      <c r="E77" t="inlineStr">
        <is>
          <t>Follow-Up Requested</t>
        </is>
      </c>
      <c r="F77" t="inlineStr">
        <is>
          <t>4 - Compliance / Permissions</t>
        </is>
      </c>
      <c r="G77" t="inlineStr">
        <is>
          <t>Email Opt-In Permission</t>
        </is>
      </c>
      <c r="H77" t="inlineStr">
        <is>
          <t>How should we deal with customer wanting to Opt Out - we see errors of N being added in error</t>
        </is>
      </c>
      <c r="I77" t="inlineStr">
        <is>
          <t>Supports consent, privacy, and compliance checks for manual-upload processing.</t>
        </is>
      </c>
    </row>
    <row r="78">
      <c r="A78" t="inlineStr">
        <is>
          <t>UC08</t>
        </is>
      </c>
      <c r="B78" t="inlineStr">
        <is>
          <t>UC08 Webinars Follow-Up Request</t>
        </is>
      </c>
      <c r="C78" t="inlineStr">
        <is>
          <t>Manual Uploads</t>
        </is>
      </c>
      <c r="D78" t="inlineStr">
        <is>
          <t>Webinars</t>
        </is>
      </c>
      <c r="E78" t="inlineStr">
        <is>
          <t>Follow-Up Requested</t>
        </is>
      </c>
      <c r="F78" t="inlineStr">
        <is>
          <t>4 - Compliance / Permissions</t>
        </is>
      </c>
      <c r="G78" t="inlineStr">
        <is>
          <t>Primary Phone Opt-In Permission</t>
        </is>
      </c>
      <c r="H78" t="inlineStr">
        <is>
          <t>How should we deal with customer wanting to Opt Out - we see errors of N being added in error</t>
        </is>
      </c>
      <c r="I78" t="inlineStr">
        <is>
          <t>Supports consent, privacy, and compliance checks for manual-upload processing.</t>
        </is>
      </c>
    </row>
    <row r="79">
      <c r="A79" t="inlineStr">
        <is>
          <t>UC08</t>
        </is>
      </c>
      <c r="B79" t="inlineStr">
        <is>
          <t>UC08 Webinars Follow-Up Request</t>
        </is>
      </c>
      <c r="C79" t="inlineStr">
        <is>
          <t>Manual Uploads</t>
        </is>
      </c>
      <c r="D79" t="inlineStr">
        <is>
          <t>Webinars</t>
        </is>
      </c>
      <c r="E79" t="inlineStr">
        <is>
          <t>Follow-Up Requested</t>
        </is>
      </c>
      <c r="F79" t="inlineStr">
        <is>
          <t>5 - Legacy Tracking Parameters</t>
        </is>
      </c>
      <c r="G79" t="inlineStr">
        <is>
          <t>Drive To ID</t>
        </is>
      </c>
      <c r="H79" t="inlineStr">
        <is>
          <t>Need to validate the default DTID to use to ensure correct MSP Alignment</t>
        </is>
      </c>
      <c r="I79" t="inlineStr">
        <is>
          <t>Maintains legacy destination and drive-to reporting alignment during transition.</t>
        </is>
      </c>
    </row>
    <row r="80">
      <c r="A80" t="inlineStr">
        <is>
          <t>UC08</t>
        </is>
      </c>
      <c r="B80" t="inlineStr">
        <is>
          <t>UC08 Webinars Follow-Up Request</t>
        </is>
      </c>
      <c r="C80" t="inlineStr">
        <is>
          <t>Manual Uploads</t>
        </is>
      </c>
      <c r="D80" t="inlineStr">
        <is>
          <t>Webinars</t>
        </is>
      </c>
      <c r="E80" t="inlineStr">
        <is>
          <t>Follow-Up Requested</t>
        </is>
      </c>
      <c r="F80" t="inlineStr">
        <is>
          <t>6 - Future Tracking Parameters</t>
        </is>
      </c>
      <c r="G80" t="inlineStr">
        <is>
          <t>Workfront Channel ID</t>
        </is>
      </c>
      <c r="H80" t="inlineStr">
        <is>
          <t>Will events data come from Workfront, or can all of this information come from the Global Events Table?</t>
        </is>
      </c>
      <c r="I80" t="inlineStr">
        <is>
          <t>Connects the upload to the Workfront channel taxonomy for durable operational and attribution alignment.</t>
        </is>
      </c>
    </row>
    <row r="81">
      <c r="A81" t="inlineStr">
        <is>
          <t>UC08</t>
        </is>
      </c>
      <c r="B81" t="inlineStr">
        <is>
          <t>UC08 Webinars Follow-Up Request</t>
        </is>
      </c>
      <c r="C81" t="inlineStr">
        <is>
          <t>Manual Uploads</t>
        </is>
      </c>
      <c r="D81" t="inlineStr">
        <is>
          <t>Webinars</t>
        </is>
      </c>
      <c r="E81" t="inlineStr">
        <is>
          <t>Follow-Up Requested</t>
        </is>
      </c>
      <c r="F81" t="inlineStr">
        <is>
          <t>6 - Future Tracking Parameters</t>
        </is>
      </c>
      <c r="G81" t="inlineStr">
        <is>
          <t>Workfront Content ID</t>
        </is>
      </c>
      <c r="H81" t="inlineStr">
        <is>
          <t>Would the manual Upload use cases really capture a Workfront Content ID</t>
        </is>
      </c>
      <c r="I81" t="inlineStr">
        <is>
          <t>Connects the upload to the Workfront Content taxonomy for durable operational and attribution alignment.</t>
        </is>
      </c>
    </row>
    <row r="82">
      <c r="A82" t="inlineStr">
        <is>
          <t>UC08</t>
        </is>
      </c>
      <c r="B82" t="inlineStr">
        <is>
          <t>UC08 Webinars Follow-Up Request</t>
        </is>
      </c>
      <c r="C82" t="inlineStr">
        <is>
          <t>Manual Uploads</t>
        </is>
      </c>
      <c r="D82" t="inlineStr">
        <is>
          <t>Webinars</t>
        </is>
      </c>
      <c r="E82" t="inlineStr">
        <is>
          <t>Follow-Up Requested</t>
        </is>
      </c>
      <c r="F82" t="inlineStr">
        <is>
          <t>6 - Future Tracking Parameters</t>
        </is>
      </c>
      <c r="G82" t="inlineStr">
        <is>
          <t>Content Type</t>
        </is>
      </c>
      <c r="H82" t="inlineStr">
        <is>
          <t>This field relates to Web Content Type, Webinar Type and Event Type from Workfront.</t>
        </is>
      </c>
      <c r="I82" t="inlineStr">
        <is>
          <t>Identifies the content classification for future attribution, operational, and funnel reporting aligned to Workfront Content ID.</t>
        </is>
      </c>
    </row>
    <row r="83">
      <c r="A83" t="inlineStr">
        <is>
          <t>UC08</t>
        </is>
      </c>
      <c r="B83" t="inlineStr">
        <is>
          <t>UC08 Webinars Follow-Up Request</t>
        </is>
      </c>
      <c r="C83" t="inlineStr">
        <is>
          <t>Manual Uploads</t>
        </is>
      </c>
      <c r="D83" t="inlineStr">
        <is>
          <t>Webinars</t>
        </is>
      </c>
      <c r="E83" t="inlineStr">
        <is>
          <t>Follow-Up Requested</t>
        </is>
      </c>
      <c r="F83" t="inlineStr">
        <is>
          <t>8 - Activity Detail</t>
        </is>
      </c>
      <c r="G83" t="inlineStr">
        <is>
          <t>Customer Comments</t>
        </is>
      </c>
      <c r="H83" t="inlineStr">
        <is>
          <t>Do we need to capture this for Non-Hand Raisers?</t>
        </is>
      </c>
      <c r="I83" t="inlineStr">
        <is>
          <t>Supports activity context, seller follow-up, and operational validation.</t>
        </is>
      </c>
    </row>
    <row r="84">
      <c r="A84" t="inlineStr">
        <is>
          <t>UC09</t>
        </is>
      </c>
      <c r="B84" t="inlineStr">
        <is>
          <t xml:space="preserve">UC09 1st Party Events Attended </t>
        </is>
      </c>
      <c r="C84" t="inlineStr">
        <is>
          <t>Manual Uploads</t>
        </is>
      </c>
      <c r="D84" t="inlineStr">
        <is>
          <t>1st Party Events</t>
        </is>
      </c>
      <c r="E84" t="inlineStr">
        <is>
          <t>Attended Live In-Person</t>
        </is>
      </c>
      <c r="F84" t="inlineStr">
        <is>
          <t>1 - System Classification</t>
        </is>
      </c>
      <c r="G84" t="inlineStr">
        <is>
          <t>Activity Type</t>
        </is>
      </c>
      <c r="H84" t="inlineStr">
        <is>
          <t>Confirm all Activity Types are captured</t>
        </is>
      </c>
      <c r="I84" t="inlineStr">
        <is>
          <t>Controls which fields are shown and how the activity maps to reporting/scoring.</t>
        </is>
      </c>
    </row>
    <row r="85">
      <c r="A85" t="inlineStr">
        <is>
          <t>UC09</t>
        </is>
      </c>
      <c r="B85" t="inlineStr">
        <is>
          <t xml:space="preserve">UC09 1st Party Events Attended </t>
        </is>
      </c>
      <c r="C85" t="inlineStr">
        <is>
          <t>Manual Uploads</t>
        </is>
      </c>
      <c r="D85" t="inlineStr">
        <is>
          <t>1st Party Events</t>
        </is>
      </c>
      <c r="E85" t="inlineStr">
        <is>
          <t>Attended Live In-Person</t>
        </is>
      </c>
      <c r="F85" t="inlineStr">
        <is>
          <t>1 - System Classification</t>
        </is>
      </c>
      <c r="G85" t="inlineStr">
        <is>
          <t>Use Case</t>
        </is>
      </c>
      <c r="H85" t="inlineStr">
        <is>
          <t>Confirm final list of use cases</t>
        </is>
      </c>
      <c r="I85" t="inlineStr">
        <is>
          <t>Controls the upload path, available activity and lead category types.</t>
        </is>
      </c>
    </row>
    <row r="86">
      <c r="A86" t="inlineStr">
        <is>
          <t>UC09</t>
        </is>
      </c>
      <c r="B86" t="inlineStr">
        <is>
          <t xml:space="preserve">UC09 1st Party Events Attended </t>
        </is>
      </c>
      <c r="C86" t="inlineStr">
        <is>
          <t>Manual Uploads</t>
        </is>
      </c>
      <c r="D86" t="inlineStr">
        <is>
          <t>1st Party Events</t>
        </is>
      </c>
      <c r="E86" t="inlineStr">
        <is>
          <t>Attended Live In-Person</t>
        </is>
      </c>
      <c r="F86" t="inlineStr">
        <is>
          <t>2 - Contact Identity</t>
        </is>
      </c>
      <c r="G86" t="inlineStr">
        <is>
          <t>Email</t>
        </is>
      </c>
      <c r="H86" t="inlineStr">
        <is>
          <t>Confirm whether business email is mandatory and personal email domains are allowed.</t>
        </is>
      </c>
      <c r="I86" t="inlineStr">
        <is>
          <t>Primary contact matching key for Eloqua/SFDC and deduplication.</t>
        </is>
      </c>
    </row>
    <row r="87">
      <c r="A87" t="inlineStr">
        <is>
          <t>UC09</t>
        </is>
      </c>
      <c r="B87" t="inlineStr">
        <is>
          <t xml:space="preserve">UC09 1st Party Events Attended </t>
        </is>
      </c>
      <c r="C87" t="inlineStr">
        <is>
          <t>Manual Uploads</t>
        </is>
      </c>
      <c r="D87" t="inlineStr">
        <is>
          <t>1st Party Events</t>
        </is>
      </c>
      <c r="E87" t="inlineStr">
        <is>
          <t>Attended Live In-Person</t>
        </is>
      </c>
      <c r="F87" t="inlineStr">
        <is>
          <t>2 - Contact Identity</t>
        </is>
      </c>
      <c r="G87" t="inlineStr">
        <is>
          <t>Company Name</t>
        </is>
      </c>
      <c r="H87" t="inlineStr">
        <is>
          <t>Confirm whether account matching requires domain, account ID, or company name only.</t>
        </is>
      </c>
      <c r="I87" t="inlineStr">
        <is>
          <t>Supports account matching, attribution, and funnel reporting.</t>
        </is>
      </c>
    </row>
    <row r="88">
      <c r="A88" t="inlineStr">
        <is>
          <t>UC09</t>
        </is>
      </c>
      <c r="B88" t="inlineStr">
        <is>
          <t xml:space="preserve">UC09 1st Party Events Attended </t>
        </is>
      </c>
      <c r="C88" t="inlineStr">
        <is>
          <t>Manual Uploads</t>
        </is>
      </c>
      <c r="D88" t="inlineStr">
        <is>
          <t>1st Party Events</t>
        </is>
      </c>
      <c r="E88" t="inlineStr">
        <is>
          <t>Attended Live In-Person</t>
        </is>
      </c>
      <c r="F88" t="inlineStr">
        <is>
          <t>3 - Account Identity</t>
        </is>
      </c>
      <c r="G88" t="inlineStr">
        <is>
          <t>Phone Extension</t>
        </is>
      </c>
      <c r="H88" t="inlineStr">
        <is>
          <t>Do we still need Extension for B&amp;S to auto dial?</t>
        </is>
      </c>
      <c r="I88" t="inlineStr">
        <is>
          <t>Excluded from standard performance reporting</t>
        </is>
      </c>
    </row>
    <row r="89">
      <c r="A89" t="inlineStr">
        <is>
          <t>UC09</t>
        </is>
      </c>
      <c r="B89" t="inlineStr">
        <is>
          <t xml:space="preserve">UC09 1st Party Events Attended </t>
        </is>
      </c>
      <c r="C89" t="inlineStr">
        <is>
          <t>Manual Uploads</t>
        </is>
      </c>
      <c r="D89" t="inlineStr">
        <is>
          <t>1st Party Events</t>
        </is>
      </c>
      <c r="E89" t="inlineStr">
        <is>
          <t>Attended Live In-Person</t>
        </is>
      </c>
      <c r="F89" t="inlineStr">
        <is>
          <t>3 - Account Identity</t>
        </is>
      </c>
      <c r="G89" t="inlineStr">
        <is>
          <t>Primary Phone Number</t>
        </is>
      </c>
      <c r="H89" t="inlineStr">
        <is>
          <t>OK to send if no phone number aligned?</t>
        </is>
      </c>
      <c r="I89" t="inlineStr">
        <is>
          <t>Excluded from standard performance reporting but essential for upstream Virtual Demand Center (VDC) follow-up; Phone number should not be passed to sell if localized or country-specific phone opt-out privacy rules apply</t>
        </is>
      </c>
    </row>
    <row r="90">
      <c r="A90" t="inlineStr">
        <is>
          <t>UC09</t>
        </is>
      </c>
      <c r="B90" t="inlineStr">
        <is>
          <t xml:space="preserve">UC09 1st Party Events Attended </t>
        </is>
      </c>
      <c r="C90" t="inlineStr">
        <is>
          <t>Manual Uploads</t>
        </is>
      </c>
      <c r="D90" t="inlineStr">
        <is>
          <t>1st Party Events</t>
        </is>
      </c>
      <c r="E90" t="inlineStr">
        <is>
          <t>Attended Live In-Person</t>
        </is>
      </c>
      <c r="F90" t="inlineStr">
        <is>
          <t>4 - Compliance / Permissions</t>
        </is>
      </c>
      <c r="G90" t="inlineStr">
        <is>
          <t>Email Opt-In Permission</t>
        </is>
      </c>
      <c r="H90" t="inlineStr">
        <is>
          <t>How should we deal with customer wanting to Opt Out - we see errors of N being added in error</t>
        </is>
      </c>
      <c r="I90" t="inlineStr">
        <is>
          <t>Supports consent, privacy, and compliance checks for manual-upload processing.</t>
        </is>
      </c>
    </row>
    <row r="91">
      <c r="A91" t="inlineStr">
        <is>
          <t>UC09</t>
        </is>
      </c>
      <c r="B91" t="inlineStr">
        <is>
          <t xml:space="preserve">UC09 1st Party Events Attended </t>
        </is>
      </c>
      <c r="C91" t="inlineStr">
        <is>
          <t>Manual Uploads</t>
        </is>
      </c>
      <c r="D91" t="inlineStr">
        <is>
          <t>1st Party Events</t>
        </is>
      </c>
      <c r="E91" t="inlineStr">
        <is>
          <t>Attended Live In-Person</t>
        </is>
      </c>
      <c r="F91" t="inlineStr">
        <is>
          <t>4 - Compliance / Permissions</t>
        </is>
      </c>
      <c r="G91" t="inlineStr">
        <is>
          <t>Primary Phone Opt-In Permission</t>
        </is>
      </c>
      <c r="H91" t="inlineStr">
        <is>
          <t>How should we deal with customer wanting to Opt Out - we see errors of N being added in error</t>
        </is>
      </c>
      <c r="I91" t="inlineStr">
        <is>
          <t>Supports consent, privacy, and compliance checks for manual-upload processing.</t>
        </is>
      </c>
    </row>
    <row r="92">
      <c r="A92" t="inlineStr">
        <is>
          <t>UC09</t>
        </is>
      </c>
      <c r="B92" t="inlineStr">
        <is>
          <t xml:space="preserve">UC09 1st Party Events Attended </t>
        </is>
      </c>
      <c r="C92" t="inlineStr">
        <is>
          <t>Manual Uploads</t>
        </is>
      </c>
      <c r="D92" t="inlineStr">
        <is>
          <t>1st Party Events</t>
        </is>
      </c>
      <c r="E92" t="inlineStr">
        <is>
          <t>Attended Live In-Person</t>
        </is>
      </c>
      <c r="F92" t="inlineStr">
        <is>
          <t>5 - Legacy Tracking Parameters</t>
        </is>
      </c>
      <c r="G92" t="inlineStr">
        <is>
          <t>Drive To ID</t>
        </is>
      </c>
      <c r="H92" t="inlineStr">
        <is>
          <t>Attribution is using EID to determine First and Third party Events - so I think we can retire DTID for Event Uploads</t>
        </is>
      </c>
      <c r="I92" t="inlineStr">
        <is>
          <t>Maintains legacy destination and drive-to reporting alignment during transition.</t>
        </is>
      </c>
    </row>
    <row r="93">
      <c r="A93" t="inlineStr">
        <is>
          <t>UC09</t>
        </is>
      </c>
      <c r="B93" t="inlineStr">
        <is>
          <t xml:space="preserve">UC09 1st Party Events Attended </t>
        </is>
      </c>
      <c r="C93" t="inlineStr">
        <is>
          <t>Manual Uploads</t>
        </is>
      </c>
      <c r="D93" t="inlineStr">
        <is>
          <t>1st Party Events</t>
        </is>
      </c>
      <c r="E93" t="inlineStr">
        <is>
          <t>Attended Live In-Person</t>
        </is>
      </c>
      <c r="F93" t="inlineStr">
        <is>
          <t>5 - Legacy Tracking Parameters</t>
        </is>
      </c>
      <c r="G93" t="inlineStr">
        <is>
          <t>Offer ID</t>
        </is>
      </c>
      <c r="H93" t="inlineStr">
        <is>
          <t>Think we should remove Offer ID from events</t>
        </is>
      </c>
    </row>
    <row r="94">
      <c r="A94" t="inlineStr">
        <is>
          <t>UC09</t>
        </is>
      </c>
      <c r="B94" t="inlineStr">
        <is>
          <t xml:space="preserve">UC09 1st Party Events Attended </t>
        </is>
      </c>
      <c r="C94" t="inlineStr">
        <is>
          <t>Manual Uploads</t>
        </is>
      </c>
      <c r="D94" t="inlineStr">
        <is>
          <t>1st Party Events</t>
        </is>
      </c>
      <c r="E94" t="inlineStr">
        <is>
          <t>Attended Live In-Person</t>
        </is>
      </c>
      <c r="F94" t="inlineStr">
        <is>
          <t>6 - Future Tracking Parameters</t>
        </is>
      </c>
      <c r="G94" t="inlineStr">
        <is>
          <t>Workfront Channel ID</t>
        </is>
      </c>
      <c r="H94" t="inlineStr">
        <is>
          <t>Will events data come from Workfront, or can all of this information come from the Global Events Table via the EID?</t>
        </is>
      </c>
      <c r="I94" t="inlineStr">
        <is>
          <t>Connects the upload to the Workfront channel taxonomy for durable operational and attribution alignment.</t>
        </is>
      </c>
    </row>
    <row r="95">
      <c r="A95" t="inlineStr">
        <is>
          <t>UC09</t>
        </is>
      </c>
      <c r="B95" t="inlineStr">
        <is>
          <t xml:space="preserve">UC09 1st Party Events Attended </t>
        </is>
      </c>
      <c r="C95" t="inlineStr">
        <is>
          <t>Manual Uploads</t>
        </is>
      </c>
      <c r="D95" t="inlineStr">
        <is>
          <t>1st Party Events</t>
        </is>
      </c>
      <c r="E95" t="inlineStr">
        <is>
          <t>Attended Live In-Person</t>
        </is>
      </c>
      <c r="F95" t="inlineStr">
        <is>
          <t>6 - Future Tracking Parameters</t>
        </is>
      </c>
      <c r="G95" t="inlineStr">
        <is>
          <t>Workfront Content ID</t>
        </is>
      </c>
      <c r="H95" t="inlineStr">
        <is>
          <t>Would the Event manual Upload use cases really capture a Workfront Content ID</t>
        </is>
      </c>
      <c r="I95" t="inlineStr">
        <is>
          <t>Connects the upload to the Workfront Content taxonomy for durable operational and attribution alignment.</t>
        </is>
      </c>
    </row>
    <row r="96">
      <c r="A96" t="inlineStr">
        <is>
          <t>UC09</t>
        </is>
      </c>
      <c r="B96" t="inlineStr">
        <is>
          <t xml:space="preserve">UC09 1st Party Events Attended </t>
        </is>
      </c>
      <c r="C96" t="inlineStr">
        <is>
          <t>Manual Uploads</t>
        </is>
      </c>
      <c r="D96" t="inlineStr">
        <is>
          <t>1st Party Events</t>
        </is>
      </c>
      <c r="E96" t="inlineStr">
        <is>
          <t>Attended Live In-Person</t>
        </is>
      </c>
      <c r="F96" t="inlineStr">
        <is>
          <t>6 - Future Tracking Parameters</t>
        </is>
      </c>
      <c r="G96" t="inlineStr">
        <is>
          <t>Content Type</t>
        </is>
      </c>
      <c r="H96" t="inlineStr">
        <is>
          <t>This field relates to Web Content Type, Webinar Type and Event Type from Workfront.</t>
        </is>
      </c>
      <c r="I96" t="inlineStr">
        <is>
          <t>Identifies the content classification for future attribution, operational, and funnel reporting aligned to Workfront Content ID.</t>
        </is>
      </c>
    </row>
    <row r="97">
      <c r="A97" t="inlineStr">
        <is>
          <t>UC09</t>
        </is>
      </c>
      <c r="B97" t="inlineStr">
        <is>
          <t xml:space="preserve">UC09 1st Party Events Attended </t>
        </is>
      </c>
      <c r="C97" t="inlineStr">
        <is>
          <t>Manual Uploads</t>
        </is>
      </c>
      <c r="D97" t="inlineStr">
        <is>
          <t>1st Party Events</t>
        </is>
      </c>
      <c r="E97" t="inlineStr">
        <is>
          <t>Attended Live In-Person</t>
        </is>
      </c>
      <c r="F97" t="inlineStr">
        <is>
          <t>7 - Event Tracking Parameters</t>
        </is>
      </c>
      <c r="G97" t="inlineStr">
        <is>
          <t>Event ID / EID</t>
        </is>
      </c>
      <c r="H97" t="inlineStr">
        <is>
          <t>Confirm uploader has this value before upload.
Need rules to ensure 1st Party Data has not already been captured via Cvent or Rainfocus</t>
        </is>
      </c>
      <c r="I97" t="inlineStr">
        <is>
          <t>Primary lookup key for attribution, operational reporting, and Global Events Table enrichment. MRF should capture the same fields as Workfront</t>
        </is>
      </c>
    </row>
    <row r="98">
      <c r="A98" t="inlineStr">
        <is>
          <t>UC09</t>
        </is>
      </c>
      <c r="B98" t="inlineStr">
        <is>
          <t xml:space="preserve">UC09 1st Party Events Attended </t>
        </is>
      </c>
      <c r="C98" t="inlineStr">
        <is>
          <t>Manual Uploads</t>
        </is>
      </c>
      <c r="D98" t="inlineStr">
        <is>
          <t>1st Party Events</t>
        </is>
      </c>
      <c r="E98" t="inlineStr">
        <is>
          <t>Attended Live In-Person</t>
        </is>
      </c>
      <c r="F98" t="inlineStr">
        <is>
          <t>7 - Event Tracking Parameters</t>
        </is>
      </c>
      <c r="G98" t="inlineStr">
        <is>
          <t>Attendance Date</t>
        </is>
      </c>
      <c r="H98" t="inlineStr">
        <is>
          <t>Should we default the attendance date to the Transaction Date or the Event Start Date?</t>
        </is>
      </c>
      <c r="I98" t="inlineStr">
        <is>
          <t>Captures high-commitment physical attendance for attribution, operations, and scoring.</t>
        </is>
      </c>
    </row>
    <row r="99">
      <c r="A99" t="inlineStr">
        <is>
          <t>UC09</t>
        </is>
      </c>
      <c r="B99" t="inlineStr">
        <is>
          <t xml:space="preserve">UC09 1st Party Events Attended </t>
        </is>
      </c>
      <c r="C99" t="inlineStr">
        <is>
          <t>Manual Uploads</t>
        </is>
      </c>
      <c r="D99" t="inlineStr">
        <is>
          <t>1st Party Events</t>
        </is>
      </c>
      <c r="E99" t="inlineStr">
        <is>
          <t>Attended Live In-Person</t>
        </is>
      </c>
      <c r="F99" t="inlineStr">
        <is>
          <t>7 - Event Tracking Parameters</t>
        </is>
      </c>
      <c r="G99" t="inlineStr">
        <is>
          <t>Customer Comments</t>
        </is>
      </c>
      <c r="H99" t="inlineStr">
        <is>
          <t>Do we really need this for Non Hand Raisers</t>
        </is>
      </c>
      <c r="I99" t="inlineStr">
        <is>
          <t>Supports activity context, seller follow-up, and operational validation.</t>
        </is>
      </c>
    </row>
    <row r="100">
      <c r="A100" t="inlineStr">
        <is>
          <t>UC09</t>
        </is>
      </c>
      <c r="B100" t="inlineStr">
        <is>
          <t xml:space="preserve">UC09 1st Party Events Attended </t>
        </is>
      </c>
      <c r="C100" t="inlineStr">
        <is>
          <t>Manual Uploads</t>
        </is>
      </c>
      <c r="D100" t="inlineStr">
        <is>
          <t>1st Party Events</t>
        </is>
      </c>
      <c r="E100" t="inlineStr">
        <is>
          <t>Attended Live In-Person</t>
        </is>
      </c>
      <c r="F100" t="inlineStr">
        <is>
          <t>7 - Event Tracking Parameters</t>
        </is>
      </c>
      <c r="G100" t="inlineStr">
        <is>
          <t>Transaction Date</t>
        </is>
      </c>
      <c r="H100" t="inlineStr">
        <is>
          <t>Confirm whether UI should show one generic Activity Date label or an activity-specific date label.</t>
        </is>
      </c>
      <c r="I100" t="inlineStr">
        <is>
          <t>Common date field for attribution sequencing, operational SLA reporting, and lead scoring time decay.</t>
        </is>
      </c>
    </row>
    <row r="101">
      <c r="A101" t="inlineStr">
        <is>
          <t>UC10</t>
        </is>
      </c>
      <c r="B101" t="inlineStr">
        <is>
          <t xml:space="preserve">UC10 1st Party Events Attended </t>
        </is>
      </c>
      <c r="C101" t="inlineStr">
        <is>
          <t>Manual Uploads</t>
        </is>
      </c>
      <c r="D101" t="inlineStr">
        <is>
          <t>1st Party Events</t>
        </is>
      </c>
      <c r="E101" t="inlineStr">
        <is>
          <t>Attended Live Virtual</t>
        </is>
      </c>
      <c r="F101" t="inlineStr">
        <is>
          <t>1 - System Classification</t>
        </is>
      </c>
      <c r="G101" t="inlineStr">
        <is>
          <t>Activity Type</t>
        </is>
      </c>
      <c r="H101" t="inlineStr">
        <is>
          <t>Confirm all Activity Types are captured</t>
        </is>
      </c>
      <c r="I101" t="inlineStr">
        <is>
          <t>Controls which fields are shown and how the activity maps to reporting/scoring.</t>
        </is>
      </c>
    </row>
    <row r="102">
      <c r="A102" t="inlineStr">
        <is>
          <t>UC10</t>
        </is>
      </c>
      <c r="B102" t="inlineStr">
        <is>
          <t xml:space="preserve">UC10 1st Party Events Attended </t>
        </is>
      </c>
      <c r="C102" t="inlineStr">
        <is>
          <t>Manual Uploads</t>
        </is>
      </c>
      <c r="D102" t="inlineStr">
        <is>
          <t>1st Party Events</t>
        </is>
      </c>
      <c r="E102" t="inlineStr">
        <is>
          <t>Attended Live Virtual</t>
        </is>
      </c>
      <c r="F102" t="inlineStr">
        <is>
          <t>1 - System Classification</t>
        </is>
      </c>
      <c r="G102" t="inlineStr">
        <is>
          <t>Use Case</t>
        </is>
      </c>
      <c r="H102" t="inlineStr">
        <is>
          <t>Confirm final list of use cases</t>
        </is>
      </c>
      <c r="I102" t="inlineStr">
        <is>
          <t>Controls the upload path, available activity and lead category types.</t>
        </is>
      </c>
    </row>
    <row r="103">
      <c r="A103" t="inlineStr">
        <is>
          <t>UC10</t>
        </is>
      </c>
      <c r="B103" t="inlineStr">
        <is>
          <t xml:space="preserve">UC10 1st Party Events Attended </t>
        </is>
      </c>
      <c r="C103" t="inlineStr">
        <is>
          <t>Manual Uploads</t>
        </is>
      </c>
      <c r="D103" t="inlineStr">
        <is>
          <t>1st Party Events</t>
        </is>
      </c>
      <c r="E103" t="inlineStr">
        <is>
          <t>Attended Live Virtual</t>
        </is>
      </c>
      <c r="F103" t="inlineStr">
        <is>
          <t>2 - Contact Identity</t>
        </is>
      </c>
      <c r="G103" t="inlineStr">
        <is>
          <t>Email</t>
        </is>
      </c>
      <c r="H103" t="inlineStr">
        <is>
          <t>Confirm whether business email is mandatory and personal email domains are allowed.</t>
        </is>
      </c>
      <c r="I103" t="inlineStr">
        <is>
          <t>Primary contact matching key for Eloqua/SFDC and deduplication.</t>
        </is>
      </c>
    </row>
    <row r="104">
      <c r="A104" t="inlineStr">
        <is>
          <t>UC10</t>
        </is>
      </c>
      <c r="B104" t="inlineStr">
        <is>
          <t xml:space="preserve">UC10 1st Party Events Attended </t>
        </is>
      </c>
      <c r="C104" t="inlineStr">
        <is>
          <t>Manual Uploads</t>
        </is>
      </c>
      <c r="D104" t="inlineStr">
        <is>
          <t>1st Party Events</t>
        </is>
      </c>
      <c r="E104" t="inlineStr">
        <is>
          <t>Attended Live Virtual</t>
        </is>
      </c>
      <c r="F104" t="inlineStr">
        <is>
          <t>2 - Contact Identity</t>
        </is>
      </c>
      <c r="G104" t="inlineStr">
        <is>
          <t>Company Name</t>
        </is>
      </c>
      <c r="H104" t="inlineStr">
        <is>
          <t>Confirm whether account matching requires domain, account ID, or company name only.</t>
        </is>
      </c>
      <c r="I104" t="inlineStr">
        <is>
          <t>Supports account matching, attribution, and funnel reporting.</t>
        </is>
      </c>
    </row>
    <row r="105">
      <c r="A105" t="inlineStr">
        <is>
          <t>UC10</t>
        </is>
      </c>
      <c r="B105" t="inlineStr">
        <is>
          <t xml:space="preserve">UC10 1st Party Events Attended </t>
        </is>
      </c>
      <c r="C105" t="inlineStr">
        <is>
          <t>Manual Uploads</t>
        </is>
      </c>
      <c r="D105" t="inlineStr">
        <is>
          <t>1st Party Events</t>
        </is>
      </c>
      <c r="E105" t="inlineStr">
        <is>
          <t>Attended Live Virtual</t>
        </is>
      </c>
      <c r="F105" t="inlineStr">
        <is>
          <t>3 - Account Identity</t>
        </is>
      </c>
      <c r="G105" t="inlineStr">
        <is>
          <t>Phone Extension</t>
        </is>
      </c>
      <c r="H105" t="inlineStr">
        <is>
          <t>Do we still need Extension for B&amp;S to auto dial?</t>
        </is>
      </c>
      <c r="I105" t="inlineStr">
        <is>
          <t>Excluded from standard performance reporting</t>
        </is>
      </c>
    </row>
    <row r="106">
      <c r="A106" t="inlineStr">
        <is>
          <t>UC10</t>
        </is>
      </c>
      <c r="B106" t="inlineStr">
        <is>
          <t xml:space="preserve">UC10 1st Party Events Attended </t>
        </is>
      </c>
      <c r="C106" t="inlineStr">
        <is>
          <t>Manual Uploads</t>
        </is>
      </c>
      <c r="D106" t="inlineStr">
        <is>
          <t>1st Party Events</t>
        </is>
      </c>
      <c r="E106" t="inlineStr">
        <is>
          <t>Attended Live Virtual</t>
        </is>
      </c>
      <c r="F106" t="inlineStr">
        <is>
          <t>3 - Account Identity</t>
        </is>
      </c>
      <c r="G106" t="inlineStr">
        <is>
          <t>Primary Phone Number</t>
        </is>
      </c>
      <c r="H106" t="inlineStr">
        <is>
          <t>OK to send if no phone number aligned?</t>
        </is>
      </c>
      <c r="I106" t="inlineStr">
        <is>
          <t>Excluded from standard performance reporting but essential for upstream Virtual Demand Center (VDC) follow-up; Phone number should not be passed to sell if localized or country-specific phone opt-out privacy rules apply</t>
        </is>
      </c>
    </row>
    <row r="107">
      <c r="A107" t="inlineStr">
        <is>
          <t>UC10</t>
        </is>
      </c>
      <c r="B107" t="inlineStr">
        <is>
          <t xml:space="preserve">UC10 1st Party Events Attended </t>
        </is>
      </c>
      <c r="C107" t="inlineStr">
        <is>
          <t>Manual Uploads</t>
        </is>
      </c>
      <c r="D107" t="inlineStr">
        <is>
          <t>1st Party Events</t>
        </is>
      </c>
      <c r="E107" t="inlineStr">
        <is>
          <t>Attended Live Virtual</t>
        </is>
      </c>
      <c r="F107" t="inlineStr">
        <is>
          <t>4 - Compliance / Permissions</t>
        </is>
      </c>
      <c r="G107" t="inlineStr">
        <is>
          <t>Email Opt-In Permission</t>
        </is>
      </c>
      <c r="H107" t="inlineStr">
        <is>
          <t>How should we deal with customer wanting to Opt Out - we see errors of N being added in error</t>
        </is>
      </c>
      <c r="I107" t="inlineStr">
        <is>
          <t>Supports consent, privacy, and compliance checks for manual-upload processing.</t>
        </is>
      </c>
    </row>
    <row r="108">
      <c r="A108" t="inlineStr">
        <is>
          <t>UC10</t>
        </is>
      </c>
      <c r="B108" t="inlineStr">
        <is>
          <t xml:space="preserve">UC10 1st Party Events Attended </t>
        </is>
      </c>
      <c r="C108" t="inlineStr">
        <is>
          <t>Manual Uploads</t>
        </is>
      </c>
      <c r="D108" t="inlineStr">
        <is>
          <t>1st Party Events</t>
        </is>
      </c>
      <c r="E108" t="inlineStr">
        <is>
          <t>Attended Live Virtual</t>
        </is>
      </c>
      <c r="F108" t="inlineStr">
        <is>
          <t>4 - Compliance / Permissions</t>
        </is>
      </c>
      <c r="G108" t="inlineStr">
        <is>
          <t>Primary Phone Opt-In Permission</t>
        </is>
      </c>
      <c r="H108" t="inlineStr">
        <is>
          <t>How should we deal with customer wanting to Opt Out - we see errors of N being added in error</t>
        </is>
      </c>
      <c r="I108" t="inlineStr">
        <is>
          <t>Supports consent, privacy, and compliance checks for manual-upload processing.</t>
        </is>
      </c>
    </row>
    <row r="109">
      <c r="A109" t="inlineStr">
        <is>
          <t>UC10</t>
        </is>
      </c>
      <c r="B109" t="inlineStr">
        <is>
          <t xml:space="preserve">UC10 1st Party Events Attended </t>
        </is>
      </c>
      <c r="C109" t="inlineStr">
        <is>
          <t>Manual Uploads</t>
        </is>
      </c>
      <c r="D109" t="inlineStr">
        <is>
          <t>1st Party Events</t>
        </is>
      </c>
      <c r="E109" t="inlineStr">
        <is>
          <t>Attended Live Virtual</t>
        </is>
      </c>
      <c r="F109" t="inlineStr">
        <is>
          <t>5 - Legacy Tracking Parameters</t>
        </is>
      </c>
      <c r="G109" t="inlineStr">
        <is>
          <t>Drive To ID</t>
        </is>
      </c>
      <c r="H109" t="inlineStr">
        <is>
          <t>Attribution is using EID to determine First and Third party Events - so I think we can retire DTID for Event Uploads</t>
        </is>
      </c>
      <c r="I109" t="inlineStr">
        <is>
          <t>Maintains legacy destination and drive-to reporting alignment during transition.</t>
        </is>
      </c>
    </row>
    <row r="110">
      <c r="A110" t="inlineStr">
        <is>
          <t>UC10</t>
        </is>
      </c>
      <c r="B110" t="inlineStr">
        <is>
          <t xml:space="preserve">UC10 1st Party Events Attended </t>
        </is>
      </c>
      <c r="C110" t="inlineStr">
        <is>
          <t>Manual Uploads</t>
        </is>
      </c>
      <c r="D110" t="inlineStr">
        <is>
          <t>1st Party Events</t>
        </is>
      </c>
      <c r="E110" t="inlineStr">
        <is>
          <t>Attended Live Virtual</t>
        </is>
      </c>
      <c r="F110" t="inlineStr">
        <is>
          <t>5 - Legacy Tracking Parameters</t>
        </is>
      </c>
      <c r="G110" t="inlineStr">
        <is>
          <t>Offer ID</t>
        </is>
      </c>
      <c r="H110" t="inlineStr">
        <is>
          <t>Think we should remove Offer ID from events</t>
        </is>
      </c>
    </row>
    <row r="111">
      <c r="A111" t="inlineStr">
        <is>
          <t>UC10</t>
        </is>
      </c>
      <c r="B111" t="inlineStr">
        <is>
          <t xml:space="preserve">UC10 1st Party Events Attended </t>
        </is>
      </c>
      <c r="C111" t="inlineStr">
        <is>
          <t>Manual Uploads</t>
        </is>
      </c>
      <c r="D111" t="inlineStr">
        <is>
          <t>1st Party Events</t>
        </is>
      </c>
      <c r="E111" t="inlineStr">
        <is>
          <t>Attended Live Virtual</t>
        </is>
      </c>
      <c r="F111" t="inlineStr">
        <is>
          <t>6 - Future Tracking Parameters</t>
        </is>
      </c>
      <c r="G111" t="inlineStr">
        <is>
          <t>Workfront Channel ID</t>
        </is>
      </c>
      <c r="H111" t="inlineStr">
        <is>
          <t>Will events data come from Workfront, or can all of this information come from the Global Events Table via the EID?</t>
        </is>
      </c>
      <c r="I111" t="inlineStr">
        <is>
          <t>Connects the upload to the Workfront channel taxonomy for durable operational and attribution alignment.</t>
        </is>
      </c>
    </row>
    <row r="112">
      <c r="A112" t="inlineStr">
        <is>
          <t>UC10</t>
        </is>
      </c>
      <c r="B112" t="inlineStr">
        <is>
          <t xml:space="preserve">UC10 1st Party Events Attended </t>
        </is>
      </c>
      <c r="C112" t="inlineStr">
        <is>
          <t>Manual Uploads</t>
        </is>
      </c>
      <c r="D112" t="inlineStr">
        <is>
          <t>1st Party Events</t>
        </is>
      </c>
      <c r="E112" t="inlineStr">
        <is>
          <t>Attended Live Virtual</t>
        </is>
      </c>
      <c r="F112" t="inlineStr">
        <is>
          <t>6 - Future Tracking Parameters</t>
        </is>
      </c>
      <c r="G112" t="inlineStr">
        <is>
          <t>Workfront Content ID</t>
        </is>
      </c>
      <c r="H112" t="inlineStr">
        <is>
          <t>Would the Event manual Upload use cases really capture a Workfront Content ID</t>
        </is>
      </c>
      <c r="I112" t="inlineStr">
        <is>
          <t>Connects the upload to the Workfront Content taxonomy for durable operational and attribution alignment.</t>
        </is>
      </c>
    </row>
    <row r="113">
      <c r="A113" t="inlineStr">
        <is>
          <t>UC10</t>
        </is>
      </c>
      <c r="B113" t="inlineStr">
        <is>
          <t xml:space="preserve">UC10 1st Party Events Attended </t>
        </is>
      </c>
      <c r="C113" t="inlineStr">
        <is>
          <t>Manual Uploads</t>
        </is>
      </c>
      <c r="D113" t="inlineStr">
        <is>
          <t>1st Party Events</t>
        </is>
      </c>
      <c r="E113" t="inlineStr">
        <is>
          <t>Attended Live Virtual</t>
        </is>
      </c>
      <c r="F113" t="inlineStr">
        <is>
          <t>6 - Future Tracking Parameters</t>
        </is>
      </c>
      <c r="G113" t="inlineStr">
        <is>
          <t>Content Type</t>
        </is>
      </c>
      <c r="H113" t="inlineStr">
        <is>
          <t>This field relates to Web Content Type, Webinar Type and Event Type from Workfront.</t>
        </is>
      </c>
      <c r="I113" t="inlineStr">
        <is>
          <t>Identifies the content classification for future attribution, operational, and funnel reporting aligned to Workfront Content ID.</t>
        </is>
      </c>
    </row>
    <row r="114">
      <c r="A114" t="inlineStr">
        <is>
          <t>UC10</t>
        </is>
      </c>
      <c r="B114" t="inlineStr">
        <is>
          <t xml:space="preserve">UC10 1st Party Events Attended </t>
        </is>
      </c>
      <c r="C114" t="inlineStr">
        <is>
          <t>Manual Uploads</t>
        </is>
      </c>
      <c r="D114" t="inlineStr">
        <is>
          <t>1st Party Events</t>
        </is>
      </c>
      <c r="E114" t="inlineStr">
        <is>
          <t>Attended Live Virtual</t>
        </is>
      </c>
      <c r="F114" t="inlineStr">
        <is>
          <t>7 - Event Tracking Parameters</t>
        </is>
      </c>
      <c r="G114" t="inlineStr">
        <is>
          <t>Event ID / EID</t>
        </is>
      </c>
      <c r="H114" t="inlineStr">
        <is>
          <t>Confirm uploader has this value before upload.
Need rules to ensure 1st Party Data has not already been captured via Cvent or Rainfocus</t>
        </is>
      </c>
      <c r="I114" t="inlineStr">
        <is>
          <t>Primary lookup key for attribution, operational reporting, and Global Events Table enrichment. MRF should capture the same fields as Workfront</t>
        </is>
      </c>
    </row>
    <row r="115">
      <c r="A115" t="inlineStr">
        <is>
          <t>UC10</t>
        </is>
      </c>
      <c r="B115" t="inlineStr">
        <is>
          <t xml:space="preserve">UC10 1st Party Events Attended </t>
        </is>
      </c>
      <c r="C115" t="inlineStr">
        <is>
          <t>Manual Uploads</t>
        </is>
      </c>
      <c r="D115" t="inlineStr">
        <is>
          <t>1st Party Events</t>
        </is>
      </c>
      <c r="E115" t="inlineStr">
        <is>
          <t>Attended Live Virtual</t>
        </is>
      </c>
      <c r="F115" t="inlineStr">
        <is>
          <t>7 - Event Tracking Parameters</t>
        </is>
      </c>
      <c r="G115" t="inlineStr">
        <is>
          <t>Attendance Date</t>
        </is>
      </c>
      <c r="H115" t="inlineStr">
        <is>
          <t>Confirm if date can be derived</t>
        </is>
      </c>
      <c r="I115" t="inlineStr">
        <is>
          <t>Captures digital attendance for attribution, platform reporting, and scoring.</t>
        </is>
      </c>
    </row>
    <row r="116">
      <c r="A116" t="inlineStr">
        <is>
          <t>UC10</t>
        </is>
      </c>
      <c r="B116" t="inlineStr">
        <is>
          <t xml:space="preserve">UC10 1st Party Events Attended </t>
        </is>
      </c>
      <c r="C116" t="inlineStr">
        <is>
          <t>Manual Uploads</t>
        </is>
      </c>
      <c r="D116" t="inlineStr">
        <is>
          <t>1st Party Events</t>
        </is>
      </c>
      <c r="E116" t="inlineStr">
        <is>
          <t>Attended Live Virtual</t>
        </is>
      </c>
      <c r="F116" t="inlineStr">
        <is>
          <t>7 - Event Tracking Parameters</t>
        </is>
      </c>
      <c r="G116" t="inlineStr">
        <is>
          <t>Customer Comments</t>
        </is>
      </c>
      <c r="H116" t="inlineStr">
        <is>
          <t>Do we really need comments for Non-Hand Raisers?</t>
        </is>
      </c>
      <c r="I116" t="inlineStr">
        <is>
          <t>Supports activity context, seller follow-up, and operational validation.</t>
        </is>
      </c>
    </row>
    <row r="117">
      <c r="A117" t="inlineStr">
        <is>
          <t>UC10</t>
        </is>
      </c>
      <c r="B117" t="inlineStr">
        <is>
          <t xml:space="preserve">UC10 1st Party Events Attended </t>
        </is>
      </c>
      <c r="C117" t="inlineStr">
        <is>
          <t>Manual Uploads</t>
        </is>
      </c>
      <c r="D117" t="inlineStr">
        <is>
          <t>1st Party Events</t>
        </is>
      </c>
      <c r="E117" t="inlineStr">
        <is>
          <t>Attended Live Virtual</t>
        </is>
      </c>
      <c r="F117" t="inlineStr">
        <is>
          <t>7 - Event Tracking Parameters</t>
        </is>
      </c>
      <c r="G117" t="inlineStr">
        <is>
          <t>Transaction Date</t>
        </is>
      </c>
      <c r="H117" t="inlineStr">
        <is>
          <t>Confirm whether UI should show one generic Activity Date label or an activity-specific date label.</t>
        </is>
      </c>
      <c r="I117" t="inlineStr">
        <is>
          <t>Common date field for attribution sequencing, operational SLA reporting, and lead scoring time decay.</t>
        </is>
      </c>
    </row>
    <row r="118">
      <c r="A118" t="inlineStr">
        <is>
          <t>UC11</t>
        </is>
      </c>
      <c r="B118" t="inlineStr">
        <is>
          <t xml:space="preserve">UC11 1st Party Events Attended </t>
        </is>
      </c>
      <c r="C118" t="inlineStr">
        <is>
          <t>Manual Uploads</t>
        </is>
      </c>
      <c r="D118" t="inlineStr">
        <is>
          <t>1st Party Events</t>
        </is>
      </c>
      <c r="E118" t="inlineStr">
        <is>
          <t>Attended Session</t>
        </is>
      </c>
      <c r="F118" t="inlineStr">
        <is>
          <t>1 - System Classification</t>
        </is>
      </c>
      <c r="G118" t="inlineStr">
        <is>
          <t>Activity Type</t>
        </is>
      </c>
      <c r="H118" t="inlineStr">
        <is>
          <t>Confirm all Activity Types are captured</t>
        </is>
      </c>
      <c r="I118" t="inlineStr">
        <is>
          <t>Controls which fields are shown and how the activity maps to reporting/scoring.</t>
        </is>
      </c>
    </row>
    <row r="119">
      <c r="A119" t="inlineStr">
        <is>
          <t>UC11</t>
        </is>
      </c>
      <c r="B119" t="inlineStr">
        <is>
          <t xml:space="preserve">UC11 1st Party Events Attended </t>
        </is>
      </c>
      <c r="C119" t="inlineStr">
        <is>
          <t>Manual Uploads</t>
        </is>
      </c>
      <c r="D119" t="inlineStr">
        <is>
          <t>1st Party Events</t>
        </is>
      </c>
      <c r="E119" t="inlineStr">
        <is>
          <t>Attended Session</t>
        </is>
      </c>
      <c r="F119" t="inlineStr">
        <is>
          <t>1 - System Classification</t>
        </is>
      </c>
      <c r="G119" t="inlineStr">
        <is>
          <t>Use Case</t>
        </is>
      </c>
      <c r="H119" t="inlineStr">
        <is>
          <t>Confirm final list of use cases</t>
        </is>
      </c>
      <c r="I119" t="inlineStr">
        <is>
          <t>Controls the upload path, available activity and lead category types.</t>
        </is>
      </c>
    </row>
    <row r="120">
      <c r="A120" t="inlineStr">
        <is>
          <t>UC11</t>
        </is>
      </c>
      <c r="B120" t="inlineStr">
        <is>
          <t xml:space="preserve">UC11 1st Party Events Attended </t>
        </is>
      </c>
      <c r="C120" t="inlineStr">
        <is>
          <t>Manual Uploads</t>
        </is>
      </c>
      <c r="D120" t="inlineStr">
        <is>
          <t>1st Party Events</t>
        </is>
      </c>
      <c r="E120" t="inlineStr">
        <is>
          <t>Attended Session</t>
        </is>
      </c>
      <c r="F120" t="inlineStr">
        <is>
          <t>2 - Contact Identity</t>
        </is>
      </c>
      <c r="G120" t="inlineStr">
        <is>
          <t>Email</t>
        </is>
      </c>
      <c r="H120" t="inlineStr">
        <is>
          <t>Confirm whether business email is mandatory and personal email domains are allowed.</t>
        </is>
      </c>
      <c r="I120" t="inlineStr">
        <is>
          <t>Primary contact matching key for Eloqua/SFDC and deduplication.</t>
        </is>
      </c>
    </row>
    <row r="121">
      <c r="A121" t="inlineStr">
        <is>
          <t>UC11</t>
        </is>
      </c>
      <c r="B121" t="inlineStr">
        <is>
          <t xml:space="preserve">UC11 1st Party Events Attended </t>
        </is>
      </c>
      <c r="C121" t="inlineStr">
        <is>
          <t>Manual Uploads</t>
        </is>
      </c>
      <c r="D121" t="inlineStr">
        <is>
          <t>1st Party Events</t>
        </is>
      </c>
      <c r="E121" t="inlineStr">
        <is>
          <t>Attended Session</t>
        </is>
      </c>
      <c r="F121" t="inlineStr">
        <is>
          <t>2 - Contact Identity</t>
        </is>
      </c>
      <c r="G121" t="inlineStr">
        <is>
          <t>Company Name</t>
        </is>
      </c>
      <c r="H121" t="inlineStr">
        <is>
          <t>Confirm whether account matching requires domain, account ID, or company name only.</t>
        </is>
      </c>
      <c r="I121" t="inlineStr">
        <is>
          <t>Supports account matching, attribution, and funnel reporting.</t>
        </is>
      </c>
    </row>
    <row r="122">
      <c r="A122" t="inlineStr">
        <is>
          <t>UC11</t>
        </is>
      </c>
      <c r="B122" t="inlineStr">
        <is>
          <t xml:space="preserve">UC11 1st Party Events Attended </t>
        </is>
      </c>
      <c r="C122" t="inlineStr">
        <is>
          <t>Manual Uploads</t>
        </is>
      </c>
      <c r="D122" t="inlineStr">
        <is>
          <t>1st Party Events</t>
        </is>
      </c>
      <c r="E122" t="inlineStr">
        <is>
          <t>Attended Session</t>
        </is>
      </c>
      <c r="F122" t="inlineStr">
        <is>
          <t>3 - Account Identity</t>
        </is>
      </c>
      <c r="G122" t="inlineStr">
        <is>
          <t>Phone Extension</t>
        </is>
      </c>
      <c r="H122" t="inlineStr">
        <is>
          <t>Do we still need Extension for B&amp;S to auto dial?</t>
        </is>
      </c>
      <c r="I122" t="inlineStr">
        <is>
          <t>Excluded from standard performance reporting</t>
        </is>
      </c>
    </row>
    <row r="123">
      <c r="A123" t="inlineStr">
        <is>
          <t>UC11</t>
        </is>
      </c>
      <c r="B123" t="inlineStr">
        <is>
          <t xml:space="preserve">UC11 1st Party Events Attended </t>
        </is>
      </c>
      <c r="C123" t="inlineStr">
        <is>
          <t>Manual Uploads</t>
        </is>
      </c>
      <c r="D123" t="inlineStr">
        <is>
          <t>1st Party Events</t>
        </is>
      </c>
      <c r="E123" t="inlineStr">
        <is>
          <t>Attended Session</t>
        </is>
      </c>
      <c r="F123" t="inlineStr">
        <is>
          <t>3 - Account Identity</t>
        </is>
      </c>
      <c r="G123" t="inlineStr">
        <is>
          <t>Primary Phone Number</t>
        </is>
      </c>
      <c r="H123" t="inlineStr">
        <is>
          <t>OK to send if no phone number aligned?</t>
        </is>
      </c>
      <c r="I123" t="inlineStr">
        <is>
          <t>Excluded from standard performance reporting but essential for upstream Virtual Demand Center (VDC) follow-up; Phone number should not be passed to sell if localized or country-specific phone opt-out privacy rules apply</t>
        </is>
      </c>
    </row>
    <row r="124">
      <c r="A124" t="inlineStr">
        <is>
          <t>UC11</t>
        </is>
      </c>
      <c r="B124" t="inlineStr">
        <is>
          <t xml:space="preserve">UC11 1st Party Events Attended </t>
        </is>
      </c>
      <c r="C124" t="inlineStr">
        <is>
          <t>Manual Uploads</t>
        </is>
      </c>
      <c r="D124" t="inlineStr">
        <is>
          <t>1st Party Events</t>
        </is>
      </c>
      <c r="E124" t="inlineStr">
        <is>
          <t>Attended Session</t>
        </is>
      </c>
      <c r="F124" t="inlineStr">
        <is>
          <t>4 - Compliance / Permissions</t>
        </is>
      </c>
      <c r="G124" t="inlineStr">
        <is>
          <t>Email Opt-In Permission</t>
        </is>
      </c>
      <c r="H124" t="inlineStr">
        <is>
          <t>How should we deal with customer wanting to Opt Out - we see errors of N being added in error</t>
        </is>
      </c>
      <c r="I124" t="inlineStr">
        <is>
          <t>Supports consent, privacy, and compliance checks for manual-upload processing.</t>
        </is>
      </c>
    </row>
    <row r="125">
      <c r="A125" t="inlineStr">
        <is>
          <t>UC11</t>
        </is>
      </c>
      <c r="B125" t="inlineStr">
        <is>
          <t xml:space="preserve">UC11 1st Party Events Attended </t>
        </is>
      </c>
      <c r="C125" t="inlineStr">
        <is>
          <t>Manual Uploads</t>
        </is>
      </c>
      <c r="D125" t="inlineStr">
        <is>
          <t>1st Party Events</t>
        </is>
      </c>
      <c r="E125" t="inlineStr">
        <is>
          <t>Attended Session</t>
        </is>
      </c>
      <c r="F125" t="inlineStr">
        <is>
          <t>4 - Compliance / Permissions</t>
        </is>
      </c>
      <c r="G125" t="inlineStr">
        <is>
          <t>Primary Phone Opt-In Permission</t>
        </is>
      </c>
      <c r="H125" t="inlineStr">
        <is>
          <t>How should we deal with customer wanting to Opt Out - we see errors of N being added in error</t>
        </is>
      </c>
      <c r="I125" t="inlineStr">
        <is>
          <t>Supports consent, privacy, and compliance checks for manual-upload processing.</t>
        </is>
      </c>
    </row>
    <row r="126">
      <c r="A126" t="inlineStr">
        <is>
          <t>UC11</t>
        </is>
      </c>
      <c r="B126" t="inlineStr">
        <is>
          <t xml:space="preserve">UC11 1st Party Events Attended </t>
        </is>
      </c>
      <c r="C126" t="inlineStr">
        <is>
          <t>Manual Uploads</t>
        </is>
      </c>
      <c r="D126" t="inlineStr">
        <is>
          <t>1st Party Events</t>
        </is>
      </c>
      <c r="E126" t="inlineStr">
        <is>
          <t>Attended Session</t>
        </is>
      </c>
      <c r="F126" t="inlineStr">
        <is>
          <t>5 - Legacy Tracking Parameters</t>
        </is>
      </c>
      <c r="G126" t="inlineStr">
        <is>
          <t>Drive To ID</t>
        </is>
      </c>
      <c r="H126" t="inlineStr">
        <is>
          <t>Attribution is using EID to determine First and Third party Events - so I think we can retire DTID for Event Uploads</t>
        </is>
      </c>
      <c r="I126" t="inlineStr">
        <is>
          <t>Maintains legacy destination and drive-to reporting alignment during transition.</t>
        </is>
      </c>
    </row>
    <row r="127">
      <c r="A127" t="inlineStr">
        <is>
          <t>UC11</t>
        </is>
      </c>
      <c r="B127" t="inlineStr">
        <is>
          <t xml:space="preserve">UC11 1st Party Events Attended </t>
        </is>
      </c>
      <c r="C127" t="inlineStr">
        <is>
          <t>Manual Uploads</t>
        </is>
      </c>
      <c r="D127" t="inlineStr">
        <is>
          <t>1st Party Events</t>
        </is>
      </c>
      <c r="E127" t="inlineStr">
        <is>
          <t>Attended Session</t>
        </is>
      </c>
      <c r="F127" t="inlineStr">
        <is>
          <t>5 - Legacy Tracking Parameters</t>
        </is>
      </c>
      <c r="G127" t="inlineStr">
        <is>
          <t>Offer ID</t>
        </is>
      </c>
      <c r="H127" t="inlineStr">
        <is>
          <t>Think we should remove Offer ID from events</t>
        </is>
      </c>
    </row>
    <row r="128">
      <c r="A128" t="inlineStr">
        <is>
          <t>UC11</t>
        </is>
      </c>
      <c r="B128" t="inlineStr">
        <is>
          <t xml:space="preserve">UC11 1st Party Events Attended </t>
        </is>
      </c>
      <c r="C128" t="inlineStr">
        <is>
          <t>Manual Uploads</t>
        </is>
      </c>
      <c r="D128" t="inlineStr">
        <is>
          <t>1st Party Events</t>
        </is>
      </c>
      <c r="E128" t="inlineStr">
        <is>
          <t>Attended Session</t>
        </is>
      </c>
      <c r="F128" t="inlineStr">
        <is>
          <t>6 - Future Tracking Parameters</t>
        </is>
      </c>
      <c r="G128" t="inlineStr">
        <is>
          <t>Workfront Channel ID</t>
        </is>
      </c>
      <c r="H128" t="inlineStr">
        <is>
          <t>Will events data come from Workfront, or can all of this information come from the Global Events Table via the EID?</t>
        </is>
      </c>
      <c r="I128" t="inlineStr">
        <is>
          <t>Connects the upload to the Workfront channel taxonomy for durable operational and attribution alignment.</t>
        </is>
      </c>
    </row>
    <row r="129">
      <c r="A129" t="inlineStr">
        <is>
          <t>UC11</t>
        </is>
      </c>
      <c r="B129" t="inlineStr">
        <is>
          <t xml:space="preserve">UC11 1st Party Events Attended </t>
        </is>
      </c>
      <c r="C129" t="inlineStr">
        <is>
          <t>Manual Uploads</t>
        </is>
      </c>
      <c r="D129" t="inlineStr">
        <is>
          <t>1st Party Events</t>
        </is>
      </c>
      <c r="E129" t="inlineStr">
        <is>
          <t>Attended Session</t>
        </is>
      </c>
      <c r="F129" t="inlineStr">
        <is>
          <t>6 - Future Tracking Parameters</t>
        </is>
      </c>
      <c r="G129" t="inlineStr">
        <is>
          <t>Workfront Content ID</t>
        </is>
      </c>
      <c r="H129" t="inlineStr">
        <is>
          <t>Would the Event manual Upload use cases really capture a Workfront Content ID</t>
        </is>
      </c>
      <c r="I129" t="inlineStr">
        <is>
          <t>Connects the upload to the Workfront Content taxonomy for durable operational and attribution alignment.</t>
        </is>
      </c>
    </row>
    <row r="130">
      <c r="A130" t="inlineStr">
        <is>
          <t>UC11</t>
        </is>
      </c>
      <c r="B130" t="inlineStr">
        <is>
          <t xml:space="preserve">UC11 1st Party Events Attended </t>
        </is>
      </c>
      <c r="C130" t="inlineStr">
        <is>
          <t>Manual Uploads</t>
        </is>
      </c>
      <c r="D130" t="inlineStr">
        <is>
          <t>1st Party Events</t>
        </is>
      </c>
      <c r="E130" t="inlineStr">
        <is>
          <t>Attended Session</t>
        </is>
      </c>
      <c r="F130" t="inlineStr">
        <is>
          <t>6 - Future Tracking Parameters</t>
        </is>
      </c>
      <c r="G130" t="inlineStr">
        <is>
          <t>Content Type</t>
        </is>
      </c>
      <c r="H130" t="inlineStr">
        <is>
          <t>This field relates to Web Content Type, Webinar Type and Event Type from Workfront.</t>
        </is>
      </c>
      <c r="I130" t="inlineStr">
        <is>
          <t>Identifies the content classification for future attribution, operational, and funnel reporting aligned to Workfront Content ID.</t>
        </is>
      </c>
    </row>
    <row r="131">
      <c r="A131" t="inlineStr">
        <is>
          <t>UC11</t>
        </is>
      </c>
      <c r="B131" t="inlineStr">
        <is>
          <t xml:space="preserve">UC11 1st Party Events Attended </t>
        </is>
      </c>
      <c r="C131" t="inlineStr">
        <is>
          <t>Manual Uploads</t>
        </is>
      </c>
      <c r="D131" t="inlineStr">
        <is>
          <t>1st Party Events</t>
        </is>
      </c>
      <c r="E131" t="inlineStr">
        <is>
          <t>Attended Session</t>
        </is>
      </c>
      <c r="F131" t="inlineStr">
        <is>
          <t>7 - Event Tracking Parameters</t>
        </is>
      </c>
      <c r="G131" t="inlineStr">
        <is>
          <t>Event ID / EID</t>
        </is>
      </c>
      <c r="H131" t="inlineStr">
        <is>
          <t>Confirm uploader has this value before upload.
Need rules to ensure 1st Party Data has not already been captured via Cvent or Rainfocus</t>
        </is>
      </c>
      <c r="I131" t="inlineStr">
        <is>
          <t>Primary lookup key for attribution, operational reporting, and Global Events Table enrichment. MRF should capture the same fields as Workfront</t>
        </is>
      </c>
    </row>
    <row r="132">
      <c r="A132" t="inlineStr">
        <is>
          <t>UC11</t>
        </is>
      </c>
      <c r="B132" t="inlineStr">
        <is>
          <t xml:space="preserve">UC11 1st Party Events Attended </t>
        </is>
      </c>
      <c r="C132" t="inlineStr">
        <is>
          <t>Manual Uploads</t>
        </is>
      </c>
      <c r="D132" t="inlineStr">
        <is>
          <t>1st Party Events</t>
        </is>
      </c>
      <c r="E132" t="inlineStr">
        <is>
          <t>Attended Session</t>
        </is>
      </c>
      <c r="F132" t="inlineStr">
        <is>
          <t>7 - Event Tracking Parameters</t>
        </is>
      </c>
      <c r="G132" t="inlineStr">
        <is>
          <t>Session Name</t>
        </is>
      </c>
      <c r="H132" t="inlineStr">
        <is>
          <t>Confirm whether sessions can be selected from a controlled list or if we have an identifier to look it up</t>
        </is>
      </c>
      <c r="I132" t="inlineStr">
        <is>
          <t>Supports content-interest reporting and seller context.</t>
        </is>
      </c>
    </row>
    <row r="133">
      <c r="A133" t="inlineStr">
        <is>
          <t>UC11</t>
        </is>
      </c>
      <c r="B133" t="inlineStr">
        <is>
          <t xml:space="preserve">UC11 1st Party Events Attended </t>
        </is>
      </c>
      <c r="C133" t="inlineStr">
        <is>
          <t>Manual Uploads</t>
        </is>
      </c>
      <c r="D133" t="inlineStr">
        <is>
          <t>1st Party Events</t>
        </is>
      </c>
      <c r="E133" t="inlineStr">
        <is>
          <t>Attended Session</t>
        </is>
      </c>
      <c r="F133" t="inlineStr">
        <is>
          <t>7 - Event Tracking Parameters</t>
        </is>
      </c>
      <c r="G133" t="inlineStr">
        <is>
          <t>Session Topic / Track</t>
        </is>
      </c>
      <c r="H133" t="inlineStr">
        <is>
          <t>Confirm if a session catalog exists.</t>
        </is>
      </c>
      <c r="I133" t="inlineStr">
        <is>
          <t>Supports topic performance reporting and targeted follow-up.</t>
        </is>
      </c>
    </row>
    <row r="134">
      <c r="A134" t="inlineStr">
        <is>
          <t>UC11</t>
        </is>
      </c>
      <c r="B134" t="inlineStr">
        <is>
          <t xml:space="preserve">UC11 1st Party Events Attended </t>
        </is>
      </c>
      <c r="C134" t="inlineStr">
        <is>
          <t>Manual Uploads</t>
        </is>
      </c>
      <c r="D134" t="inlineStr">
        <is>
          <t>1st Party Events</t>
        </is>
      </c>
      <c r="E134" t="inlineStr">
        <is>
          <t>Attended Session</t>
        </is>
      </c>
      <c r="F134" t="inlineStr">
        <is>
          <t>7 - Event Tracking Parameters</t>
        </is>
      </c>
      <c r="G134" t="inlineStr">
        <is>
          <t>Customer Comments</t>
        </is>
      </c>
      <c r="H134" t="inlineStr">
        <is>
          <t>Do we really need comments for Non-Hand Raisers?</t>
        </is>
      </c>
      <c r="I134" t="inlineStr">
        <is>
          <t>Supports activity context, seller follow-up, and operational validation.</t>
        </is>
      </c>
    </row>
    <row r="135">
      <c r="A135" t="inlineStr">
        <is>
          <t>UC11</t>
        </is>
      </c>
      <c r="B135" t="inlineStr">
        <is>
          <t xml:space="preserve">UC11 1st Party Events Attended </t>
        </is>
      </c>
      <c r="C135" t="inlineStr">
        <is>
          <t>Manual Uploads</t>
        </is>
      </c>
      <c r="D135" t="inlineStr">
        <is>
          <t>1st Party Events</t>
        </is>
      </c>
      <c r="E135" t="inlineStr">
        <is>
          <t>Attended Session</t>
        </is>
      </c>
      <c r="F135" t="inlineStr">
        <is>
          <t>7 - Event Tracking Parameters</t>
        </is>
      </c>
      <c r="G135" t="inlineStr">
        <is>
          <t>Transaction Date</t>
        </is>
      </c>
      <c r="H135" t="inlineStr">
        <is>
          <t>Confirm whether UI should show one generic Activity Date label or an activity-specific date label.</t>
        </is>
      </c>
      <c r="I135" t="inlineStr">
        <is>
          <t>Common date field for attribution sequencing, operational SLA reporting, and lead scoring time decay.</t>
        </is>
      </c>
    </row>
    <row r="136">
      <c r="A136" t="inlineStr">
        <is>
          <t>UC12</t>
        </is>
      </c>
      <c r="B136" t="inlineStr">
        <is>
          <t>UC12 1st Party Events Booth Sca</t>
        </is>
      </c>
      <c r="C136" t="inlineStr">
        <is>
          <t>Manual Uploads</t>
        </is>
      </c>
      <c r="D136" t="inlineStr">
        <is>
          <t>1st Party Events</t>
        </is>
      </c>
      <c r="E136" t="inlineStr">
        <is>
          <t>Booth Scan</t>
        </is>
      </c>
      <c r="F136" t="inlineStr">
        <is>
          <t>1 - System Classification</t>
        </is>
      </c>
      <c r="G136" t="inlineStr">
        <is>
          <t>Activity Type</t>
        </is>
      </c>
      <c r="H136" t="inlineStr">
        <is>
          <t>Confirm all Activity Types are captured</t>
        </is>
      </c>
      <c r="I136" t="inlineStr">
        <is>
          <t>Controls which fields are shown and how the activity maps to reporting/scoring.</t>
        </is>
      </c>
    </row>
    <row r="137">
      <c r="A137" t="inlineStr">
        <is>
          <t>UC12</t>
        </is>
      </c>
      <c r="B137" t="inlineStr">
        <is>
          <t>UC12 1st Party Events Booth Sca</t>
        </is>
      </c>
      <c r="C137" t="inlineStr">
        <is>
          <t>Manual Uploads</t>
        </is>
      </c>
      <c r="D137" t="inlineStr">
        <is>
          <t>1st Party Events</t>
        </is>
      </c>
      <c r="E137" t="inlineStr">
        <is>
          <t>Booth Scan</t>
        </is>
      </c>
      <c r="F137" t="inlineStr">
        <is>
          <t>1 - System Classification</t>
        </is>
      </c>
      <c r="G137" t="inlineStr">
        <is>
          <t>Use Case</t>
        </is>
      </c>
      <c r="H137" t="inlineStr">
        <is>
          <t>Confirm final list of use cases</t>
        </is>
      </c>
      <c r="I137" t="inlineStr">
        <is>
          <t>Controls the upload path, available activity and lead category types.</t>
        </is>
      </c>
    </row>
    <row r="138">
      <c r="A138" t="inlineStr">
        <is>
          <t>UC12</t>
        </is>
      </c>
      <c r="B138" t="inlineStr">
        <is>
          <t>UC12 1st Party Events Booth Sca</t>
        </is>
      </c>
      <c r="C138" t="inlineStr">
        <is>
          <t>Manual Uploads</t>
        </is>
      </c>
      <c r="D138" t="inlineStr">
        <is>
          <t>1st Party Events</t>
        </is>
      </c>
      <c r="E138" t="inlineStr">
        <is>
          <t>Booth Scan</t>
        </is>
      </c>
      <c r="F138" t="inlineStr">
        <is>
          <t>2 - Contact Identity</t>
        </is>
      </c>
      <c r="G138" t="inlineStr">
        <is>
          <t>Email</t>
        </is>
      </c>
      <c r="H138" t="inlineStr">
        <is>
          <t>Confirm whether business email is mandatory and personal email domains are allowed.</t>
        </is>
      </c>
      <c r="I138" t="inlineStr">
        <is>
          <t>Primary contact matching key for Eloqua/SFDC and deduplication.</t>
        </is>
      </c>
    </row>
    <row r="139">
      <c r="A139" t="inlineStr">
        <is>
          <t>UC12</t>
        </is>
      </c>
      <c r="B139" t="inlineStr">
        <is>
          <t>UC12 1st Party Events Booth Sca</t>
        </is>
      </c>
      <c r="C139" t="inlineStr">
        <is>
          <t>Manual Uploads</t>
        </is>
      </c>
      <c r="D139" t="inlineStr">
        <is>
          <t>1st Party Events</t>
        </is>
      </c>
      <c r="E139" t="inlineStr">
        <is>
          <t>Booth Scan</t>
        </is>
      </c>
      <c r="F139" t="inlineStr">
        <is>
          <t>2 - Contact Identity</t>
        </is>
      </c>
      <c r="G139" t="inlineStr">
        <is>
          <t>Company Name</t>
        </is>
      </c>
      <c r="H139" t="inlineStr">
        <is>
          <t>Confirm whether account matching requires domain, account ID, or company name only.</t>
        </is>
      </c>
      <c r="I139" t="inlineStr">
        <is>
          <t>Supports account matching, attribution, and funnel reporting.</t>
        </is>
      </c>
    </row>
    <row r="140">
      <c r="A140" t="inlineStr">
        <is>
          <t>UC12</t>
        </is>
      </c>
      <c r="B140" t="inlineStr">
        <is>
          <t>UC12 1st Party Events Booth Sca</t>
        </is>
      </c>
      <c r="C140" t="inlineStr">
        <is>
          <t>Manual Uploads</t>
        </is>
      </c>
      <c r="D140" t="inlineStr">
        <is>
          <t>1st Party Events</t>
        </is>
      </c>
      <c r="E140" t="inlineStr">
        <is>
          <t>Booth Scan</t>
        </is>
      </c>
      <c r="F140" t="inlineStr">
        <is>
          <t>3 - Account Identity</t>
        </is>
      </c>
      <c r="G140" t="inlineStr">
        <is>
          <t>Phone Extension</t>
        </is>
      </c>
      <c r="H140" t="inlineStr">
        <is>
          <t>Do we still need Extension for B&amp;S to auto dial?</t>
        </is>
      </c>
      <c r="I140" t="inlineStr">
        <is>
          <t>Excluded from standard performance reporting</t>
        </is>
      </c>
    </row>
    <row r="141">
      <c r="A141" t="inlineStr">
        <is>
          <t>UC12</t>
        </is>
      </c>
      <c r="B141" t="inlineStr">
        <is>
          <t>UC12 1st Party Events Booth Sca</t>
        </is>
      </c>
      <c r="C141" t="inlineStr">
        <is>
          <t>Manual Uploads</t>
        </is>
      </c>
      <c r="D141" t="inlineStr">
        <is>
          <t>1st Party Events</t>
        </is>
      </c>
      <c r="E141" t="inlineStr">
        <is>
          <t>Booth Scan</t>
        </is>
      </c>
      <c r="F141" t="inlineStr">
        <is>
          <t>3 - Account Identity</t>
        </is>
      </c>
      <c r="G141" t="inlineStr">
        <is>
          <t>Primary Phone Number</t>
        </is>
      </c>
      <c r="H141" t="inlineStr">
        <is>
          <t>OK to send if no phone number aligned?</t>
        </is>
      </c>
      <c r="I141" t="inlineStr">
        <is>
          <t>Excluded from standard performance reporting but essential for upstream Virtual Demand Center (VDC) follow-up; Phone number should not be passed to sell if localized or country-specific phone opt-out privacy rules apply</t>
        </is>
      </c>
    </row>
    <row r="142">
      <c r="A142" t="inlineStr">
        <is>
          <t>UC12</t>
        </is>
      </c>
      <c r="B142" t="inlineStr">
        <is>
          <t>UC12 1st Party Events Booth Sca</t>
        </is>
      </c>
      <c r="C142" t="inlineStr">
        <is>
          <t>Manual Uploads</t>
        </is>
      </c>
      <c r="D142" t="inlineStr">
        <is>
          <t>1st Party Events</t>
        </is>
      </c>
      <c r="E142" t="inlineStr">
        <is>
          <t>Booth Scan</t>
        </is>
      </c>
      <c r="F142" t="inlineStr">
        <is>
          <t>4 - Compliance / Permissions</t>
        </is>
      </c>
      <c r="G142" t="inlineStr">
        <is>
          <t>Email Opt-In Permission</t>
        </is>
      </c>
      <c r="H142" t="inlineStr">
        <is>
          <t>How should we deal with customer wanting to Opt Out - we see errors of N being added in error</t>
        </is>
      </c>
      <c r="I142" t="inlineStr">
        <is>
          <t>Supports consent, privacy, and compliance checks for manual-upload processing.</t>
        </is>
      </c>
    </row>
    <row r="143">
      <c r="A143" t="inlineStr">
        <is>
          <t>UC12</t>
        </is>
      </c>
      <c r="B143" t="inlineStr">
        <is>
          <t>UC12 1st Party Events Booth Sca</t>
        </is>
      </c>
      <c r="C143" t="inlineStr">
        <is>
          <t>Manual Uploads</t>
        </is>
      </c>
      <c r="D143" t="inlineStr">
        <is>
          <t>1st Party Events</t>
        </is>
      </c>
      <c r="E143" t="inlineStr">
        <is>
          <t>Booth Scan</t>
        </is>
      </c>
      <c r="F143" t="inlineStr">
        <is>
          <t>4 - Compliance / Permissions</t>
        </is>
      </c>
      <c r="G143" t="inlineStr">
        <is>
          <t>Primary Phone Opt-In Permission</t>
        </is>
      </c>
      <c r="H143" t="inlineStr">
        <is>
          <t>How should we deal with customer wanting to Opt Out - we see errors of N being added in error</t>
        </is>
      </c>
      <c r="I143" t="inlineStr">
        <is>
          <t>Supports consent, privacy, and compliance checks for manual-upload processing.</t>
        </is>
      </c>
    </row>
    <row r="144">
      <c r="A144" t="inlineStr">
        <is>
          <t>UC12</t>
        </is>
      </c>
      <c r="B144" t="inlineStr">
        <is>
          <t>UC12 1st Party Events Booth Sca</t>
        </is>
      </c>
      <c r="C144" t="inlineStr">
        <is>
          <t>Manual Uploads</t>
        </is>
      </c>
      <c r="D144" t="inlineStr">
        <is>
          <t>1st Party Events</t>
        </is>
      </c>
      <c r="E144" t="inlineStr">
        <is>
          <t>Booth Scan</t>
        </is>
      </c>
      <c r="F144" t="inlineStr">
        <is>
          <t>5 - Legacy Tracking Parameters</t>
        </is>
      </c>
      <c r="G144" t="inlineStr">
        <is>
          <t>Drive To ID</t>
        </is>
      </c>
      <c r="H144" t="inlineStr">
        <is>
          <t>Attribution is using EID to determine First and Third party Events - so I think we can retire DTID for Event Uploads</t>
        </is>
      </c>
      <c r="I144" t="inlineStr">
        <is>
          <t>Maintains legacy destination and drive-to reporting alignment during transition.</t>
        </is>
      </c>
    </row>
    <row r="145">
      <c r="A145" t="inlineStr">
        <is>
          <t>UC12</t>
        </is>
      </c>
      <c r="B145" t="inlineStr">
        <is>
          <t>UC12 1st Party Events Booth Sca</t>
        </is>
      </c>
      <c r="C145" t="inlineStr">
        <is>
          <t>Manual Uploads</t>
        </is>
      </c>
      <c r="D145" t="inlineStr">
        <is>
          <t>1st Party Events</t>
        </is>
      </c>
      <c r="E145" t="inlineStr">
        <is>
          <t>Booth Scan</t>
        </is>
      </c>
      <c r="F145" t="inlineStr">
        <is>
          <t>5 - Legacy Tracking Parameters</t>
        </is>
      </c>
      <c r="G145" t="inlineStr">
        <is>
          <t>Offer ID</t>
        </is>
      </c>
      <c r="H145" t="inlineStr">
        <is>
          <t>Think we should remove Offer ID from events</t>
        </is>
      </c>
    </row>
    <row r="146">
      <c r="A146" t="inlineStr">
        <is>
          <t>UC12</t>
        </is>
      </c>
      <c r="B146" t="inlineStr">
        <is>
          <t>UC12 1st Party Events Booth Sca</t>
        </is>
      </c>
      <c r="C146" t="inlineStr">
        <is>
          <t>Manual Uploads</t>
        </is>
      </c>
      <c r="D146" t="inlineStr">
        <is>
          <t>1st Party Events</t>
        </is>
      </c>
      <c r="E146" t="inlineStr">
        <is>
          <t>Booth Scan</t>
        </is>
      </c>
      <c r="F146" t="inlineStr">
        <is>
          <t>6 - Future Tracking Parameters</t>
        </is>
      </c>
      <c r="G146" t="inlineStr">
        <is>
          <t>Workfront Channel ID</t>
        </is>
      </c>
      <c r="H146" t="inlineStr">
        <is>
          <t>Will events data come from Workfront, or can all of this information come from the Global Events Table via the EID?</t>
        </is>
      </c>
      <c r="I146" t="inlineStr">
        <is>
          <t>Connects the upload to the Workfront channel taxonomy for durable operational and attribution alignment.</t>
        </is>
      </c>
    </row>
    <row r="147">
      <c r="A147" t="inlineStr">
        <is>
          <t>UC12</t>
        </is>
      </c>
      <c r="B147" t="inlineStr">
        <is>
          <t>UC12 1st Party Events Booth Sca</t>
        </is>
      </c>
      <c r="C147" t="inlineStr">
        <is>
          <t>Manual Uploads</t>
        </is>
      </c>
      <c r="D147" t="inlineStr">
        <is>
          <t>1st Party Events</t>
        </is>
      </c>
      <c r="E147" t="inlineStr">
        <is>
          <t>Booth Scan</t>
        </is>
      </c>
      <c r="F147" t="inlineStr">
        <is>
          <t>6 - Future Tracking Parameters</t>
        </is>
      </c>
      <c r="G147" t="inlineStr">
        <is>
          <t>Workfront Content ID</t>
        </is>
      </c>
      <c r="H147" t="inlineStr">
        <is>
          <t>Would the Event manual Upload use cases really capture a Workfront Content ID</t>
        </is>
      </c>
      <c r="I147" t="inlineStr">
        <is>
          <t>Connects the upload to the Workfront Content taxonomy for durable operational and attribution alignment.</t>
        </is>
      </c>
    </row>
    <row r="148">
      <c r="A148" t="inlineStr">
        <is>
          <t>UC12</t>
        </is>
      </c>
      <c r="B148" t="inlineStr">
        <is>
          <t>UC12 1st Party Events Booth Sca</t>
        </is>
      </c>
      <c r="C148" t="inlineStr">
        <is>
          <t>Manual Uploads</t>
        </is>
      </c>
      <c r="D148" t="inlineStr">
        <is>
          <t>1st Party Events</t>
        </is>
      </c>
      <c r="E148" t="inlineStr">
        <is>
          <t>Booth Scan</t>
        </is>
      </c>
      <c r="F148" t="inlineStr">
        <is>
          <t>6 - Future Tracking Parameters</t>
        </is>
      </c>
      <c r="G148" t="inlineStr">
        <is>
          <t>Content Type</t>
        </is>
      </c>
      <c r="H148" t="inlineStr">
        <is>
          <t>This field relates to Web Content Type, Webinar Type and Event Type from Workfront.</t>
        </is>
      </c>
      <c r="I148" t="inlineStr">
        <is>
          <t>Identifies the content classification for future attribution, operational, and funnel reporting aligned to Workfront Content ID.</t>
        </is>
      </c>
    </row>
    <row r="149">
      <c r="A149" t="inlineStr">
        <is>
          <t>UC12</t>
        </is>
      </c>
      <c r="B149" t="inlineStr">
        <is>
          <t>UC12 1st Party Events Booth Sca</t>
        </is>
      </c>
      <c r="C149" t="inlineStr">
        <is>
          <t>Manual Uploads</t>
        </is>
      </c>
      <c r="D149" t="inlineStr">
        <is>
          <t>1st Party Events</t>
        </is>
      </c>
      <c r="E149" t="inlineStr">
        <is>
          <t>Booth Scan</t>
        </is>
      </c>
      <c r="F149" t="inlineStr">
        <is>
          <t>7 - Event Tracking Parameters</t>
        </is>
      </c>
      <c r="G149" t="inlineStr">
        <is>
          <t>Event ID / EID</t>
        </is>
      </c>
      <c r="H149" t="inlineStr">
        <is>
          <t>Confirm uploader has this value before upload.
Need rules to ensure 1st Party Data has not already been captured via Cvent or Rainfocus</t>
        </is>
      </c>
      <c r="I149" t="inlineStr">
        <is>
          <t>Primary lookup key for attribution, operational reporting, and Global Events Table enrichment. MRF should capture the same fields as Workfront</t>
        </is>
      </c>
    </row>
    <row r="150">
      <c r="A150" t="inlineStr">
        <is>
          <t>UC12</t>
        </is>
      </c>
      <c r="B150" t="inlineStr">
        <is>
          <t>UC12 1st Party Events Booth Sca</t>
        </is>
      </c>
      <c r="C150" t="inlineStr">
        <is>
          <t>Manual Uploads</t>
        </is>
      </c>
      <c r="D150" t="inlineStr">
        <is>
          <t>1st Party Events</t>
        </is>
      </c>
      <c r="E150" t="inlineStr">
        <is>
          <t>Booth Scan</t>
        </is>
      </c>
      <c r="F150" t="inlineStr">
        <is>
          <t>7 - Event Tracking Parameters</t>
        </is>
      </c>
      <c r="G150" t="inlineStr">
        <is>
          <t>Event Attended</t>
        </is>
      </c>
      <c r="H150" t="inlineStr">
        <is>
          <t>Will adding an attended Booth Value double up the attendance values?</t>
        </is>
      </c>
      <c r="I150" t="inlineStr">
        <is>
          <t>Supports activity context, seller follow-up, and operational validation.</t>
        </is>
      </c>
    </row>
    <row r="151">
      <c r="A151" t="inlineStr">
        <is>
          <t>UC12</t>
        </is>
      </c>
      <c r="B151" t="inlineStr">
        <is>
          <t>UC12 1st Party Events Booth Sca</t>
        </is>
      </c>
      <c r="C151" t="inlineStr">
        <is>
          <t>Manual Uploads</t>
        </is>
      </c>
      <c r="D151" t="inlineStr">
        <is>
          <t>1st Party Events</t>
        </is>
      </c>
      <c r="E151" t="inlineStr">
        <is>
          <t>Booth Scan</t>
        </is>
      </c>
      <c r="F151" t="inlineStr">
        <is>
          <t>7 - Event Tracking Parameters</t>
        </is>
      </c>
      <c r="G151" t="inlineStr">
        <is>
          <t>Booth Name / Location</t>
        </is>
      </c>
      <c r="H151" t="inlineStr">
        <is>
          <t>How will we know the Booth Name? is it of any use in the events data set?</t>
        </is>
      </c>
      <c r="I151" t="inlineStr">
        <is>
          <t>Supports booth traffic and scanner utilization reporting.</t>
        </is>
      </c>
    </row>
    <row r="152">
      <c r="A152" t="inlineStr">
        <is>
          <t>UC12</t>
        </is>
      </c>
      <c r="B152" t="inlineStr">
        <is>
          <t>UC12 1st Party Events Booth Sca</t>
        </is>
      </c>
      <c r="C152" t="inlineStr">
        <is>
          <t>Manual Uploads</t>
        </is>
      </c>
      <c r="D152" t="inlineStr">
        <is>
          <t>1st Party Events</t>
        </is>
      </c>
      <c r="E152" t="inlineStr">
        <is>
          <t>Booth Scan</t>
        </is>
      </c>
      <c r="F152" t="inlineStr">
        <is>
          <t>7 - Event Tracking Parameters</t>
        </is>
      </c>
      <c r="G152" t="inlineStr">
        <is>
          <t>Booth Scan Date</t>
        </is>
      </c>
      <c r="H152" t="inlineStr">
        <is>
          <t>Will adding an attended Booth Value double up the attendance values?</t>
        </is>
      </c>
      <c r="I152" t="inlineStr">
        <is>
          <t>Supports floor traffic reporting, attribution sequencing, and scoring time decay.</t>
        </is>
      </c>
    </row>
    <row r="153">
      <c r="A153" t="inlineStr">
        <is>
          <t>UC12</t>
        </is>
      </c>
      <c r="B153" t="inlineStr">
        <is>
          <t>UC12 1st Party Events Booth Sca</t>
        </is>
      </c>
      <c r="C153" t="inlineStr">
        <is>
          <t>Manual Uploads</t>
        </is>
      </c>
      <c r="D153" t="inlineStr">
        <is>
          <t>1st Party Events</t>
        </is>
      </c>
      <c r="E153" t="inlineStr">
        <is>
          <t>Booth Scan</t>
        </is>
      </c>
      <c r="F153" t="inlineStr">
        <is>
          <t>7 - Event Tracking Parameters</t>
        </is>
      </c>
      <c r="G153" t="inlineStr">
        <is>
          <t>Customer Comments</t>
        </is>
      </c>
      <c r="H153" t="inlineStr">
        <is>
          <t>Do we really need this for Non Hand Raisers</t>
        </is>
      </c>
    </row>
    <row r="154">
      <c r="A154" t="inlineStr">
        <is>
          <t>UC13</t>
        </is>
      </c>
      <c r="B154" t="inlineStr">
        <is>
          <t>UC13 1st Party Events Registere</t>
        </is>
      </c>
      <c r="C154" t="inlineStr">
        <is>
          <t>Manual Uploads</t>
        </is>
      </c>
      <c r="D154" t="inlineStr">
        <is>
          <t>1st Party Events</t>
        </is>
      </c>
      <c r="E154" t="inlineStr">
        <is>
          <t>Registered</t>
        </is>
      </c>
      <c r="F154" t="inlineStr">
        <is>
          <t>1 - System Classification</t>
        </is>
      </c>
      <c r="G154" t="inlineStr">
        <is>
          <t>Activity Type</t>
        </is>
      </c>
      <c r="H154" t="inlineStr">
        <is>
          <t>Confirm all Activity Types are captured</t>
        </is>
      </c>
      <c r="I154" t="inlineStr">
        <is>
          <t>Controls which fields are shown and how the activity maps to reporting/scoring.</t>
        </is>
      </c>
    </row>
    <row r="155">
      <c r="A155" t="inlineStr">
        <is>
          <t>UC13</t>
        </is>
      </c>
      <c r="B155" t="inlineStr">
        <is>
          <t>UC13 1st Party Events Registere</t>
        </is>
      </c>
      <c r="C155" t="inlineStr">
        <is>
          <t>Manual Uploads</t>
        </is>
      </c>
      <c r="D155" t="inlineStr">
        <is>
          <t>1st Party Events</t>
        </is>
      </c>
      <c r="E155" t="inlineStr">
        <is>
          <t>Registered</t>
        </is>
      </c>
      <c r="F155" t="inlineStr">
        <is>
          <t>1 - System Classification</t>
        </is>
      </c>
      <c r="G155" t="inlineStr">
        <is>
          <t>Use Case</t>
        </is>
      </c>
      <c r="H155" t="inlineStr">
        <is>
          <t>Confirm final list of use cases</t>
        </is>
      </c>
      <c r="I155" t="inlineStr">
        <is>
          <t>Controls the upload path, available activity and lead category types.</t>
        </is>
      </c>
    </row>
    <row r="156">
      <c r="A156" t="inlineStr">
        <is>
          <t>UC13</t>
        </is>
      </c>
      <c r="B156" t="inlineStr">
        <is>
          <t>UC13 1st Party Events Registere</t>
        </is>
      </c>
      <c r="C156" t="inlineStr">
        <is>
          <t>Manual Uploads</t>
        </is>
      </c>
      <c r="D156" t="inlineStr">
        <is>
          <t>1st Party Events</t>
        </is>
      </c>
      <c r="E156" t="inlineStr">
        <is>
          <t>Registered</t>
        </is>
      </c>
      <c r="F156" t="inlineStr">
        <is>
          <t>2 - Contact Identity</t>
        </is>
      </c>
      <c r="G156" t="inlineStr">
        <is>
          <t>Email</t>
        </is>
      </c>
      <c r="H156" t="inlineStr">
        <is>
          <t>Confirm whether business email is mandatory and personal email domains are allowed.</t>
        </is>
      </c>
      <c r="I156" t="inlineStr">
        <is>
          <t>Primary contact matching key for Eloqua/SFDC and deduplication.</t>
        </is>
      </c>
    </row>
    <row r="157">
      <c r="A157" t="inlineStr">
        <is>
          <t>UC13</t>
        </is>
      </c>
      <c r="B157" t="inlineStr">
        <is>
          <t>UC13 1st Party Events Registere</t>
        </is>
      </c>
      <c r="C157" t="inlineStr">
        <is>
          <t>Manual Uploads</t>
        </is>
      </c>
      <c r="D157" t="inlineStr">
        <is>
          <t>1st Party Events</t>
        </is>
      </c>
      <c r="E157" t="inlineStr">
        <is>
          <t>Registered</t>
        </is>
      </c>
      <c r="F157" t="inlineStr">
        <is>
          <t>2 - Contact Identity</t>
        </is>
      </c>
      <c r="G157" t="inlineStr">
        <is>
          <t>Company Name</t>
        </is>
      </c>
      <c r="H157" t="inlineStr">
        <is>
          <t>Confirm whether account matching requires domain, account ID, or company name only.</t>
        </is>
      </c>
      <c r="I157" t="inlineStr">
        <is>
          <t>Supports account matching, attribution, and funnel reporting.</t>
        </is>
      </c>
    </row>
    <row r="158">
      <c r="A158" t="inlineStr">
        <is>
          <t>UC13</t>
        </is>
      </c>
      <c r="B158" t="inlineStr">
        <is>
          <t>UC13 1st Party Events Registere</t>
        </is>
      </c>
      <c r="C158" t="inlineStr">
        <is>
          <t>Manual Uploads</t>
        </is>
      </c>
      <c r="D158" t="inlineStr">
        <is>
          <t>1st Party Events</t>
        </is>
      </c>
      <c r="E158" t="inlineStr">
        <is>
          <t>Registered</t>
        </is>
      </c>
      <c r="F158" t="inlineStr">
        <is>
          <t>3 - Account Identity</t>
        </is>
      </c>
      <c r="G158" t="inlineStr">
        <is>
          <t>Phone Extension</t>
        </is>
      </c>
      <c r="H158" t="inlineStr">
        <is>
          <t>Do we still need Extension for B&amp;S to auto dial?</t>
        </is>
      </c>
      <c r="I158" t="inlineStr">
        <is>
          <t>Excluded from standard performance reporting</t>
        </is>
      </c>
    </row>
    <row r="159">
      <c r="A159" t="inlineStr">
        <is>
          <t>UC13</t>
        </is>
      </c>
      <c r="B159" t="inlineStr">
        <is>
          <t>UC13 1st Party Events Registere</t>
        </is>
      </c>
      <c r="C159" t="inlineStr">
        <is>
          <t>Manual Uploads</t>
        </is>
      </c>
      <c r="D159" t="inlineStr">
        <is>
          <t>1st Party Events</t>
        </is>
      </c>
      <c r="E159" t="inlineStr">
        <is>
          <t>Registered</t>
        </is>
      </c>
      <c r="F159" t="inlineStr">
        <is>
          <t>3 - Account Identity</t>
        </is>
      </c>
      <c r="G159" t="inlineStr">
        <is>
          <t>Primary Phone Number</t>
        </is>
      </c>
      <c r="H159" t="inlineStr">
        <is>
          <t>OK to send if no phone number aligned?</t>
        </is>
      </c>
      <c r="I159" t="inlineStr">
        <is>
          <t>Excluded from standard performance reporting but essential for upstream Virtual Demand Center (VDC) follow-up; Phone number should not be passed to sell if localized or country-specific phone opt-out privacy rules apply</t>
        </is>
      </c>
    </row>
    <row r="160">
      <c r="A160" t="inlineStr">
        <is>
          <t>UC13</t>
        </is>
      </c>
      <c r="B160" t="inlineStr">
        <is>
          <t>UC13 1st Party Events Registere</t>
        </is>
      </c>
      <c r="C160" t="inlineStr">
        <is>
          <t>Manual Uploads</t>
        </is>
      </c>
      <c r="D160" t="inlineStr">
        <is>
          <t>1st Party Events</t>
        </is>
      </c>
      <c r="E160" t="inlineStr">
        <is>
          <t>Registered</t>
        </is>
      </c>
      <c r="F160" t="inlineStr">
        <is>
          <t>4 - Compliance / Permissions</t>
        </is>
      </c>
      <c r="G160" t="inlineStr">
        <is>
          <t>Email Opt-In Permission</t>
        </is>
      </c>
      <c r="H160" t="inlineStr">
        <is>
          <t>How should we deal with customer wanting to Opt Out - we see errors of N being added in error</t>
        </is>
      </c>
      <c r="I160" t="inlineStr">
        <is>
          <t>Supports consent, privacy, and compliance checks for manual-upload processing.</t>
        </is>
      </c>
    </row>
    <row r="161">
      <c r="A161" t="inlineStr">
        <is>
          <t>UC13</t>
        </is>
      </c>
      <c r="B161" t="inlineStr">
        <is>
          <t>UC13 1st Party Events Registere</t>
        </is>
      </c>
      <c r="C161" t="inlineStr">
        <is>
          <t>Manual Uploads</t>
        </is>
      </c>
      <c r="D161" t="inlineStr">
        <is>
          <t>1st Party Events</t>
        </is>
      </c>
      <c r="E161" t="inlineStr">
        <is>
          <t>Registered</t>
        </is>
      </c>
      <c r="F161" t="inlineStr">
        <is>
          <t>4 - Compliance / Permissions</t>
        </is>
      </c>
      <c r="G161" t="inlineStr">
        <is>
          <t>Primary Phone Opt-In Permission</t>
        </is>
      </c>
      <c r="H161" t="inlineStr">
        <is>
          <t>How should we deal with customer wanting to Opt Out - we see errors of N being added in error</t>
        </is>
      </c>
      <c r="I161" t="inlineStr">
        <is>
          <t>Supports consent, privacy, and compliance checks for manual-upload processing.</t>
        </is>
      </c>
    </row>
    <row r="162">
      <c r="A162" t="inlineStr">
        <is>
          <t>UC13</t>
        </is>
      </c>
      <c r="B162" t="inlineStr">
        <is>
          <t>UC13 1st Party Events Registere</t>
        </is>
      </c>
      <c r="C162" t="inlineStr">
        <is>
          <t>Manual Uploads</t>
        </is>
      </c>
      <c r="D162" t="inlineStr">
        <is>
          <t>1st Party Events</t>
        </is>
      </c>
      <c r="E162" t="inlineStr">
        <is>
          <t>Registered</t>
        </is>
      </c>
      <c r="F162" t="inlineStr">
        <is>
          <t>5 - Legacy Tracking Parameters</t>
        </is>
      </c>
      <c r="G162" t="inlineStr">
        <is>
          <t>Drive To ID</t>
        </is>
      </c>
      <c r="H162" t="inlineStr">
        <is>
          <t>Attribution is using EID to determine First and Third party Events - so I think we can retire DTID for Event Uploads</t>
        </is>
      </c>
      <c r="I162" t="inlineStr">
        <is>
          <t>Maintains legacy destination and drive-to reporting alignment during transition.</t>
        </is>
      </c>
    </row>
    <row r="163">
      <c r="A163" t="inlineStr">
        <is>
          <t>UC13</t>
        </is>
      </c>
      <c r="B163" t="inlineStr">
        <is>
          <t>UC13 1st Party Events Registere</t>
        </is>
      </c>
      <c r="C163" t="inlineStr">
        <is>
          <t>Manual Uploads</t>
        </is>
      </c>
      <c r="D163" t="inlineStr">
        <is>
          <t>1st Party Events</t>
        </is>
      </c>
      <c r="E163" t="inlineStr">
        <is>
          <t>Registered</t>
        </is>
      </c>
      <c r="F163" t="inlineStr">
        <is>
          <t>5 - Legacy Tracking Parameters</t>
        </is>
      </c>
      <c r="G163" t="inlineStr">
        <is>
          <t>Offer ID</t>
        </is>
      </c>
      <c r="H163" t="inlineStr">
        <is>
          <t>Think we should remove Offer ID from events</t>
        </is>
      </c>
    </row>
    <row r="164">
      <c r="A164" t="inlineStr">
        <is>
          <t>UC13</t>
        </is>
      </c>
      <c r="B164" t="inlineStr">
        <is>
          <t>UC13 1st Party Events Registere</t>
        </is>
      </c>
      <c r="C164" t="inlineStr">
        <is>
          <t>Manual Uploads</t>
        </is>
      </c>
      <c r="D164" t="inlineStr">
        <is>
          <t>1st Party Events</t>
        </is>
      </c>
      <c r="E164" t="inlineStr">
        <is>
          <t>Registered</t>
        </is>
      </c>
      <c r="F164" t="inlineStr">
        <is>
          <t>6 - Future Tracking Parameters</t>
        </is>
      </c>
      <c r="G164" t="inlineStr">
        <is>
          <t>Workfront Channel ID</t>
        </is>
      </c>
      <c r="H164" t="inlineStr">
        <is>
          <t>Will events data come from Workfront, or can all of this information come from the Global Events Table via the EID?</t>
        </is>
      </c>
      <c r="I164" t="inlineStr">
        <is>
          <t>Connects the upload to the Workfront channel taxonomy for durable operational and attribution alignment.</t>
        </is>
      </c>
    </row>
    <row r="165">
      <c r="A165" t="inlineStr">
        <is>
          <t>UC13</t>
        </is>
      </c>
      <c r="B165" t="inlineStr">
        <is>
          <t>UC13 1st Party Events Registere</t>
        </is>
      </c>
      <c r="C165" t="inlineStr">
        <is>
          <t>Manual Uploads</t>
        </is>
      </c>
      <c r="D165" t="inlineStr">
        <is>
          <t>1st Party Events</t>
        </is>
      </c>
      <c r="E165" t="inlineStr">
        <is>
          <t>Registered</t>
        </is>
      </c>
      <c r="F165" t="inlineStr">
        <is>
          <t>6 - Future Tracking Parameters</t>
        </is>
      </c>
      <c r="G165" t="inlineStr">
        <is>
          <t>Workfront Content ID</t>
        </is>
      </c>
      <c r="H165" t="inlineStr">
        <is>
          <t>Would the Event manual Upload use cases really capture a Workfront Content ID</t>
        </is>
      </c>
      <c r="I165" t="inlineStr">
        <is>
          <t>Connects the upload to the Workfront Content taxonomy for durable operational and attribution alignment.</t>
        </is>
      </c>
    </row>
    <row r="166">
      <c r="A166" t="inlineStr">
        <is>
          <t>UC13</t>
        </is>
      </c>
      <c r="B166" t="inlineStr">
        <is>
          <t>UC13 1st Party Events Registere</t>
        </is>
      </c>
      <c r="C166" t="inlineStr">
        <is>
          <t>Manual Uploads</t>
        </is>
      </c>
      <c r="D166" t="inlineStr">
        <is>
          <t>1st Party Events</t>
        </is>
      </c>
      <c r="E166" t="inlineStr">
        <is>
          <t>Registered</t>
        </is>
      </c>
      <c r="F166" t="inlineStr">
        <is>
          <t>6 - Future Tracking Parameters</t>
        </is>
      </c>
      <c r="G166" t="inlineStr">
        <is>
          <t>Content Type</t>
        </is>
      </c>
      <c r="H166" t="inlineStr">
        <is>
          <t>This field relates to Web Content Type, Webinar Type and Event Type from Workfront.</t>
        </is>
      </c>
      <c r="I166" t="inlineStr">
        <is>
          <t>Identifies the content classification for future attribution, operational, and funnel reporting aligned to Workfront Content ID.</t>
        </is>
      </c>
    </row>
    <row r="167">
      <c r="A167" t="inlineStr">
        <is>
          <t>UC13</t>
        </is>
      </c>
      <c r="B167" t="inlineStr">
        <is>
          <t>UC13 1st Party Events Registere</t>
        </is>
      </c>
      <c r="C167" t="inlineStr">
        <is>
          <t>Manual Uploads</t>
        </is>
      </c>
      <c r="D167" t="inlineStr">
        <is>
          <t>1st Party Events</t>
        </is>
      </c>
      <c r="E167" t="inlineStr">
        <is>
          <t>Registered</t>
        </is>
      </c>
      <c r="F167" t="inlineStr">
        <is>
          <t>7 - Event Tracking Parameters</t>
        </is>
      </c>
      <c r="G167" t="inlineStr">
        <is>
          <t>Event ID / EID</t>
        </is>
      </c>
      <c r="H167" t="inlineStr">
        <is>
          <t>Confirm uploader has this value before upload.
Need rules to ensure 1st Party Data has not already been captured via Cvent or Rainfocus</t>
        </is>
      </c>
      <c r="I167" t="inlineStr">
        <is>
          <t>Primary lookup key for attribution, operational reporting, and Global Events Table enrichment. MRF should capture the same fields as Workfront</t>
        </is>
      </c>
    </row>
    <row r="168">
      <c r="A168" t="inlineStr">
        <is>
          <t>UC13</t>
        </is>
      </c>
      <c r="B168" t="inlineStr">
        <is>
          <t>UC13 1st Party Events Registere</t>
        </is>
      </c>
      <c r="C168" t="inlineStr">
        <is>
          <t>Manual Uploads</t>
        </is>
      </c>
      <c r="D168" t="inlineStr">
        <is>
          <t>1st Party Events</t>
        </is>
      </c>
      <c r="E168" t="inlineStr">
        <is>
          <t>Registered</t>
        </is>
      </c>
      <c r="F168" t="inlineStr">
        <is>
          <t>7 - Event Tracking Parameters</t>
        </is>
      </c>
      <c r="G168" t="inlineStr">
        <is>
          <t>Registration Date</t>
        </is>
      </c>
      <c r="H168" t="inlineStr">
        <is>
          <t>OK to use Transaction Date</t>
        </is>
      </c>
    </row>
    <row r="169">
      <c r="A169" t="inlineStr">
        <is>
          <t>UC13</t>
        </is>
      </c>
      <c r="B169" t="inlineStr">
        <is>
          <t>UC13 1st Party Events Registere</t>
        </is>
      </c>
      <c r="C169" t="inlineStr">
        <is>
          <t>Manual Uploads</t>
        </is>
      </c>
      <c r="D169" t="inlineStr">
        <is>
          <t>1st Party Events</t>
        </is>
      </c>
      <c r="E169" t="inlineStr">
        <is>
          <t>Registered</t>
        </is>
      </c>
      <c r="F169" t="inlineStr">
        <is>
          <t>7 - Event Tracking Parameters</t>
        </is>
      </c>
      <c r="G169" t="inlineStr">
        <is>
          <t>Customer Comments</t>
        </is>
      </c>
      <c r="H169" t="inlineStr">
        <is>
          <t>Do we need Comments for Non Hand Raisers?</t>
        </is>
      </c>
    </row>
    <row r="170">
      <c r="A170" t="inlineStr">
        <is>
          <t>UC14</t>
        </is>
      </c>
      <c r="B170" t="inlineStr">
        <is>
          <t xml:space="preserve">UC14 3rd Party Events Attended </t>
        </is>
      </c>
      <c r="C170" t="inlineStr">
        <is>
          <t>Manual Uploads</t>
        </is>
      </c>
      <c r="D170" t="inlineStr">
        <is>
          <t>3rd Party Events</t>
        </is>
      </c>
      <c r="E170" t="inlineStr">
        <is>
          <t>Attended CXO Event</t>
        </is>
      </c>
      <c r="F170" t="inlineStr">
        <is>
          <t>1 - System Classification</t>
        </is>
      </c>
      <c r="G170" t="inlineStr">
        <is>
          <t>Activity Type</t>
        </is>
      </c>
      <c r="H170" t="inlineStr">
        <is>
          <t>Confirm all Activity Types are captured</t>
        </is>
      </c>
      <c r="I170" t="inlineStr">
        <is>
          <t>Controls which fields are shown and how the activity maps to reporting/scoring.</t>
        </is>
      </c>
    </row>
    <row r="171">
      <c r="A171" t="inlineStr">
        <is>
          <t>UC14</t>
        </is>
      </c>
      <c r="B171" t="inlineStr">
        <is>
          <t xml:space="preserve">UC14 3rd Party Events Attended </t>
        </is>
      </c>
      <c r="C171" t="inlineStr">
        <is>
          <t>Manual Uploads</t>
        </is>
      </c>
      <c r="D171" t="inlineStr">
        <is>
          <t>3rd Party Events</t>
        </is>
      </c>
      <c r="E171" t="inlineStr">
        <is>
          <t>Attended CXO Event</t>
        </is>
      </c>
      <c r="F171" t="inlineStr">
        <is>
          <t>1 - System Classification</t>
        </is>
      </c>
      <c r="G171" t="inlineStr">
        <is>
          <t>Use Case</t>
        </is>
      </c>
      <c r="H171" t="inlineStr">
        <is>
          <t>Confirm final list of use cases</t>
        </is>
      </c>
      <c r="I171" t="inlineStr">
        <is>
          <t>Controls the upload path, available activity and lead category types.</t>
        </is>
      </c>
    </row>
    <row r="172">
      <c r="A172" t="inlineStr">
        <is>
          <t>UC14</t>
        </is>
      </c>
      <c r="B172" t="inlineStr">
        <is>
          <t xml:space="preserve">UC14 3rd Party Events Attended </t>
        </is>
      </c>
      <c r="C172" t="inlineStr">
        <is>
          <t>Manual Uploads</t>
        </is>
      </c>
      <c r="D172" t="inlineStr">
        <is>
          <t>3rd Party Events</t>
        </is>
      </c>
      <c r="E172" t="inlineStr">
        <is>
          <t>Attended CXO Event</t>
        </is>
      </c>
      <c r="F172" t="inlineStr">
        <is>
          <t>2 - Contact Identity</t>
        </is>
      </c>
      <c r="G172" t="inlineStr">
        <is>
          <t>Email</t>
        </is>
      </c>
      <c r="H172" t="inlineStr">
        <is>
          <t>Confirm whether business email is mandatory and personal email domains are allowed.</t>
        </is>
      </c>
      <c r="I172" t="inlineStr">
        <is>
          <t>Primary contact matching key for Eloqua/SFDC and deduplication.</t>
        </is>
      </c>
    </row>
    <row r="173">
      <c r="A173" t="inlineStr">
        <is>
          <t>UC14</t>
        </is>
      </c>
      <c r="B173" t="inlineStr">
        <is>
          <t xml:space="preserve">UC14 3rd Party Events Attended </t>
        </is>
      </c>
      <c r="C173" t="inlineStr">
        <is>
          <t>Manual Uploads</t>
        </is>
      </c>
      <c r="D173" t="inlineStr">
        <is>
          <t>3rd Party Events</t>
        </is>
      </c>
      <c r="E173" t="inlineStr">
        <is>
          <t>Attended CXO Event</t>
        </is>
      </c>
      <c r="F173" t="inlineStr">
        <is>
          <t>2 - Contact Identity</t>
        </is>
      </c>
      <c r="G173" t="inlineStr">
        <is>
          <t>Company Name</t>
        </is>
      </c>
      <c r="H173" t="inlineStr">
        <is>
          <t>Confirm whether account matching requires domain, account ID, or company name only.</t>
        </is>
      </c>
      <c r="I173" t="inlineStr">
        <is>
          <t>Supports account matching, attribution, and funnel reporting.</t>
        </is>
      </c>
    </row>
    <row r="174">
      <c r="A174" t="inlineStr">
        <is>
          <t>UC14</t>
        </is>
      </c>
      <c r="B174" t="inlineStr">
        <is>
          <t xml:space="preserve">UC14 3rd Party Events Attended </t>
        </is>
      </c>
      <c r="C174" t="inlineStr">
        <is>
          <t>Manual Uploads</t>
        </is>
      </c>
      <c r="D174" t="inlineStr">
        <is>
          <t>3rd Party Events</t>
        </is>
      </c>
      <c r="E174" t="inlineStr">
        <is>
          <t>Attended CXO Event</t>
        </is>
      </c>
      <c r="F174" t="inlineStr">
        <is>
          <t>3 - Account Identity</t>
        </is>
      </c>
      <c r="G174" t="inlineStr">
        <is>
          <t>Phone Extension</t>
        </is>
      </c>
      <c r="H174" t="inlineStr">
        <is>
          <t>Do we still need Extension for B&amp;S to auto dial?</t>
        </is>
      </c>
      <c r="I174" t="inlineStr">
        <is>
          <t>Excluded from standard performance reporting</t>
        </is>
      </c>
    </row>
    <row r="175">
      <c r="A175" t="inlineStr">
        <is>
          <t>UC14</t>
        </is>
      </c>
      <c r="B175" t="inlineStr">
        <is>
          <t xml:space="preserve">UC14 3rd Party Events Attended </t>
        </is>
      </c>
      <c r="C175" t="inlineStr">
        <is>
          <t>Manual Uploads</t>
        </is>
      </c>
      <c r="D175" t="inlineStr">
        <is>
          <t>3rd Party Events</t>
        </is>
      </c>
      <c r="E175" t="inlineStr">
        <is>
          <t>Attended CXO Event</t>
        </is>
      </c>
      <c r="F175" t="inlineStr">
        <is>
          <t>3 - Account Identity</t>
        </is>
      </c>
      <c r="G175" t="inlineStr">
        <is>
          <t>Primary Phone Number</t>
        </is>
      </c>
      <c r="H175" t="inlineStr">
        <is>
          <t>OK to send if no phone number aligned?</t>
        </is>
      </c>
      <c r="I175" t="inlineStr">
        <is>
          <t>Excluded from standard performance reporting but essential for upstream Virtual Demand Center (VDC) follow-up; Phone number should not be passed to sell if localized or country-specific phone opt-out privacy rules apply</t>
        </is>
      </c>
    </row>
    <row r="176">
      <c r="A176" t="inlineStr">
        <is>
          <t>UC14</t>
        </is>
      </c>
      <c r="B176" t="inlineStr">
        <is>
          <t xml:space="preserve">UC14 3rd Party Events Attended </t>
        </is>
      </c>
      <c r="C176" t="inlineStr">
        <is>
          <t>Manual Uploads</t>
        </is>
      </c>
      <c r="D176" t="inlineStr">
        <is>
          <t>3rd Party Events</t>
        </is>
      </c>
      <c r="E176" t="inlineStr">
        <is>
          <t>Attended CXO Event</t>
        </is>
      </c>
      <c r="F176" t="inlineStr">
        <is>
          <t>4 - Compliance / Permissions</t>
        </is>
      </c>
      <c r="G176" t="inlineStr">
        <is>
          <t>Email Opt-In Permission</t>
        </is>
      </c>
      <c r="H176" t="inlineStr">
        <is>
          <t>How should we deal with customer wanting to Opt Out - we see errors of N being added in error</t>
        </is>
      </c>
      <c r="I176" t="inlineStr">
        <is>
          <t>Supports consent, privacy, and compliance checks for manual-upload processing.</t>
        </is>
      </c>
    </row>
    <row r="177">
      <c r="A177" t="inlineStr">
        <is>
          <t>UC14</t>
        </is>
      </c>
      <c r="B177" t="inlineStr">
        <is>
          <t xml:space="preserve">UC14 3rd Party Events Attended </t>
        </is>
      </c>
      <c r="C177" t="inlineStr">
        <is>
          <t>Manual Uploads</t>
        </is>
      </c>
      <c r="D177" t="inlineStr">
        <is>
          <t>3rd Party Events</t>
        </is>
      </c>
      <c r="E177" t="inlineStr">
        <is>
          <t>Attended CXO Event</t>
        </is>
      </c>
      <c r="F177" t="inlineStr">
        <is>
          <t>4 - Compliance / Permissions</t>
        </is>
      </c>
      <c r="G177" t="inlineStr">
        <is>
          <t>Primary Phone Opt-In Permission</t>
        </is>
      </c>
      <c r="H177" t="inlineStr">
        <is>
          <t>How should we deal with customer wanting to Opt Out - we see errors of N being added in error</t>
        </is>
      </c>
      <c r="I177" t="inlineStr">
        <is>
          <t>Supports consent, privacy, and compliance checks for manual-upload processing.</t>
        </is>
      </c>
    </row>
    <row r="178">
      <c r="A178" t="inlineStr">
        <is>
          <t>UC14</t>
        </is>
      </c>
      <c r="B178" t="inlineStr">
        <is>
          <t xml:space="preserve">UC14 3rd Party Events Attended </t>
        </is>
      </c>
      <c r="C178" t="inlineStr">
        <is>
          <t>Manual Uploads</t>
        </is>
      </c>
      <c r="D178" t="inlineStr">
        <is>
          <t>3rd Party Events</t>
        </is>
      </c>
      <c r="E178" t="inlineStr">
        <is>
          <t>Attended CXO Event</t>
        </is>
      </c>
      <c r="F178" t="inlineStr">
        <is>
          <t>5 - Legacy Tracking Parameters</t>
        </is>
      </c>
      <c r="G178" t="inlineStr">
        <is>
          <t>Drive To ID</t>
        </is>
      </c>
      <c r="H178" t="inlineStr">
        <is>
          <t>Attribution is using EID to determine First and Third party Events - so I think we can retire DTID for Event Uploads</t>
        </is>
      </c>
      <c r="I178" t="inlineStr">
        <is>
          <t>Maintains legacy destination and drive-to reporting alignment during transition.</t>
        </is>
      </c>
    </row>
    <row r="179">
      <c r="A179" t="inlineStr">
        <is>
          <t>UC14</t>
        </is>
      </c>
      <c r="B179" t="inlineStr">
        <is>
          <t xml:space="preserve">UC14 3rd Party Events Attended </t>
        </is>
      </c>
      <c r="C179" t="inlineStr">
        <is>
          <t>Manual Uploads</t>
        </is>
      </c>
      <c r="D179" t="inlineStr">
        <is>
          <t>3rd Party Events</t>
        </is>
      </c>
      <c r="E179" t="inlineStr">
        <is>
          <t>Attended CXO Event</t>
        </is>
      </c>
      <c r="F179" t="inlineStr">
        <is>
          <t>5 - Legacy Tracking Parameters</t>
        </is>
      </c>
      <c r="G179" t="inlineStr">
        <is>
          <t>Offer ID</t>
        </is>
      </c>
      <c r="H179" t="inlineStr">
        <is>
          <t>Think we should remove Offer ID from events</t>
        </is>
      </c>
    </row>
    <row r="180">
      <c r="A180" t="inlineStr">
        <is>
          <t>UC14</t>
        </is>
      </c>
      <c r="B180" t="inlineStr">
        <is>
          <t xml:space="preserve">UC14 3rd Party Events Attended </t>
        </is>
      </c>
      <c r="C180" t="inlineStr">
        <is>
          <t>Manual Uploads</t>
        </is>
      </c>
      <c r="D180" t="inlineStr">
        <is>
          <t>3rd Party Events</t>
        </is>
      </c>
      <c r="E180" t="inlineStr">
        <is>
          <t>Attended CXO Event</t>
        </is>
      </c>
      <c r="F180" t="inlineStr">
        <is>
          <t>6 - Future Tracking Parameters</t>
        </is>
      </c>
      <c r="G180" t="inlineStr">
        <is>
          <t>Workfront Channel ID</t>
        </is>
      </c>
      <c r="H180" t="inlineStr">
        <is>
          <t>Will events data come from Workfront, or can all of this information come from the Global Events Table via the EID?</t>
        </is>
      </c>
      <c r="I180" t="inlineStr">
        <is>
          <t>Connects the upload to the Workfront channel taxonomy for durable operational and attribution alignment.</t>
        </is>
      </c>
    </row>
    <row r="181">
      <c r="A181" t="inlineStr">
        <is>
          <t>UC14</t>
        </is>
      </c>
      <c r="B181" t="inlineStr">
        <is>
          <t xml:space="preserve">UC14 3rd Party Events Attended </t>
        </is>
      </c>
      <c r="C181" t="inlineStr">
        <is>
          <t>Manual Uploads</t>
        </is>
      </c>
      <c r="D181" t="inlineStr">
        <is>
          <t>3rd Party Events</t>
        </is>
      </c>
      <c r="E181" t="inlineStr">
        <is>
          <t>Attended CXO Event</t>
        </is>
      </c>
      <c r="F181" t="inlineStr">
        <is>
          <t>6 - Future Tracking Parameters</t>
        </is>
      </c>
      <c r="G181" t="inlineStr">
        <is>
          <t>Workfront Content ID</t>
        </is>
      </c>
      <c r="H181" t="inlineStr">
        <is>
          <t>Would the Event manual Upload use cases really capture a Workfront Content ID</t>
        </is>
      </c>
      <c r="I181" t="inlineStr">
        <is>
          <t>Connects the upload to the Workfront Content taxonomy for durable operational and attribution alignment.</t>
        </is>
      </c>
    </row>
    <row r="182">
      <c r="A182" t="inlineStr">
        <is>
          <t>UC14</t>
        </is>
      </c>
      <c r="B182" t="inlineStr">
        <is>
          <t xml:space="preserve">UC14 3rd Party Events Attended </t>
        </is>
      </c>
      <c r="C182" t="inlineStr">
        <is>
          <t>Manual Uploads</t>
        </is>
      </c>
      <c r="D182" t="inlineStr">
        <is>
          <t>3rd Party Events</t>
        </is>
      </c>
      <c r="E182" t="inlineStr">
        <is>
          <t>Attended CXO Event</t>
        </is>
      </c>
      <c r="F182" t="inlineStr">
        <is>
          <t>6 - Future Tracking Parameters</t>
        </is>
      </c>
      <c r="G182" t="inlineStr">
        <is>
          <t>Content Type</t>
        </is>
      </c>
      <c r="H182" t="inlineStr">
        <is>
          <t>This field relates to Web Content Type, Webinar Type and Event Type from Workfront.</t>
        </is>
      </c>
      <c r="I182" t="inlineStr">
        <is>
          <t>Identifies the content classification for future attribution, operational, and funnel reporting aligned to Workfront Content ID.</t>
        </is>
      </c>
    </row>
    <row r="183">
      <c r="A183" t="inlineStr">
        <is>
          <t>UC14</t>
        </is>
      </c>
      <c r="B183" t="inlineStr">
        <is>
          <t xml:space="preserve">UC14 3rd Party Events Attended </t>
        </is>
      </c>
      <c r="C183" t="inlineStr">
        <is>
          <t>Manual Uploads</t>
        </is>
      </c>
      <c r="D183" t="inlineStr">
        <is>
          <t>3rd Party Events</t>
        </is>
      </c>
      <c r="E183" t="inlineStr">
        <is>
          <t>Attended CXO Event</t>
        </is>
      </c>
      <c r="F183" t="inlineStr">
        <is>
          <t>7 - Event Tracking Parameters</t>
        </is>
      </c>
      <c r="G183" t="inlineStr">
        <is>
          <t>Event ID / EID</t>
        </is>
      </c>
      <c r="H183" t="inlineStr">
        <is>
          <t>Confirm uploader has this value before upload.</t>
        </is>
      </c>
      <c r="I183" t="inlineStr">
        <is>
          <t>Primary lookup key for attribution, operational reporting, and Global Events Table enrichment. MRF should capture the same fields as Workfront</t>
        </is>
      </c>
    </row>
    <row r="184">
      <c r="A184" t="inlineStr">
        <is>
          <t>UC14</t>
        </is>
      </c>
      <c r="B184" t="inlineStr">
        <is>
          <t xml:space="preserve">UC14 3rd Party Events Attended </t>
        </is>
      </c>
      <c r="C184" t="inlineStr">
        <is>
          <t>Manual Uploads</t>
        </is>
      </c>
      <c r="D184" t="inlineStr">
        <is>
          <t>3rd Party Events</t>
        </is>
      </c>
      <c r="E184" t="inlineStr">
        <is>
          <t>Attended CXO Event</t>
        </is>
      </c>
      <c r="F184" t="inlineStr">
        <is>
          <t>7 - Event Tracking Parameters</t>
        </is>
      </c>
      <c r="G184" t="inlineStr">
        <is>
          <t>CXO / Executive Indicator</t>
        </is>
      </c>
      <c r="H184" t="inlineStr">
        <is>
          <t>Confirm whether CXO is still included in models.</t>
        </is>
      </c>
      <c r="I184" t="inlineStr">
        <is>
          <t>Supports executive-touch reporting and optional profile scoring.</t>
        </is>
      </c>
    </row>
    <row r="185">
      <c r="A185" t="inlineStr">
        <is>
          <t>UC14</t>
        </is>
      </c>
      <c r="B185" t="inlineStr">
        <is>
          <t xml:space="preserve">UC14 3rd Party Events Attended </t>
        </is>
      </c>
      <c r="C185" t="inlineStr">
        <is>
          <t>Manual Uploads</t>
        </is>
      </c>
      <c r="D185" t="inlineStr">
        <is>
          <t>3rd Party Events</t>
        </is>
      </c>
      <c r="E185" t="inlineStr">
        <is>
          <t>Attended CXO Event</t>
        </is>
      </c>
      <c r="F185" t="inlineStr">
        <is>
          <t>7 - Event Tracking Parameters</t>
        </is>
      </c>
      <c r="G185" t="inlineStr">
        <is>
          <t>CXO Event Attendance Date</t>
        </is>
      </c>
      <c r="H185" t="inlineStr">
        <is>
          <t>Should we use the Event Date or the Transaction Date</t>
        </is>
      </c>
      <c r="I185" t="inlineStr">
        <is>
          <t>Supports executive-touch attribution and operational attendance tracking.</t>
        </is>
      </c>
    </row>
    <row r="186">
      <c r="A186" t="inlineStr">
        <is>
          <t>UC14</t>
        </is>
      </c>
      <c r="B186" t="inlineStr">
        <is>
          <t xml:space="preserve">UC14 3rd Party Events Attended </t>
        </is>
      </c>
      <c r="C186" t="inlineStr">
        <is>
          <t>Manual Uploads</t>
        </is>
      </c>
      <c r="D186" t="inlineStr">
        <is>
          <t>3rd Party Events</t>
        </is>
      </c>
      <c r="E186" t="inlineStr">
        <is>
          <t>Attended CXO Event</t>
        </is>
      </c>
      <c r="F186" t="inlineStr">
        <is>
          <t>7 - Event Tracking Parameters</t>
        </is>
      </c>
      <c r="G186" t="inlineStr">
        <is>
          <t>Customer Comments</t>
        </is>
      </c>
      <c r="H186" t="inlineStr">
        <is>
          <t>Do we really need comments for Non-Hand Raisers?</t>
        </is>
      </c>
      <c r="I186" t="inlineStr">
        <is>
          <t>Supports activity context, seller follow-up, and operational validation.</t>
        </is>
      </c>
    </row>
    <row r="187">
      <c r="A187" t="inlineStr">
        <is>
          <t>UC15</t>
        </is>
      </c>
      <c r="B187" t="inlineStr">
        <is>
          <t xml:space="preserve">UC15 3rd Party Events Attended </t>
        </is>
      </c>
      <c r="C187" t="inlineStr">
        <is>
          <t>Manual Uploads</t>
        </is>
      </c>
      <c r="D187" t="inlineStr">
        <is>
          <t>3rd Party Events</t>
        </is>
      </c>
      <c r="E187" t="inlineStr">
        <is>
          <t>Attended Meeting</t>
        </is>
      </c>
      <c r="F187" t="inlineStr">
        <is>
          <t>1 - System Classification</t>
        </is>
      </c>
      <c r="G187" t="inlineStr">
        <is>
          <t>Activity Type</t>
        </is>
      </c>
      <c r="H187" t="inlineStr">
        <is>
          <t>Confirm all Activity Types are captured</t>
        </is>
      </c>
      <c r="I187" t="inlineStr">
        <is>
          <t>Controls which fields are shown and how the activity maps to reporting/scoring.</t>
        </is>
      </c>
    </row>
    <row r="188">
      <c r="A188" t="inlineStr">
        <is>
          <t>UC15</t>
        </is>
      </c>
      <c r="B188" t="inlineStr">
        <is>
          <t xml:space="preserve">UC15 3rd Party Events Attended </t>
        </is>
      </c>
      <c r="C188" t="inlineStr">
        <is>
          <t>Manual Uploads</t>
        </is>
      </c>
      <c r="D188" t="inlineStr">
        <is>
          <t>3rd Party Events</t>
        </is>
      </c>
      <c r="E188" t="inlineStr">
        <is>
          <t>Attended Meeting</t>
        </is>
      </c>
      <c r="F188" t="inlineStr">
        <is>
          <t>1 - System Classification</t>
        </is>
      </c>
      <c r="G188" t="inlineStr">
        <is>
          <t>Use Case</t>
        </is>
      </c>
      <c r="H188" t="inlineStr">
        <is>
          <t>Confirm final list of use cases</t>
        </is>
      </c>
      <c r="I188" t="inlineStr">
        <is>
          <t>Controls the upload path, available activity and lead category types.</t>
        </is>
      </c>
    </row>
    <row r="189">
      <c r="A189" t="inlineStr">
        <is>
          <t>UC15</t>
        </is>
      </c>
      <c r="B189" t="inlineStr">
        <is>
          <t xml:space="preserve">UC15 3rd Party Events Attended </t>
        </is>
      </c>
      <c r="C189" t="inlineStr">
        <is>
          <t>Manual Uploads</t>
        </is>
      </c>
      <c r="D189" t="inlineStr">
        <is>
          <t>3rd Party Events</t>
        </is>
      </c>
      <c r="E189" t="inlineStr">
        <is>
          <t>Attended Meeting</t>
        </is>
      </c>
      <c r="F189" t="inlineStr">
        <is>
          <t>2 - Contact Identity</t>
        </is>
      </c>
      <c r="G189" t="inlineStr">
        <is>
          <t>Email</t>
        </is>
      </c>
      <c r="H189" t="inlineStr">
        <is>
          <t>Confirm whether business email is mandatory and personal email domains are allowed.</t>
        </is>
      </c>
      <c r="I189" t="inlineStr">
        <is>
          <t>Primary contact matching key for Eloqua/SFDC and deduplication.</t>
        </is>
      </c>
    </row>
    <row r="190">
      <c r="A190" t="inlineStr">
        <is>
          <t>UC15</t>
        </is>
      </c>
      <c r="B190" t="inlineStr">
        <is>
          <t xml:space="preserve">UC15 3rd Party Events Attended </t>
        </is>
      </c>
      <c r="C190" t="inlineStr">
        <is>
          <t>Manual Uploads</t>
        </is>
      </c>
      <c r="D190" t="inlineStr">
        <is>
          <t>3rd Party Events</t>
        </is>
      </c>
      <c r="E190" t="inlineStr">
        <is>
          <t>Attended Meeting</t>
        </is>
      </c>
      <c r="F190" t="inlineStr">
        <is>
          <t>2 - Contact Identity</t>
        </is>
      </c>
      <c r="G190" t="inlineStr">
        <is>
          <t>Company Name</t>
        </is>
      </c>
      <c r="H190" t="inlineStr">
        <is>
          <t>Confirm whether account matching requires domain, account ID, or company name only.</t>
        </is>
      </c>
      <c r="I190" t="inlineStr">
        <is>
          <t>Supports account matching, attribution, and funnel reporting.</t>
        </is>
      </c>
    </row>
    <row r="191">
      <c r="A191" t="inlineStr">
        <is>
          <t>UC15</t>
        </is>
      </c>
      <c r="B191" t="inlineStr">
        <is>
          <t xml:space="preserve">UC15 3rd Party Events Attended </t>
        </is>
      </c>
      <c r="C191" t="inlineStr">
        <is>
          <t>Manual Uploads</t>
        </is>
      </c>
      <c r="D191" t="inlineStr">
        <is>
          <t>3rd Party Events</t>
        </is>
      </c>
      <c r="E191" t="inlineStr">
        <is>
          <t>Attended Meeting</t>
        </is>
      </c>
      <c r="F191" t="inlineStr">
        <is>
          <t>3 - Account Identity</t>
        </is>
      </c>
      <c r="G191" t="inlineStr">
        <is>
          <t>Phone Extension</t>
        </is>
      </c>
      <c r="H191" t="inlineStr">
        <is>
          <t>Do we still need Extension for B&amp;S to auto dial?</t>
        </is>
      </c>
      <c r="I191" t="inlineStr">
        <is>
          <t>Excluded from standard performance reporting</t>
        </is>
      </c>
    </row>
    <row r="192">
      <c r="A192" t="inlineStr">
        <is>
          <t>UC15</t>
        </is>
      </c>
      <c r="B192" t="inlineStr">
        <is>
          <t xml:space="preserve">UC15 3rd Party Events Attended </t>
        </is>
      </c>
      <c r="C192" t="inlineStr">
        <is>
          <t>Manual Uploads</t>
        </is>
      </c>
      <c r="D192" t="inlineStr">
        <is>
          <t>3rd Party Events</t>
        </is>
      </c>
      <c r="E192" t="inlineStr">
        <is>
          <t>Attended Meeting</t>
        </is>
      </c>
      <c r="F192" t="inlineStr">
        <is>
          <t>3 - Account Identity</t>
        </is>
      </c>
      <c r="G192" t="inlineStr">
        <is>
          <t>Primary Phone Number</t>
        </is>
      </c>
      <c r="H192" t="inlineStr">
        <is>
          <t>OK to send if no phone number aligned?</t>
        </is>
      </c>
      <c r="I192" t="inlineStr">
        <is>
          <t>Excluded from standard performance reporting but essential for upstream Virtual Demand Center (VDC) follow-up; Phone number should not be passed to sell if localized or country-specific phone opt-out privacy rules apply</t>
        </is>
      </c>
    </row>
    <row r="193">
      <c r="A193" t="inlineStr">
        <is>
          <t>UC15</t>
        </is>
      </c>
      <c r="B193" t="inlineStr">
        <is>
          <t xml:space="preserve">UC15 3rd Party Events Attended </t>
        </is>
      </c>
      <c r="C193" t="inlineStr">
        <is>
          <t>Manual Uploads</t>
        </is>
      </c>
      <c r="D193" t="inlineStr">
        <is>
          <t>3rd Party Events</t>
        </is>
      </c>
      <c r="E193" t="inlineStr">
        <is>
          <t>Attended Meeting</t>
        </is>
      </c>
      <c r="F193" t="inlineStr">
        <is>
          <t>4 - Compliance / Permissions</t>
        </is>
      </c>
      <c r="G193" t="inlineStr">
        <is>
          <t>Email Opt-In Permission</t>
        </is>
      </c>
      <c r="H193" t="inlineStr">
        <is>
          <t>How should we deal with customer wanting to Opt Out - we see errors of N being added in error</t>
        </is>
      </c>
      <c r="I193" t="inlineStr">
        <is>
          <t>Supports consent, privacy, and compliance checks for manual-upload processing.</t>
        </is>
      </c>
    </row>
    <row r="194">
      <c r="A194" t="inlineStr">
        <is>
          <t>UC15</t>
        </is>
      </c>
      <c r="B194" t="inlineStr">
        <is>
          <t xml:space="preserve">UC15 3rd Party Events Attended </t>
        </is>
      </c>
      <c r="C194" t="inlineStr">
        <is>
          <t>Manual Uploads</t>
        </is>
      </c>
      <c r="D194" t="inlineStr">
        <is>
          <t>3rd Party Events</t>
        </is>
      </c>
      <c r="E194" t="inlineStr">
        <is>
          <t>Attended Meeting</t>
        </is>
      </c>
      <c r="F194" t="inlineStr">
        <is>
          <t>4 - Compliance / Permissions</t>
        </is>
      </c>
      <c r="G194" t="inlineStr">
        <is>
          <t>Primary Phone Opt-In Permission</t>
        </is>
      </c>
      <c r="H194" t="inlineStr">
        <is>
          <t>How should we deal with customer wanting to Opt Out - we see errors of N being added in error</t>
        </is>
      </c>
      <c r="I194" t="inlineStr">
        <is>
          <t>Supports consent, privacy, and compliance checks for manual-upload processing.</t>
        </is>
      </c>
    </row>
    <row r="195">
      <c r="A195" t="inlineStr">
        <is>
          <t>UC15</t>
        </is>
      </c>
      <c r="B195" t="inlineStr">
        <is>
          <t xml:space="preserve">UC15 3rd Party Events Attended </t>
        </is>
      </c>
      <c r="C195" t="inlineStr">
        <is>
          <t>Manual Uploads</t>
        </is>
      </c>
      <c r="D195" t="inlineStr">
        <is>
          <t>3rd Party Events</t>
        </is>
      </c>
      <c r="E195" t="inlineStr">
        <is>
          <t>Attended Meeting</t>
        </is>
      </c>
      <c r="F195" t="inlineStr">
        <is>
          <t>5 - Legacy Tracking Parameters</t>
        </is>
      </c>
      <c r="G195" t="inlineStr">
        <is>
          <t>Drive To ID</t>
        </is>
      </c>
      <c r="H195" t="inlineStr">
        <is>
          <t>Attribution is using EID to determine First and Third party Events - so I think we can retire DTID for Event Uploads</t>
        </is>
      </c>
      <c r="I195" t="inlineStr">
        <is>
          <t>Maintains legacy destination and drive-to reporting alignment during transition.</t>
        </is>
      </c>
    </row>
    <row r="196">
      <c r="A196" t="inlineStr">
        <is>
          <t>UC15</t>
        </is>
      </c>
      <c r="B196" t="inlineStr">
        <is>
          <t xml:space="preserve">UC15 3rd Party Events Attended </t>
        </is>
      </c>
      <c r="C196" t="inlineStr">
        <is>
          <t>Manual Uploads</t>
        </is>
      </c>
      <c r="D196" t="inlineStr">
        <is>
          <t>3rd Party Events</t>
        </is>
      </c>
      <c r="E196" t="inlineStr">
        <is>
          <t>Attended Meeting</t>
        </is>
      </c>
      <c r="F196" t="inlineStr">
        <is>
          <t>5 - Legacy Tracking Parameters</t>
        </is>
      </c>
      <c r="G196" t="inlineStr">
        <is>
          <t>Offer ID</t>
        </is>
      </c>
      <c r="H196" t="inlineStr">
        <is>
          <t>Think we should remove Offer ID from events</t>
        </is>
      </c>
    </row>
    <row r="197">
      <c r="A197" t="inlineStr">
        <is>
          <t>UC15</t>
        </is>
      </c>
      <c r="B197" t="inlineStr">
        <is>
          <t xml:space="preserve">UC15 3rd Party Events Attended </t>
        </is>
      </c>
      <c r="C197" t="inlineStr">
        <is>
          <t>Manual Uploads</t>
        </is>
      </c>
      <c r="D197" t="inlineStr">
        <is>
          <t>3rd Party Events</t>
        </is>
      </c>
      <c r="E197" t="inlineStr">
        <is>
          <t>Attended Meeting</t>
        </is>
      </c>
      <c r="F197" t="inlineStr">
        <is>
          <t>6 - Future Tracking Parameters</t>
        </is>
      </c>
      <c r="G197" t="inlineStr">
        <is>
          <t>Workfront Channel ID</t>
        </is>
      </c>
      <c r="H197" t="inlineStr">
        <is>
          <t>Will events data come from Workfront, or can all of this information come from the Global Events Table via the EID?</t>
        </is>
      </c>
      <c r="I197" t="inlineStr">
        <is>
          <t>Connects the upload to the Workfront channel taxonomy for durable operational and attribution alignment.</t>
        </is>
      </c>
    </row>
    <row r="198">
      <c r="A198" t="inlineStr">
        <is>
          <t>UC15</t>
        </is>
      </c>
      <c r="B198" t="inlineStr">
        <is>
          <t xml:space="preserve">UC15 3rd Party Events Attended </t>
        </is>
      </c>
      <c r="C198" t="inlineStr">
        <is>
          <t>Manual Uploads</t>
        </is>
      </c>
      <c r="D198" t="inlineStr">
        <is>
          <t>3rd Party Events</t>
        </is>
      </c>
      <c r="E198" t="inlineStr">
        <is>
          <t>Attended Meeting</t>
        </is>
      </c>
      <c r="F198" t="inlineStr">
        <is>
          <t>6 - Future Tracking Parameters</t>
        </is>
      </c>
      <c r="G198" t="inlineStr">
        <is>
          <t>Workfront Content ID</t>
        </is>
      </c>
      <c r="H198" t="inlineStr">
        <is>
          <t>Would the Event manual Upload use cases really capture a Workfront Content ID</t>
        </is>
      </c>
      <c r="I198" t="inlineStr">
        <is>
          <t>Connects the upload to the Workfront Content taxonomy for durable operational and attribution alignment.</t>
        </is>
      </c>
    </row>
    <row r="199">
      <c r="A199" t="inlineStr">
        <is>
          <t>UC15</t>
        </is>
      </c>
      <c r="B199" t="inlineStr">
        <is>
          <t xml:space="preserve">UC15 3rd Party Events Attended </t>
        </is>
      </c>
      <c r="C199" t="inlineStr">
        <is>
          <t>Manual Uploads</t>
        </is>
      </c>
      <c r="D199" t="inlineStr">
        <is>
          <t>3rd Party Events</t>
        </is>
      </c>
      <c r="E199" t="inlineStr">
        <is>
          <t>Attended Meeting</t>
        </is>
      </c>
      <c r="F199" t="inlineStr">
        <is>
          <t>6 - Future Tracking Parameters</t>
        </is>
      </c>
      <c r="G199" t="inlineStr">
        <is>
          <t>Content Type</t>
        </is>
      </c>
      <c r="H199" t="inlineStr">
        <is>
          <t>This field relates to Web Content Type, Webinar Type and Event Type from Workfront.</t>
        </is>
      </c>
      <c r="I199" t="inlineStr">
        <is>
          <t>Identifies the content classification for future attribution, operational, and funnel reporting aligned to Workfront Content ID.</t>
        </is>
      </c>
    </row>
    <row r="200">
      <c r="A200" t="inlineStr">
        <is>
          <t>UC15</t>
        </is>
      </c>
      <c r="B200" t="inlineStr">
        <is>
          <t xml:space="preserve">UC15 3rd Party Events Attended </t>
        </is>
      </c>
      <c r="C200" t="inlineStr">
        <is>
          <t>Manual Uploads</t>
        </is>
      </c>
      <c r="D200" t="inlineStr">
        <is>
          <t>3rd Party Events</t>
        </is>
      </c>
      <c r="E200" t="inlineStr">
        <is>
          <t>Attended Meeting</t>
        </is>
      </c>
      <c r="F200" t="inlineStr">
        <is>
          <t>7 - Event Tracking Parameters</t>
        </is>
      </c>
      <c r="G200" t="inlineStr">
        <is>
          <t>Event ID / EID</t>
        </is>
      </c>
      <c r="H200" t="inlineStr">
        <is>
          <t>Confirm uploader has this value before upload.</t>
        </is>
      </c>
      <c r="I200" t="inlineStr">
        <is>
          <t>Primary lookup key for attribution, operational reporting, and Global Events Table enrichment. MRF should capture the same fields as Workfront</t>
        </is>
      </c>
    </row>
    <row r="201">
      <c r="A201" t="inlineStr">
        <is>
          <t>UC15</t>
        </is>
      </c>
      <c r="B201" t="inlineStr">
        <is>
          <t xml:space="preserve">UC15 3rd Party Events Attended </t>
        </is>
      </c>
      <c r="C201" t="inlineStr">
        <is>
          <t>Manual Uploads</t>
        </is>
      </c>
      <c r="D201" t="inlineStr">
        <is>
          <t>3rd Party Events</t>
        </is>
      </c>
      <c r="E201" t="inlineStr">
        <is>
          <t>Attended Meeting</t>
        </is>
      </c>
      <c r="F201" t="inlineStr">
        <is>
          <t>7 - Event Tracking Parameters</t>
        </is>
      </c>
      <c r="G201" t="inlineStr">
        <is>
          <t>Meeting Type</t>
        </is>
      </c>
      <c r="H201" t="inlineStr">
        <is>
          <t>Confirm meeting type is derivable at contact/meeting level.</t>
        </is>
      </c>
      <c r="I201" t="inlineStr">
        <is>
          <t>Supports meeting-performance reporting and high-value interaction weighting.</t>
        </is>
      </c>
    </row>
    <row r="202">
      <c r="A202" t="inlineStr">
        <is>
          <t>UC15</t>
        </is>
      </c>
      <c r="B202" t="inlineStr">
        <is>
          <t xml:space="preserve">UC15 3rd Party Events Attended </t>
        </is>
      </c>
      <c r="C202" t="inlineStr">
        <is>
          <t>Manual Uploads</t>
        </is>
      </c>
      <c r="D202" t="inlineStr">
        <is>
          <t>3rd Party Events</t>
        </is>
      </c>
      <c r="E202" t="inlineStr">
        <is>
          <t>Attended Meeting</t>
        </is>
      </c>
      <c r="F202" t="inlineStr">
        <is>
          <t>7 - Event Tracking Parameters</t>
        </is>
      </c>
      <c r="G202" t="inlineStr">
        <is>
          <t>Meeting Owner</t>
        </is>
      </c>
      <c r="H202" t="inlineStr">
        <is>
          <t>Confirm meeting owner is derivable at contact/meeting level.</t>
        </is>
      </c>
      <c r="I202" t="inlineStr">
        <is>
          <t>Supports operational accountability and meeting ROI reporting.</t>
        </is>
      </c>
    </row>
    <row r="203">
      <c r="A203" t="inlineStr">
        <is>
          <t>UC15</t>
        </is>
      </c>
      <c r="B203" t="inlineStr">
        <is>
          <t xml:space="preserve">UC15 3rd Party Events Attended </t>
        </is>
      </c>
      <c r="C203" t="inlineStr">
        <is>
          <t>Manual Uploads</t>
        </is>
      </c>
      <c r="D203" t="inlineStr">
        <is>
          <t>3rd Party Events</t>
        </is>
      </c>
      <c r="E203" t="inlineStr">
        <is>
          <t>Attended Meeting</t>
        </is>
      </c>
      <c r="F203" t="inlineStr">
        <is>
          <t>7 - Event Tracking Parameters</t>
        </is>
      </c>
      <c r="G203" t="inlineStr">
        <is>
          <t>Meeting Date</t>
        </is>
      </c>
      <c r="H203" t="inlineStr">
        <is>
          <t>Confirm if we can use transaction date or event start date</t>
        </is>
      </c>
      <c r="I203" t="inlineStr">
        <is>
          <t>Supports pipeline velocity context, SLA monitoring, and scoring recency.</t>
        </is>
      </c>
    </row>
    <row r="204">
      <c r="A204" t="inlineStr">
        <is>
          <t>UC15</t>
        </is>
      </c>
      <c r="B204" t="inlineStr">
        <is>
          <t xml:space="preserve">UC15 3rd Party Events Attended </t>
        </is>
      </c>
      <c r="C204" t="inlineStr">
        <is>
          <t>Manual Uploads</t>
        </is>
      </c>
      <c r="D204" t="inlineStr">
        <is>
          <t>3rd Party Events</t>
        </is>
      </c>
      <c r="E204" t="inlineStr">
        <is>
          <t>Attended Meeting</t>
        </is>
      </c>
      <c r="F204" t="inlineStr">
        <is>
          <t>7 - Event Tracking Parameters</t>
        </is>
      </c>
      <c r="G204" t="inlineStr">
        <is>
          <t>Customer Comments</t>
        </is>
      </c>
      <c r="H204" t="inlineStr">
        <is>
          <t>Do we really need comments for Non-Hand Raisers?</t>
        </is>
      </c>
      <c r="I204" t="inlineStr">
        <is>
          <t>Supports activity context, seller follow-up, and operational validation.</t>
        </is>
      </c>
    </row>
    <row r="205">
      <c r="A205" t="inlineStr">
        <is>
          <t>UC15</t>
        </is>
      </c>
      <c r="B205" t="inlineStr">
        <is>
          <t xml:space="preserve">UC15 3rd Party Events Attended </t>
        </is>
      </c>
      <c r="C205" t="inlineStr">
        <is>
          <t>Manual Uploads</t>
        </is>
      </c>
      <c r="D205" t="inlineStr">
        <is>
          <t>3rd Party Events</t>
        </is>
      </c>
      <c r="E205" t="inlineStr">
        <is>
          <t>Attended Meeting</t>
        </is>
      </c>
      <c r="F205" t="inlineStr">
        <is>
          <t>7 - Event Tracking Parameters</t>
        </is>
      </c>
      <c r="G205" t="inlineStr">
        <is>
          <t>Transaction Date</t>
        </is>
      </c>
      <c r="H205" t="inlineStr">
        <is>
          <t>Confirm whether UI should show one generic Activity Date label or an activity-specific date label.</t>
        </is>
      </c>
      <c r="I205" t="inlineStr">
        <is>
          <t>Common date field for attribution sequencing, operational SLA reporting, and lead scoring time decay.</t>
        </is>
      </c>
    </row>
    <row r="206">
      <c r="A206" t="inlineStr">
        <is>
          <t>UC16</t>
        </is>
      </c>
      <c r="B206" t="inlineStr">
        <is>
          <t xml:space="preserve">UC16 3rd Party Events Attended </t>
        </is>
      </c>
      <c r="C206" t="inlineStr">
        <is>
          <t>Manual Uploads</t>
        </is>
      </c>
      <c r="D206" t="inlineStr">
        <is>
          <t>3rd Party Events</t>
        </is>
      </c>
      <c r="E206" t="inlineStr">
        <is>
          <t>Attended Session</t>
        </is>
      </c>
      <c r="F206" t="inlineStr">
        <is>
          <t>1 - System Classification</t>
        </is>
      </c>
      <c r="G206" t="inlineStr">
        <is>
          <t>Activity Type</t>
        </is>
      </c>
      <c r="H206" t="inlineStr">
        <is>
          <t>Confirm all Activity Types are captured</t>
        </is>
      </c>
      <c r="I206" t="inlineStr">
        <is>
          <t>Controls which fields are shown and how the activity maps to reporting/scoring.</t>
        </is>
      </c>
    </row>
    <row r="207">
      <c r="A207" t="inlineStr">
        <is>
          <t>UC16</t>
        </is>
      </c>
      <c r="B207" t="inlineStr">
        <is>
          <t xml:space="preserve">UC16 3rd Party Events Attended </t>
        </is>
      </c>
      <c r="C207" t="inlineStr">
        <is>
          <t>Manual Uploads</t>
        </is>
      </c>
      <c r="D207" t="inlineStr">
        <is>
          <t>3rd Party Events</t>
        </is>
      </c>
      <c r="E207" t="inlineStr">
        <is>
          <t>Attended Session</t>
        </is>
      </c>
      <c r="F207" t="inlineStr">
        <is>
          <t>1 - System Classification</t>
        </is>
      </c>
      <c r="G207" t="inlineStr">
        <is>
          <t>Use Case</t>
        </is>
      </c>
      <c r="H207" t="inlineStr">
        <is>
          <t>Confirm final list of use cases</t>
        </is>
      </c>
      <c r="I207" t="inlineStr">
        <is>
          <t>Controls the upload path, available activity and lead category types.</t>
        </is>
      </c>
    </row>
    <row r="208">
      <c r="A208" t="inlineStr">
        <is>
          <t>UC16</t>
        </is>
      </c>
      <c r="B208" t="inlineStr">
        <is>
          <t xml:space="preserve">UC16 3rd Party Events Attended </t>
        </is>
      </c>
      <c r="C208" t="inlineStr">
        <is>
          <t>Manual Uploads</t>
        </is>
      </c>
      <c r="D208" t="inlineStr">
        <is>
          <t>3rd Party Events</t>
        </is>
      </c>
      <c r="E208" t="inlineStr">
        <is>
          <t>Attended Session</t>
        </is>
      </c>
      <c r="F208" t="inlineStr">
        <is>
          <t>2 - Contact Identity</t>
        </is>
      </c>
      <c r="G208" t="inlineStr">
        <is>
          <t>Email</t>
        </is>
      </c>
      <c r="H208" t="inlineStr">
        <is>
          <t>Confirm whether business email is mandatory and personal email domains are allowed.</t>
        </is>
      </c>
      <c r="I208" t="inlineStr">
        <is>
          <t>Primary contact matching key for Eloqua/SFDC and deduplication.</t>
        </is>
      </c>
    </row>
    <row r="209">
      <c r="A209" t="inlineStr">
        <is>
          <t>UC16</t>
        </is>
      </c>
      <c r="B209" t="inlineStr">
        <is>
          <t xml:space="preserve">UC16 3rd Party Events Attended </t>
        </is>
      </c>
      <c r="C209" t="inlineStr">
        <is>
          <t>Manual Uploads</t>
        </is>
      </c>
      <c r="D209" t="inlineStr">
        <is>
          <t>3rd Party Events</t>
        </is>
      </c>
      <c r="E209" t="inlineStr">
        <is>
          <t>Attended Session</t>
        </is>
      </c>
      <c r="F209" t="inlineStr">
        <is>
          <t>2 - Contact Identity</t>
        </is>
      </c>
      <c r="G209" t="inlineStr">
        <is>
          <t>Company Name</t>
        </is>
      </c>
      <c r="H209" t="inlineStr">
        <is>
          <t>Confirm whether account matching requires domain, account ID, or company name only.</t>
        </is>
      </c>
      <c r="I209" t="inlineStr">
        <is>
          <t>Supports account matching, attribution, and funnel reporting.</t>
        </is>
      </c>
    </row>
    <row r="210">
      <c r="A210" t="inlineStr">
        <is>
          <t>UC16</t>
        </is>
      </c>
      <c r="B210" t="inlineStr">
        <is>
          <t xml:space="preserve">UC16 3rd Party Events Attended </t>
        </is>
      </c>
      <c r="C210" t="inlineStr">
        <is>
          <t>Manual Uploads</t>
        </is>
      </c>
      <c r="D210" t="inlineStr">
        <is>
          <t>3rd Party Events</t>
        </is>
      </c>
      <c r="E210" t="inlineStr">
        <is>
          <t>Attended Session</t>
        </is>
      </c>
      <c r="F210" t="inlineStr">
        <is>
          <t>3 - Account Identity</t>
        </is>
      </c>
      <c r="G210" t="inlineStr">
        <is>
          <t>Phone Extension</t>
        </is>
      </c>
      <c r="H210" t="inlineStr">
        <is>
          <t>Do we still need Extension for B&amp;S to auto dial?</t>
        </is>
      </c>
      <c r="I210" t="inlineStr">
        <is>
          <t>Excluded from standard performance reporting</t>
        </is>
      </c>
    </row>
    <row r="211">
      <c r="A211" t="inlineStr">
        <is>
          <t>UC16</t>
        </is>
      </c>
      <c r="B211" t="inlineStr">
        <is>
          <t xml:space="preserve">UC16 3rd Party Events Attended </t>
        </is>
      </c>
      <c r="C211" t="inlineStr">
        <is>
          <t>Manual Uploads</t>
        </is>
      </c>
      <c r="D211" t="inlineStr">
        <is>
          <t>3rd Party Events</t>
        </is>
      </c>
      <c r="E211" t="inlineStr">
        <is>
          <t>Attended Session</t>
        </is>
      </c>
      <c r="F211" t="inlineStr">
        <is>
          <t>3 - Account Identity</t>
        </is>
      </c>
      <c r="G211" t="inlineStr">
        <is>
          <t>Primary Phone Number</t>
        </is>
      </c>
      <c r="H211" t="inlineStr">
        <is>
          <t>OK to send if no phone number aligned?</t>
        </is>
      </c>
      <c r="I211" t="inlineStr">
        <is>
          <t>Excluded from standard performance reporting but essential for upstream Virtual Demand Center (VDC) follow-up; Phone number should not be passed to sell if localized or country-specific phone opt-out privacy rules apply</t>
        </is>
      </c>
    </row>
    <row r="212">
      <c r="A212" t="inlineStr">
        <is>
          <t>UC16</t>
        </is>
      </c>
      <c r="B212" t="inlineStr">
        <is>
          <t xml:space="preserve">UC16 3rd Party Events Attended </t>
        </is>
      </c>
      <c r="C212" t="inlineStr">
        <is>
          <t>Manual Uploads</t>
        </is>
      </c>
      <c r="D212" t="inlineStr">
        <is>
          <t>3rd Party Events</t>
        </is>
      </c>
      <c r="E212" t="inlineStr">
        <is>
          <t>Attended Session</t>
        </is>
      </c>
      <c r="F212" t="inlineStr">
        <is>
          <t>4 - Compliance / Permissions</t>
        </is>
      </c>
      <c r="G212" t="inlineStr">
        <is>
          <t>Email Opt-In Permission</t>
        </is>
      </c>
      <c r="H212" t="inlineStr">
        <is>
          <t>How should we deal with customer wanting to Opt Out - we see errors of N being added in error</t>
        </is>
      </c>
      <c r="I212" t="inlineStr">
        <is>
          <t>Supports consent, privacy, and compliance checks for manual-upload processing.</t>
        </is>
      </c>
    </row>
    <row r="213">
      <c r="A213" t="inlineStr">
        <is>
          <t>UC16</t>
        </is>
      </c>
      <c r="B213" t="inlineStr">
        <is>
          <t xml:space="preserve">UC16 3rd Party Events Attended </t>
        </is>
      </c>
      <c r="C213" t="inlineStr">
        <is>
          <t>Manual Uploads</t>
        </is>
      </c>
      <c r="D213" t="inlineStr">
        <is>
          <t>3rd Party Events</t>
        </is>
      </c>
      <c r="E213" t="inlineStr">
        <is>
          <t>Attended Session</t>
        </is>
      </c>
      <c r="F213" t="inlineStr">
        <is>
          <t>4 - Compliance / Permissions</t>
        </is>
      </c>
      <c r="G213" t="inlineStr">
        <is>
          <t>Primary Phone Opt-In Permission</t>
        </is>
      </c>
      <c r="H213" t="inlineStr">
        <is>
          <t>How should we deal with customer wanting to Opt Out - we see errors of N being added in error</t>
        </is>
      </c>
      <c r="I213" t="inlineStr">
        <is>
          <t>Supports consent, privacy, and compliance checks for manual-upload processing.</t>
        </is>
      </c>
    </row>
    <row r="214">
      <c r="A214" t="inlineStr">
        <is>
          <t>UC16</t>
        </is>
      </c>
      <c r="B214" t="inlineStr">
        <is>
          <t xml:space="preserve">UC16 3rd Party Events Attended </t>
        </is>
      </c>
      <c r="C214" t="inlineStr">
        <is>
          <t>Manual Uploads</t>
        </is>
      </c>
      <c r="D214" t="inlineStr">
        <is>
          <t>3rd Party Events</t>
        </is>
      </c>
      <c r="E214" t="inlineStr">
        <is>
          <t>Attended Session</t>
        </is>
      </c>
      <c r="F214" t="inlineStr">
        <is>
          <t>5 - Legacy Tracking Parameters</t>
        </is>
      </c>
      <c r="G214" t="inlineStr">
        <is>
          <t>Drive To ID</t>
        </is>
      </c>
      <c r="H214" t="inlineStr">
        <is>
          <t>Attribution is using EID to determine First and Third party Events - so I think we can retire DTID for Event Uploads</t>
        </is>
      </c>
      <c r="I214" t="inlineStr">
        <is>
          <t>Maintains legacy destination and drive-to reporting alignment during transition.</t>
        </is>
      </c>
    </row>
    <row r="215">
      <c r="A215" t="inlineStr">
        <is>
          <t>UC16</t>
        </is>
      </c>
      <c r="B215" t="inlineStr">
        <is>
          <t xml:space="preserve">UC16 3rd Party Events Attended </t>
        </is>
      </c>
      <c r="C215" t="inlineStr">
        <is>
          <t>Manual Uploads</t>
        </is>
      </c>
      <c r="D215" t="inlineStr">
        <is>
          <t>3rd Party Events</t>
        </is>
      </c>
      <c r="E215" t="inlineStr">
        <is>
          <t>Attended Session</t>
        </is>
      </c>
      <c r="F215" t="inlineStr">
        <is>
          <t>5 - Legacy Tracking Parameters</t>
        </is>
      </c>
      <c r="G215" t="inlineStr">
        <is>
          <t>Offer ID</t>
        </is>
      </c>
      <c r="H215" t="inlineStr">
        <is>
          <t>Think we should remove Offer ID from events</t>
        </is>
      </c>
    </row>
    <row r="216">
      <c r="A216" t="inlineStr">
        <is>
          <t>UC16</t>
        </is>
      </c>
      <c r="B216" t="inlineStr">
        <is>
          <t xml:space="preserve">UC16 3rd Party Events Attended </t>
        </is>
      </c>
      <c r="C216" t="inlineStr">
        <is>
          <t>Manual Uploads</t>
        </is>
      </c>
      <c r="D216" t="inlineStr">
        <is>
          <t>3rd Party Events</t>
        </is>
      </c>
      <c r="E216" t="inlineStr">
        <is>
          <t>Attended Session</t>
        </is>
      </c>
      <c r="F216" t="inlineStr">
        <is>
          <t>6 - Future Tracking Parameters</t>
        </is>
      </c>
      <c r="G216" t="inlineStr">
        <is>
          <t>Workfront Channel ID</t>
        </is>
      </c>
      <c r="H216" t="inlineStr">
        <is>
          <t>Will events data come from Workfront, or can all of this information come from the Global Events Table via the EID?</t>
        </is>
      </c>
      <c r="I216" t="inlineStr">
        <is>
          <t>Connects the upload to the Workfront channel taxonomy for durable operational and attribution alignment.</t>
        </is>
      </c>
    </row>
    <row r="217">
      <c r="A217" t="inlineStr">
        <is>
          <t>UC16</t>
        </is>
      </c>
      <c r="B217" t="inlineStr">
        <is>
          <t xml:space="preserve">UC16 3rd Party Events Attended </t>
        </is>
      </c>
      <c r="C217" t="inlineStr">
        <is>
          <t>Manual Uploads</t>
        </is>
      </c>
      <c r="D217" t="inlineStr">
        <is>
          <t>3rd Party Events</t>
        </is>
      </c>
      <c r="E217" t="inlineStr">
        <is>
          <t>Attended Session</t>
        </is>
      </c>
      <c r="F217" t="inlineStr">
        <is>
          <t>6 - Future Tracking Parameters</t>
        </is>
      </c>
      <c r="G217" t="inlineStr">
        <is>
          <t>Workfront Content ID</t>
        </is>
      </c>
      <c r="H217" t="inlineStr">
        <is>
          <t>Would the Event manual Upload use cases really capture a Workfront Content ID</t>
        </is>
      </c>
      <c r="I217" t="inlineStr">
        <is>
          <t>Connects the upload to the Workfront Content taxonomy for durable operational and attribution alignment.</t>
        </is>
      </c>
    </row>
    <row r="218">
      <c r="A218" t="inlineStr">
        <is>
          <t>UC16</t>
        </is>
      </c>
      <c r="B218" t="inlineStr">
        <is>
          <t xml:space="preserve">UC16 3rd Party Events Attended </t>
        </is>
      </c>
      <c r="C218" t="inlineStr">
        <is>
          <t>Manual Uploads</t>
        </is>
      </c>
      <c r="D218" t="inlineStr">
        <is>
          <t>3rd Party Events</t>
        </is>
      </c>
      <c r="E218" t="inlineStr">
        <is>
          <t>Attended Session</t>
        </is>
      </c>
      <c r="F218" t="inlineStr">
        <is>
          <t>6 - Future Tracking Parameters</t>
        </is>
      </c>
      <c r="G218" t="inlineStr">
        <is>
          <t>Content Type</t>
        </is>
      </c>
      <c r="H218" t="inlineStr">
        <is>
          <t>This field relates to Web Content Type, Webinar Type and Event Type from Workfront.</t>
        </is>
      </c>
      <c r="I218" t="inlineStr">
        <is>
          <t>Identifies the content classification for future attribution, operational, and funnel reporting aligned to Workfront Content ID.</t>
        </is>
      </c>
    </row>
    <row r="219">
      <c r="A219" t="inlineStr">
        <is>
          <t>UC16</t>
        </is>
      </c>
      <c r="B219" t="inlineStr">
        <is>
          <t xml:space="preserve">UC16 3rd Party Events Attended </t>
        </is>
      </c>
      <c r="C219" t="inlineStr">
        <is>
          <t>Manual Uploads</t>
        </is>
      </c>
      <c r="D219" t="inlineStr">
        <is>
          <t>3rd Party Events</t>
        </is>
      </c>
      <c r="E219" t="inlineStr">
        <is>
          <t>Attended Session</t>
        </is>
      </c>
      <c r="F219" t="inlineStr">
        <is>
          <t>7 - Event Tracking Parameters</t>
        </is>
      </c>
      <c r="G219" t="inlineStr">
        <is>
          <t>Event ID / EID</t>
        </is>
      </c>
      <c r="H219" t="inlineStr">
        <is>
          <t>Confirm uploader has this value before upload.</t>
        </is>
      </c>
      <c r="I219" t="inlineStr">
        <is>
          <t>Primary lookup key for attribution, operational reporting, and Global Events Table enrichment. MRF should capture the same fields as Workfront</t>
        </is>
      </c>
    </row>
    <row r="220">
      <c r="A220" t="inlineStr">
        <is>
          <t>UC16</t>
        </is>
      </c>
      <c r="B220" t="inlineStr">
        <is>
          <t xml:space="preserve">UC16 3rd Party Events Attended </t>
        </is>
      </c>
      <c r="C220" t="inlineStr">
        <is>
          <t>Manual Uploads</t>
        </is>
      </c>
      <c r="D220" t="inlineStr">
        <is>
          <t>3rd Party Events</t>
        </is>
      </c>
      <c r="E220" t="inlineStr">
        <is>
          <t>Attended Session</t>
        </is>
      </c>
      <c r="F220" t="inlineStr">
        <is>
          <t>7 - Event Tracking Parameters</t>
        </is>
      </c>
      <c r="G220" t="inlineStr">
        <is>
          <t>Session Name</t>
        </is>
      </c>
      <c r="H220" t="inlineStr">
        <is>
          <t>Confirm whether sessions can be selected from a controlled list or if we have an identifier to look it up</t>
        </is>
      </c>
      <c r="I220" t="inlineStr">
        <is>
          <t>Supports content-interest reporting and seller context.</t>
        </is>
      </c>
    </row>
    <row r="221">
      <c r="A221" t="inlineStr">
        <is>
          <t>UC16</t>
        </is>
      </c>
      <c r="B221" t="inlineStr">
        <is>
          <t xml:space="preserve">UC16 3rd Party Events Attended </t>
        </is>
      </c>
      <c r="C221" t="inlineStr">
        <is>
          <t>Manual Uploads</t>
        </is>
      </c>
      <c r="D221" t="inlineStr">
        <is>
          <t>3rd Party Events</t>
        </is>
      </c>
      <c r="E221" t="inlineStr">
        <is>
          <t>Attended Session</t>
        </is>
      </c>
      <c r="F221" t="inlineStr">
        <is>
          <t>7 - Event Tracking Parameters</t>
        </is>
      </c>
      <c r="G221" t="inlineStr">
        <is>
          <t>Customer Comments</t>
        </is>
      </c>
      <c r="H221" t="inlineStr">
        <is>
          <t>Do we really need comments for Non-Hand Raisers?</t>
        </is>
      </c>
      <c r="I221" t="inlineStr">
        <is>
          <t>Supports activity context, seller follow-up, and operational validation.</t>
        </is>
      </c>
    </row>
    <row r="222">
      <c r="A222" t="inlineStr">
        <is>
          <t>UC16</t>
        </is>
      </c>
      <c r="B222" t="inlineStr">
        <is>
          <t xml:space="preserve">UC16 3rd Party Events Attended </t>
        </is>
      </c>
      <c r="C222" t="inlineStr">
        <is>
          <t>Manual Uploads</t>
        </is>
      </c>
      <c r="D222" t="inlineStr">
        <is>
          <t>3rd Party Events</t>
        </is>
      </c>
      <c r="E222" t="inlineStr">
        <is>
          <t>Attended Session</t>
        </is>
      </c>
      <c r="F222" t="inlineStr">
        <is>
          <t>7 - Event Tracking Parameters</t>
        </is>
      </c>
      <c r="G222" t="inlineStr">
        <is>
          <t>Transaction Date</t>
        </is>
      </c>
      <c r="H222" t="inlineStr">
        <is>
          <t>Confirm whether UI should show one generic Activity Date label or an activity-specific date label.</t>
        </is>
      </c>
      <c r="I222" t="inlineStr">
        <is>
          <t>Common date field for attribution sequencing, operational SLA reporting, and lead scoring time decay.</t>
        </is>
      </c>
    </row>
    <row r="223">
      <c r="A223" t="inlineStr">
        <is>
          <t>UC17</t>
        </is>
      </c>
      <c r="B223" t="inlineStr">
        <is>
          <t>UC17 3rd Party Events Booth Sca</t>
        </is>
      </c>
      <c r="C223" t="inlineStr">
        <is>
          <t>Manual Uploads</t>
        </is>
      </c>
      <c r="D223" t="inlineStr">
        <is>
          <t>3rd Party Events</t>
        </is>
      </c>
      <c r="E223" t="inlineStr">
        <is>
          <t>Booth Scan</t>
        </is>
      </c>
      <c r="F223" t="inlineStr">
        <is>
          <t>1 - System Classification</t>
        </is>
      </c>
      <c r="G223" t="inlineStr">
        <is>
          <t>Activity Type</t>
        </is>
      </c>
      <c r="H223" t="inlineStr">
        <is>
          <t>Confirm all Activity Types are captured</t>
        </is>
      </c>
      <c r="I223" t="inlineStr">
        <is>
          <t>Controls which fields are shown and how the activity maps to reporting/scoring.</t>
        </is>
      </c>
    </row>
    <row r="224">
      <c r="A224" t="inlineStr">
        <is>
          <t>UC17</t>
        </is>
      </c>
      <c r="B224" t="inlineStr">
        <is>
          <t>UC17 3rd Party Events Booth Sca</t>
        </is>
      </c>
      <c r="C224" t="inlineStr">
        <is>
          <t>Manual Uploads</t>
        </is>
      </c>
      <c r="D224" t="inlineStr">
        <is>
          <t>3rd Party Events</t>
        </is>
      </c>
      <c r="E224" t="inlineStr">
        <is>
          <t>Booth Scan</t>
        </is>
      </c>
      <c r="F224" t="inlineStr">
        <is>
          <t>1 - System Classification</t>
        </is>
      </c>
      <c r="G224" t="inlineStr">
        <is>
          <t>Use Case</t>
        </is>
      </c>
      <c r="H224" t="inlineStr">
        <is>
          <t>Confirm final list of use cases</t>
        </is>
      </c>
      <c r="I224" t="inlineStr">
        <is>
          <t>Controls the upload path, available activity and lead category types.</t>
        </is>
      </c>
    </row>
    <row r="225">
      <c r="A225" t="inlineStr">
        <is>
          <t>UC17</t>
        </is>
      </c>
      <c r="B225" t="inlineStr">
        <is>
          <t>UC17 3rd Party Events Booth Sca</t>
        </is>
      </c>
      <c r="C225" t="inlineStr">
        <is>
          <t>Manual Uploads</t>
        </is>
      </c>
      <c r="D225" t="inlineStr">
        <is>
          <t>3rd Party Events</t>
        </is>
      </c>
      <c r="E225" t="inlineStr">
        <is>
          <t>Booth Scan</t>
        </is>
      </c>
      <c r="F225" t="inlineStr">
        <is>
          <t>2 - Contact Identity</t>
        </is>
      </c>
      <c r="G225" t="inlineStr">
        <is>
          <t>Email</t>
        </is>
      </c>
      <c r="H225" t="inlineStr">
        <is>
          <t>Confirm whether business email is mandatory and personal email domains are allowed.</t>
        </is>
      </c>
      <c r="I225" t="inlineStr">
        <is>
          <t>Primary contact matching key for Eloqua/SFDC and deduplication.</t>
        </is>
      </c>
    </row>
    <row r="226">
      <c r="A226" t="inlineStr">
        <is>
          <t>UC17</t>
        </is>
      </c>
      <c r="B226" t="inlineStr">
        <is>
          <t>UC17 3rd Party Events Booth Sca</t>
        </is>
      </c>
      <c r="C226" t="inlineStr">
        <is>
          <t>Manual Uploads</t>
        </is>
      </c>
      <c r="D226" t="inlineStr">
        <is>
          <t>3rd Party Events</t>
        </is>
      </c>
      <c r="E226" t="inlineStr">
        <is>
          <t>Booth Scan</t>
        </is>
      </c>
      <c r="F226" t="inlineStr">
        <is>
          <t>2 - Contact Identity</t>
        </is>
      </c>
      <c r="G226" t="inlineStr">
        <is>
          <t>Company Name</t>
        </is>
      </c>
      <c r="H226" t="inlineStr">
        <is>
          <t>Confirm whether account matching requires domain, account ID, or company name only.</t>
        </is>
      </c>
      <c r="I226" t="inlineStr">
        <is>
          <t>Supports account matching, attribution, and funnel reporting.</t>
        </is>
      </c>
    </row>
    <row r="227">
      <c r="A227" t="inlineStr">
        <is>
          <t>UC17</t>
        </is>
      </c>
      <c r="B227" t="inlineStr">
        <is>
          <t>UC17 3rd Party Events Booth Sca</t>
        </is>
      </c>
      <c r="C227" t="inlineStr">
        <is>
          <t>Manual Uploads</t>
        </is>
      </c>
      <c r="D227" t="inlineStr">
        <is>
          <t>3rd Party Events</t>
        </is>
      </c>
      <c r="E227" t="inlineStr">
        <is>
          <t>Booth Scan</t>
        </is>
      </c>
      <c r="F227" t="inlineStr">
        <is>
          <t>3 - Account Identity</t>
        </is>
      </c>
      <c r="G227" t="inlineStr">
        <is>
          <t>Phone Extension</t>
        </is>
      </c>
      <c r="H227" t="inlineStr">
        <is>
          <t>Do we still need Extension for B&amp;S to auto dial?</t>
        </is>
      </c>
      <c r="I227" t="inlineStr">
        <is>
          <t>Excluded from standard performance reporting</t>
        </is>
      </c>
    </row>
    <row r="228">
      <c r="A228" t="inlineStr">
        <is>
          <t>UC17</t>
        </is>
      </c>
      <c r="B228" t="inlineStr">
        <is>
          <t>UC17 3rd Party Events Booth Sca</t>
        </is>
      </c>
      <c r="C228" t="inlineStr">
        <is>
          <t>Manual Uploads</t>
        </is>
      </c>
      <c r="D228" t="inlineStr">
        <is>
          <t>3rd Party Events</t>
        </is>
      </c>
      <c r="E228" t="inlineStr">
        <is>
          <t>Booth Scan</t>
        </is>
      </c>
      <c r="F228" t="inlineStr">
        <is>
          <t>3 - Account Identity</t>
        </is>
      </c>
      <c r="G228" t="inlineStr">
        <is>
          <t>Primary Phone Number</t>
        </is>
      </c>
      <c r="H228" t="inlineStr">
        <is>
          <t>OK to send if no phone number aligned?</t>
        </is>
      </c>
      <c r="I228" t="inlineStr">
        <is>
          <t>Excluded from standard performance reporting but essential for upstream Virtual Demand Center (VDC) follow-up; Phone number should not be passed to sell if localized or country-specific phone opt-out privacy rules apply</t>
        </is>
      </c>
    </row>
    <row r="229">
      <c r="A229" t="inlineStr">
        <is>
          <t>UC17</t>
        </is>
      </c>
      <c r="B229" t="inlineStr">
        <is>
          <t>UC17 3rd Party Events Booth Sca</t>
        </is>
      </c>
      <c r="C229" t="inlineStr">
        <is>
          <t>Manual Uploads</t>
        </is>
      </c>
      <c r="D229" t="inlineStr">
        <is>
          <t>3rd Party Events</t>
        </is>
      </c>
      <c r="E229" t="inlineStr">
        <is>
          <t>Booth Scan</t>
        </is>
      </c>
      <c r="F229" t="inlineStr">
        <is>
          <t>4 - Compliance / Permissions</t>
        </is>
      </c>
      <c r="G229" t="inlineStr">
        <is>
          <t>Email Opt-In Permission</t>
        </is>
      </c>
      <c r="H229" t="inlineStr">
        <is>
          <t>How should we deal with customer wanting to Opt Out - we see errors of N being added in error</t>
        </is>
      </c>
      <c r="I229" t="inlineStr">
        <is>
          <t>Supports consent, privacy, and compliance checks for manual-upload processing.</t>
        </is>
      </c>
    </row>
    <row r="230">
      <c r="A230" t="inlineStr">
        <is>
          <t>UC17</t>
        </is>
      </c>
      <c r="B230" t="inlineStr">
        <is>
          <t>UC17 3rd Party Events Booth Sca</t>
        </is>
      </c>
      <c r="C230" t="inlineStr">
        <is>
          <t>Manual Uploads</t>
        </is>
      </c>
      <c r="D230" t="inlineStr">
        <is>
          <t>3rd Party Events</t>
        </is>
      </c>
      <c r="E230" t="inlineStr">
        <is>
          <t>Booth Scan</t>
        </is>
      </c>
      <c r="F230" t="inlineStr">
        <is>
          <t>4 - Compliance / Permissions</t>
        </is>
      </c>
      <c r="G230" t="inlineStr">
        <is>
          <t>Primary Phone Opt-In Permission</t>
        </is>
      </c>
      <c r="H230" t="inlineStr">
        <is>
          <t>How should we deal with customer wanting to Opt Out - we see errors of N being added in error</t>
        </is>
      </c>
      <c r="I230" t="inlineStr">
        <is>
          <t>Supports consent, privacy, and compliance checks for manual-upload processing.</t>
        </is>
      </c>
    </row>
    <row r="231">
      <c r="A231" t="inlineStr">
        <is>
          <t>UC17</t>
        </is>
      </c>
      <c r="B231" t="inlineStr">
        <is>
          <t>UC17 3rd Party Events Booth Sca</t>
        </is>
      </c>
      <c r="C231" t="inlineStr">
        <is>
          <t>Manual Uploads</t>
        </is>
      </c>
      <c r="D231" t="inlineStr">
        <is>
          <t>3rd Party Events</t>
        </is>
      </c>
      <c r="E231" t="inlineStr">
        <is>
          <t>Booth Scan</t>
        </is>
      </c>
      <c r="F231" t="inlineStr">
        <is>
          <t>5 - Legacy Tracking Parameters</t>
        </is>
      </c>
      <c r="G231" t="inlineStr">
        <is>
          <t>Drive To ID</t>
        </is>
      </c>
      <c r="H231" t="inlineStr">
        <is>
          <t>Attribution is using EID to determine First and Third party Events - so I think we can retire DTID for Event Uploads</t>
        </is>
      </c>
      <c r="I231" t="inlineStr">
        <is>
          <t>Maintains legacy destination and drive-to reporting alignment during transition.</t>
        </is>
      </c>
    </row>
    <row r="232">
      <c r="A232" t="inlineStr">
        <is>
          <t>UC17</t>
        </is>
      </c>
      <c r="B232" t="inlineStr">
        <is>
          <t>UC17 3rd Party Events Booth Sca</t>
        </is>
      </c>
      <c r="C232" t="inlineStr">
        <is>
          <t>Manual Uploads</t>
        </is>
      </c>
      <c r="D232" t="inlineStr">
        <is>
          <t>3rd Party Events</t>
        </is>
      </c>
      <c r="E232" t="inlineStr">
        <is>
          <t>Booth Scan</t>
        </is>
      </c>
      <c r="F232" t="inlineStr">
        <is>
          <t>5 - Legacy Tracking Parameters</t>
        </is>
      </c>
      <c r="G232" t="inlineStr">
        <is>
          <t>Offer ID</t>
        </is>
      </c>
      <c r="H232" t="inlineStr">
        <is>
          <t>Think we should remove Offer ID from events</t>
        </is>
      </c>
    </row>
    <row r="233">
      <c r="A233" t="inlineStr">
        <is>
          <t>UC17</t>
        </is>
      </c>
      <c r="B233" t="inlineStr">
        <is>
          <t>UC17 3rd Party Events Booth Sca</t>
        </is>
      </c>
      <c r="C233" t="inlineStr">
        <is>
          <t>Manual Uploads</t>
        </is>
      </c>
      <c r="D233" t="inlineStr">
        <is>
          <t>3rd Party Events</t>
        </is>
      </c>
      <c r="E233" t="inlineStr">
        <is>
          <t>Booth Scan</t>
        </is>
      </c>
      <c r="F233" t="inlineStr">
        <is>
          <t>6 - Future Tracking Parameters</t>
        </is>
      </c>
      <c r="G233" t="inlineStr">
        <is>
          <t>Workfront Channel ID</t>
        </is>
      </c>
      <c r="H233" t="inlineStr">
        <is>
          <t>Will events data come from Workfront, or can all of this information come from the Global Events Table via the EID?</t>
        </is>
      </c>
      <c r="I233" t="inlineStr">
        <is>
          <t>Connects the upload to the Workfront channel taxonomy for durable operational and attribution alignment.</t>
        </is>
      </c>
    </row>
    <row r="234">
      <c r="A234" t="inlineStr">
        <is>
          <t>UC17</t>
        </is>
      </c>
      <c r="B234" t="inlineStr">
        <is>
          <t>UC17 3rd Party Events Booth Sca</t>
        </is>
      </c>
      <c r="C234" t="inlineStr">
        <is>
          <t>Manual Uploads</t>
        </is>
      </c>
      <c r="D234" t="inlineStr">
        <is>
          <t>3rd Party Events</t>
        </is>
      </c>
      <c r="E234" t="inlineStr">
        <is>
          <t>Booth Scan</t>
        </is>
      </c>
      <c r="F234" t="inlineStr">
        <is>
          <t>6 - Future Tracking Parameters</t>
        </is>
      </c>
      <c r="G234" t="inlineStr">
        <is>
          <t>Workfront Content ID</t>
        </is>
      </c>
      <c r="H234" t="inlineStr">
        <is>
          <t>Would the Event manual Upload use cases really capture a Workfront Content ID</t>
        </is>
      </c>
      <c r="I234" t="inlineStr">
        <is>
          <t>Connects the upload to the Workfront Content taxonomy for durable operational and attribution alignment.</t>
        </is>
      </c>
    </row>
    <row r="235">
      <c r="A235" t="inlineStr">
        <is>
          <t>UC17</t>
        </is>
      </c>
      <c r="B235" t="inlineStr">
        <is>
          <t>UC17 3rd Party Events Booth Sca</t>
        </is>
      </c>
      <c r="C235" t="inlineStr">
        <is>
          <t>Manual Uploads</t>
        </is>
      </c>
      <c r="D235" t="inlineStr">
        <is>
          <t>3rd Party Events</t>
        </is>
      </c>
      <c r="E235" t="inlineStr">
        <is>
          <t>Booth Scan</t>
        </is>
      </c>
      <c r="F235" t="inlineStr">
        <is>
          <t>6 - Future Tracking Parameters</t>
        </is>
      </c>
      <c r="G235" t="inlineStr">
        <is>
          <t>Content Type</t>
        </is>
      </c>
      <c r="H235" t="inlineStr">
        <is>
          <t>This field relates to Web Content Type, Webinar Type and Event Type from Workfront.</t>
        </is>
      </c>
      <c r="I235" t="inlineStr">
        <is>
          <t>Identifies the content classification for future attribution, operational, and funnel reporting aligned to Workfront Content ID.</t>
        </is>
      </c>
    </row>
    <row r="236">
      <c r="A236" t="inlineStr">
        <is>
          <t>UC17</t>
        </is>
      </c>
      <c r="B236" t="inlineStr">
        <is>
          <t>UC17 3rd Party Events Booth Sca</t>
        </is>
      </c>
      <c r="C236" t="inlineStr">
        <is>
          <t>Manual Uploads</t>
        </is>
      </c>
      <c r="D236" t="inlineStr">
        <is>
          <t>3rd Party Events</t>
        </is>
      </c>
      <c r="E236" t="inlineStr">
        <is>
          <t>Booth Scan</t>
        </is>
      </c>
      <c r="F236" t="inlineStr">
        <is>
          <t>7 - Event Tracking Parameters</t>
        </is>
      </c>
      <c r="G236" t="inlineStr">
        <is>
          <t>Event ID / EID</t>
        </is>
      </c>
      <c r="H236" t="inlineStr">
        <is>
          <t>Confirm uploader has this value before upload.</t>
        </is>
      </c>
      <c r="I236" t="inlineStr">
        <is>
          <t>Primary lookup key for attribution, operational reporting, and Global Events Table enrichment. MRF should capture the same fields as Workfront</t>
        </is>
      </c>
    </row>
    <row r="237">
      <c r="A237" t="inlineStr">
        <is>
          <t>UC17</t>
        </is>
      </c>
      <c r="B237" t="inlineStr">
        <is>
          <t>UC17 3rd Party Events Booth Sca</t>
        </is>
      </c>
      <c r="C237" t="inlineStr">
        <is>
          <t>Manual Uploads</t>
        </is>
      </c>
      <c r="D237" t="inlineStr">
        <is>
          <t>3rd Party Events</t>
        </is>
      </c>
      <c r="E237" t="inlineStr">
        <is>
          <t>Booth Scan</t>
        </is>
      </c>
      <c r="F237" t="inlineStr">
        <is>
          <t>7 - Event Tracking Parameters</t>
        </is>
      </c>
      <c r="G237" t="inlineStr">
        <is>
          <t>Event Attended</t>
        </is>
      </c>
      <c r="H237" t="inlineStr">
        <is>
          <t>Will adding an attended Booth Value double up the attendance values?</t>
        </is>
      </c>
      <c r="I237" t="inlineStr">
        <is>
          <t>Supports activity context, seller follow-up, and operational validation.</t>
        </is>
      </c>
    </row>
    <row r="238">
      <c r="A238" t="inlineStr">
        <is>
          <t>UC17</t>
        </is>
      </c>
      <c r="B238" t="inlineStr">
        <is>
          <t>UC17 3rd Party Events Booth Sca</t>
        </is>
      </c>
      <c r="C238" t="inlineStr">
        <is>
          <t>Manual Uploads</t>
        </is>
      </c>
      <c r="D238" t="inlineStr">
        <is>
          <t>3rd Party Events</t>
        </is>
      </c>
      <c r="E238" t="inlineStr">
        <is>
          <t>Booth Scan</t>
        </is>
      </c>
      <c r="F238" t="inlineStr">
        <is>
          <t>7 - Event Tracking Parameters</t>
        </is>
      </c>
      <c r="G238" t="inlineStr">
        <is>
          <t>Booth Name / Location</t>
        </is>
      </c>
      <c r="H238" t="inlineStr">
        <is>
          <t>How will we know the Booth Name? is it of any use in the events data set?</t>
        </is>
      </c>
      <c r="I238" t="inlineStr">
        <is>
          <t>Supports booth traffic and scanner utilization reporting.</t>
        </is>
      </c>
    </row>
    <row r="239">
      <c r="A239" t="inlineStr">
        <is>
          <t>UC17</t>
        </is>
      </c>
      <c r="B239" t="inlineStr">
        <is>
          <t>UC17 3rd Party Events Booth Sca</t>
        </is>
      </c>
      <c r="C239" t="inlineStr">
        <is>
          <t>Manual Uploads</t>
        </is>
      </c>
      <c r="D239" t="inlineStr">
        <is>
          <t>3rd Party Events</t>
        </is>
      </c>
      <c r="E239" t="inlineStr">
        <is>
          <t>Booth Scan</t>
        </is>
      </c>
      <c r="F239" t="inlineStr">
        <is>
          <t>7 - Event Tracking Parameters</t>
        </is>
      </c>
      <c r="G239" t="inlineStr">
        <is>
          <t>Booth Scan Date</t>
        </is>
      </c>
      <c r="H239" t="inlineStr">
        <is>
          <t>Will adding an attended Booth Value double up the attendance values?</t>
        </is>
      </c>
      <c r="I239" t="inlineStr">
        <is>
          <t>Supports floor traffic reporting, attribution sequencing, and scoring time decay.</t>
        </is>
      </c>
    </row>
    <row r="240">
      <c r="A240" t="inlineStr">
        <is>
          <t>UC17</t>
        </is>
      </c>
      <c r="B240" t="inlineStr">
        <is>
          <t>UC17 3rd Party Events Booth Sca</t>
        </is>
      </c>
      <c r="C240" t="inlineStr">
        <is>
          <t>Manual Uploads</t>
        </is>
      </c>
      <c r="D240" t="inlineStr">
        <is>
          <t>3rd Party Events</t>
        </is>
      </c>
      <c r="E240" t="inlineStr">
        <is>
          <t>Booth Scan</t>
        </is>
      </c>
      <c r="F240" t="inlineStr">
        <is>
          <t>7 - Event Tracking Parameters</t>
        </is>
      </c>
      <c r="G240" t="inlineStr">
        <is>
          <t>Customer Comments</t>
        </is>
      </c>
      <c r="H240" t="inlineStr">
        <is>
          <t>Do we really need this for Non Hand Raisers</t>
        </is>
      </c>
    </row>
    <row r="241">
      <c r="A241" t="inlineStr">
        <is>
          <t>UC18</t>
        </is>
      </c>
      <c r="B241" t="inlineStr">
        <is>
          <t>UC18 3rd Party Events Contact R</t>
        </is>
      </c>
      <c r="C241" t="inlineStr">
        <is>
          <t>Manual Uploads</t>
        </is>
      </c>
      <c r="D241" t="inlineStr">
        <is>
          <t>3rd Party Events</t>
        </is>
      </c>
      <c r="E241" t="inlineStr">
        <is>
          <t>Contact Registered</t>
        </is>
      </c>
      <c r="F241" t="inlineStr">
        <is>
          <t>1 - System Classification</t>
        </is>
      </c>
      <c r="G241" t="inlineStr">
        <is>
          <t>Activity Type</t>
        </is>
      </c>
      <c r="H241" t="inlineStr">
        <is>
          <t>Confirm all Activity Types are captured</t>
        </is>
      </c>
      <c r="I241" t="inlineStr">
        <is>
          <t>Controls which fields are shown and how the activity maps to reporting/scoring.</t>
        </is>
      </c>
    </row>
    <row r="242">
      <c r="A242" t="inlineStr">
        <is>
          <t>UC18</t>
        </is>
      </c>
      <c r="B242" t="inlineStr">
        <is>
          <t>UC18 3rd Party Events Contact R</t>
        </is>
      </c>
      <c r="C242" t="inlineStr">
        <is>
          <t>Manual Uploads</t>
        </is>
      </c>
      <c r="D242" t="inlineStr">
        <is>
          <t>3rd Party Events</t>
        </is>
      </c>
      <c r="E242" t="inlineStr">
        <is>
          <t>Contact Registered</t>
        </is>
      </c>
      <c r="F242" t="inlineStr">
        <is>
          <t>1 - System Classification</t>
        </is>
      </c>
      <c r="G242" t="inlineStr">
        <is>
          <t>Use Case</t>
        </is>
      </c>
      <c r="H242" t="inlineStr">
        <is>
          <t>Confirm final list of use cases</t>
        </is>
      </c>
      <c r="I242" t="inlineStr">
        <is>
          <t>Controls the upload path, available activity and lead category types.</t>
        </is>
      </c>
    </row>
    <row r="243">
      <c r="A243" t="inlineStr">
        <is>
          <t>UC18</t>
        </is>
      </c>
      <c r="B243" t="inlineStr">
        <is>
          <t>UC18 3rd Party Events Contact R</t>
        </is>
      </c>
      <c r="C243" t="inlineStr">
        <is>
          <t>Manual Uploads</t>
        </is>
      </c>
      <c r="D243" t="inlineStr">
        <is>
          <t>3rd Party Events</t>
        </is>
      </c>
      <c r="E243" t="inlineStr">
        <is>
          <t>Contact Registered</t>
        </is>
      </c>
      <c r="F243" t="inlineStr">
        <is>
          <t>2 - Contact Identity</t>
        </is>
      </c>
      <c r="G243" t="inlineStr">
        <is>
          <t>Email</t>
        </is>
      </c>
      <c r="H243" t="inlineStr">
        <is>
          <t>Confirm whether business email is mandatory and personal email domains are allowed.</t>
        </is>
      </c>
      <c r="I243" t="inlineStr">
        <is>
          <t>Primary contact matching key for Eloqua/SFDC and deduplication.</t>
        </is>
      </c>
    </row>
    <row r="244">
      <c r="A244" t="inlineStr">
        <is>
          <t>UC18</t>
        </is>
      </c>
      <c r="B244" t="inlineStr">
        <is>
          <t>UC18 3rd Party Events Contact R</t>
        </is>
      </c>
      <c r="C244" t="inlineStr">
        <is>
          <t>Manual Uploads</t>
        </is>
      </c>
      <c r="D244" t="inlineStr">
        <is>
          <t>3rd Party Events</t>
        </is>
      </c>
      <c r="E244" t="inlineStr">
        <is>
          <t>Contact Registered</t>
        </is>
      </c>
      <c r="F244" t="inlineStr">
        <is>
          <t>2 - Contact Identity</t>
        </is>
      </c>
      <c r="G244" t="inlineStr">
        <is>
          <t>Company Name</t>
        </is>
      </c>
      <c r="H244" t="inlineStr">
        <is>
          <t>Confirm whether account matching requires domain, account ID, or company name only.</t>
        </is>
      </c>
      <c r="I244" t="inlineStr">
        <is>
          <t>Supports account matching, attribution, and funnel reporting.</t>
        </is>
      </c>
    </row>
    <row r="245">
      <c r="A245" t="inlineStr">
        <is>
          <t>UC18</t>
        </is>
      </c>
      <c r="B245" t="inlineStr">
        <is>
          <t>UC18 3rd Party Events Contact R</t>
        </is>
      </c>
      <c r="C245" t="inlineStr">
        <is>
          <t>Manual Uploads</t>
        </is>
      </c>
      <c r="D245" t="inlineStr">
        <is>
          <t>3rd Party Events</t>
        </is>
      </c>
      <c r="E245" t="inlineStr">
        <is>
          <t>Contact Registered</t>
        </is>
      </c>
      <c r="F245" t="inlineStr">
        <is>
          <t>3 - Account Identity</t>
        </is>
      </c>
      <c r="G245" t="inlineStr">
        <is>
          <t>Phone Extension</t>
        </is>
      </c>
      <c r="H245" t="inlineStr">
        <is>
          <t>Do we still need Extension for B&amp;S to auto dial?</t>
        </is>
      </c>
      <c r="I245" t="inlineStr">
        <is>
          <t>Excluded from standard performance reporting</t>
        </is>
      </c>
    </row>
    <row r="246">
      <c r="A246" t="inlineStr">
        <is>
          <t>UC18</t>
        </is>
      </c>
      <c r="B246" t="inlineStr">
        <is>
          <t>UC18 3rd Party Events Contact R</t>
        </is>
      </c>
      <c r="C246" t="inlineStr">
        <is>
          <t>Manual Uploads</t>
        </is>
      </c>
      <c r="D246" t="inlineStr">
        <is>
          <t>3rd Party Events</t>
        </is>
      </c>
      <c r="E246" t="inlineStr">
        <is>
          <t>Contact Registered</t>
        </is>
      </c>
      <c r="F246" t="inlineStr">
        <is>
          <t>3 - Account Identity</t>
        </is>
      </c>
      <c r="G246" t="inlineStr">
        <is>
          <t>Primary Phone Number</t>
        </is>
      </c>
      <c r="H246" t="inlineStr">
        <is>
          <t>OK to send if no phone number aligned?</t>
        </is>
      </c>
      <c r="I246" t="inlineStr">
        <is>
          <t>Excluded from standard performance reporting but essential for upstream Virtual Demand Center (VDC) follow-up; Phone number should not be passed to sell if localized or country-specific phone opt-out privacy rules apply</t>
        </is>
      </c>
    </row>
    <row r="247">
      <c r="A247" t="inlineStr">
        <is>
          <t>UC18</t>
        </is>
      </c>
      <c r="B247" t="inlineStr">
        <is>
          <t>UC18 3rd Party Events Contact R</t>
        </is>
      </c>
      <c r="C247" t="inlineStr">
        <is>
          <t>Manual Uploads</t>
        </is>
      </c>
      <c r="D247" t="inlineStr">
        <is>
          <t>3rd Party Events</t>
        </is>
      </c>
      <c r="E247" t="inlineStr">
        <is>
          <t>Contact Registered</t>
        </is>
      </c>
      <c r="F247" t="inlineStr">
        <is>
          <t>4 - Compliance / Permissions</t>
        </is>
      </c>
      <c r="G247" t="inlineStr">
        <is>
          <t>Email Opt-In Permission</t>
        </is>
      </c>
      <c r="H247" t="inlineStr">
        <is>
          <t>How should we deal with customer wanting to Opt Out - we see errors of N being added in error</t>
        </is>
      </c>
      <c r="I247" t="inlineStr">
        <is>
          <t>Supports consent, privacy, and compliance checks for manual-upload processing.</t>
        </is>
      </c>
    </row>
    <row r="248">
      <c r="A248" t="inlineStr">
        <is>
          <t>UC18</t>
        </is>
      </c>
      <c r="B248" t="inlineStr">
        <is>
          <t>UC18 3rd Party Events Contact R</t>
        </is>
      </c>
      <c r="C248" t="inlineStr">
        <is>
          <t>Manual Uploads</t>
        </is>
      </c>
      <c r="D248" t="inlineStr">
        <is>
          <t>3rd Party Events</t>
        </is>
      </c>
      <c r="E248" t="inlineStr">
        <is>
          <t>Contact Registered</t>
        </is>
      </c>
      <c r="F248" t="inlineStr">
        <is>
          <t>4 - Compliance / Permissions</t>
        </is>
      </c>
      <c r="G248" t="inlineStr">
        <is>
          <t>Primary Phone Opt-In Permission</t>
        </is>
      </c>
      <c r="H248" t="inlineStr">
        <is>
          <t>How should we deal with customer wanting to Opt Out - we see errors of N being added in error</t>
        </is>
      </c>
      <c r="I248" t="inlineStr">
        <is>
          <t>Supports consent, privacy, and compliance checks for manual-upload processing.</t>
        </is>
      </c>
    </row>
    <row r="249">
      <c r="A249" t="inlineStr">
        <is>
          <t>UC18</t>
        </is>
      </c>
      <c r="B249" t="inlineStr">
        <is>
          <t>UC18 3rd Party Events Contact R</t>
        </is>
      </c>
      <c r="C249" t="inlineStr">
        <is>
          <t>Manual Uploads</t>
        </is>
      </c>
      <c r="D249" t="inlineStr">
        <is>
          <t>3rd Party Events</t>
        </is>
      </c>
      <c r="E249" t="inlineStr">
        <is>
          <t>Contact Registered</t>
        </is>
      </c>
      <c r="F249" t="inlineStr">
        <is>
          <t>5 - Legacy Tracking Parameters</t>
        </is>
      </c>
      <c r="G249" t="inlineStr">
        <is>
          <t>Drive To ID</t>
        </is>
      </c>
      <c r="H249" t="inlineStr">
        <is>
          <t>Attribution is using EID to determine First and Third party Events - so I think we can retire DTID for Event Uploads</t>
        </is>
      </c>
      <c r="I249" t="inlineStr">
        <is>
          <t>Maintains legacy destination and drive-to reporting alignment during transition.</t>
        </is>
      </c>
    </row>
    <row r="250">
      <c r="A250" t="inlineStr">
        <is>
          <t>UC18</t>
        </is>
      </c>
      <c r="B250" t="inlineStr">
        <is>
          <t>UC18 3rd Party Events Contact R</t>
        </is>
      </c>
      <c r="C250" t="inlineStr">
        <is>
          <t>Manual Uploads</t>
        </is>
      </c>
      <c r="D250" t="inlineStr">
        <is>
          <t>3rd Party Events</t>
        </is>
      </c>
      <c r="E250" t="inlineStr">
        <is>
          <t>Contact Registered</t>
        </is>
      </c>
      <c r="F250" t="inlineStr">
        <is>
          <t>5 - Legacy Tracking Parameters</t>
        </is>
      </c>
      <c r="G250" t="inlineStr">
        <is>
          <t>Offer ID</t>
        </is>
      </c>
      <c r="H250" t="inlineStr">
        <is>
          <t>Think we should remove Offer ID from events</t>
        </is>
      </c>
    </row>
    <row r="251">
      <c r="A251" t="inlineStr">
        <is>
          <t>UC18</t>
        </is>
      </c>
      <c r="B251" t="inlineStr">
        <is>
          <t>UC18 3rd Party Events Contact R</t>
        </is>
      </c>
      <c r="C251" t="inlineStr">
        <is>
          <t>Manual Uploads</t>
        </is>
      </c>
      <c r="D251" t="inlineStr">
        <is>
          <t>3rd Party Events</t>
        </is>
      </c>
      <c r="E251" t="inlineStr">
        <is>
          <t>Contact Registered</t>
        </is>
      </c>
      <c r="F251" t="inlineStr">
        <is>
          <t>6 - Future Tracking Parameters</t>
        </is>
      </c>
      <c r="G251" t="inlineStr">
        <is>
          <t>Workfront Channel ID</t>
        </is>
      </c>
      <c r="H251" t="inlineStr">
        <is>
          <t>Will events data come from Workfront, or can all of this information come from the Global Events Table via the EID?</t>
        </is>
      </c>
      <c r="I251" t="inlineStr">
        <is>
          <t>Connects the upload to the Workfront channel taxonomy for durable operational and attribution alignment.</t>
        </is>
      </c>
    </row>
    <row r="252">
      <c r="A252" t="inlineStr">
        <is>
          <t>UC18</t>
        </is>
      </c>
      <c r="B252" t="inlineStr">
        <is>
          <t>UC18 3rd Party Events Contact R</t>
        </is>
      </c>
      <c r="C252" t="inlineStr">
        <is>
          <t>Manual Uploads</t>
        </is>
      </c>
      <c r="D252" t="inlineStr">
        <is>
          <t>3rd Party Events</t>
        </is>
      </c>
      <c r="E252" t="inlineStr">
        <is>
          <t>Contact Registered</t>
        </is>
      </c>
      <c r="F252" t="inlineStr">
        <is>
          <t>6 - Future Tracking Parameters</t>
        </is>
      </c>
      <c r="G252" t="inlineStr">
        <is>
          <t>Workfront Content ID</t>
        </is>
      </c>
      <c r="H252" t="inlineStr">
        <is>
          <t>Would the Event manual Upload use cases really capture a Workfront Content ID</t>
        </is>
      </c>
      <c r="I252" t="inlineStr">
        <is>
          <t>Connects the upload to the Workfront Content taxonomy for durable operational and attribution alignment.</t>
        </is>
      </c>
    </row>
    <row r="253">
      <c r="A253" t="inlineStr">
        <is>
          <t>UC18</t>
        </is>
      </c>
      <c r="B253" t="inlineStr">
        <is>
          <t>UC18 3rd Party Events Contact R</t>
        </is>
      </c>
      <c r="C253" t="inlineStr">
        <is>
          <t>Manual Uploads</t>
        </is>
      </c>
      <c r="D253" t="inlineStr">
        <is>
          <t>3rd Party Events</t>
        </is>
      </c>
      <c r="E253" t="inlineStr">
        <is>
          <t>Contact Registered</t>
        </is>
      </c>
      <c r="F253" t="inlineStr">
        <is>
          <t>6 - Future Tracking Parameters</t>
        </is>
      </c>
      <c r="G253" t="inlineStr">
        <is>
          <t>Content Type</t>
        </is>
      </c>
      <c r="H253" t="inlineStr">
        <is>
          <t>This field relates to Web Content Type, Webinar Type and Event Type from Workfront.</t>
        </is>
      </c>
      <c r="I253" t="inlineStr">
        <is>
          <t>Identifies the content classification for future attribution, operational, and funnel reporting aligned to Workfront Content ID.</t>
        </is>
      </c>
    </row>
    <row r="254">
      <c r="A254" t="inlineStr">
        <is>
          <t>UC18</t>
        </is>
      </c>
      <c r="B254" t="inlineStr">
        <is>
          <t>UC18 3rd Party Events Contact R</t>
        </is>
      </c>
      <c r="C254" t="inlineStr">
        <is>
          <t>Manual Uploads</t>
        </is>
      </c>
      <c r="D254" t="inlineStr">
        <is>
          <t>3rd Party Events</t>
        </is>
      </c>
      <c r="E254" t="inlineStr">
        <is>
          <t>Contact Registered</t>
        </is>
      </c>
      <c r="F254" t="inlineStr">
        <is>
          <t>7 - Event Tracking Parameters</t>
        </is>
      </c>
      <c r="G254" t="inlineStr">
        <is>
          <t>Event ID / EID</t>
        </is>
      </c>
      <c r="H254" t="inlineStr">
        <is>
          <t>Confirm uploader has this value before upload.</t>
        </is>
      </c>
      <c r="I254" t="inlineStr">
        <is>
          <t>Primary lookup key for attribution, operational reporting, and Global Events Table enrichment. MRF should capture the same fields as Workfront</t>
        </is>
      </c>
    </row>
    <row r="255">
      <c r="A255" t="inlineStr">
        <is>
          <t>UC18</t>
        </is>
      </c>
      <c r="B255" t="inlineStr">
        <is>
          <t>UC18 3rd Party Events Contact R</t>
        </is>
      </c>
      <c r="C255" t="inlineStr">
        <is>
          <t>Manual Uploads</t>
        </is>
      </c>
      <c r="D255" t="inlineStr">
        <is>
          <t>3rd Party Events</t>
        </is>
      </c>
      <c r="E255" t="inlineStr">
        <is>
          <t>Contact Registered</t>
        </is>
      </c>
      <c r="F255" t="inlineStr">
        <is>
          <t>7 - Event Tracking Parameters</t>
        </is>
      </c>
      <c r="G255" t="inlineStr">
        <is>
          <t>Registration Date</t>
        </is>
      </c>
      <c r="H255" t="inlineStr">
        <is>
          <t>Confirm if we should default date to transaction date or event start date</t>
        </is>
      </c>
      <c r="I255" t="inlineStr">
        <is>
          <t>Supports registration lead-time analysis, attribution timeline, and scoring decay.</t>
        </is>
      </c>
    </row>
    <row r="256">
      <c r="A256" t="inlineStr">
        <is>
          <t>UC18</t>
        </is>
      </c>
      <c r="B256" t="inlineStr">
        <is>
          <t>UC18 3rd Party Events Contact R</t>
        </is>
      </c>
      <c r="C256" t="inlineStr">
        <is>
          <t>Manual Uploads</t>
        </is>
      </c>
      <c r="D256" t="inlineStr">
        <is>
          <t>3rd Party Events</t>
        </is>
      </c>
      <c r="E256" t="inlineStr">
        <is>
          <t>Contact Registered</t>
        </is>
      </c>
      <c r="F256" t="inlineStr">
        <is>
          <t>7 - Event Tracking Parameters</t>
        </is>
      </c>
      <c r="G256" t="inlineStr">
        <is>
          <t>Customer Comments</t>
        </is>
      </c>
      <c r="H256" t="inlineStr">
        <is>
          <t>Do we really need comments for Non-Hand Raisers?</t>
        </is>
      </c>
      <c r="I256" t="inlineStr">
        <is>
          <t>Supports activity context, seller follow-up, and operational validation.</t>
        </is>
      </c>
    </row>
    <row r="257">
      <c r="A257" t="inlineStr">
        <is>
          <t>UC19</t>
        </is>
      </c>
      <c r="B257" t="inlineStr">
        <is>
          <t>UC19 Event Sponsorships Attende</t>
        </is>
      </c>
      <c r="C257" t="inlineStr">
        <is>
          <t>Manual Uploads</t>
        </is>
      </c>
      <c r="D257" t="inlineStr">
        <is>
          <t>Event Sponsorships</t>
        </is>
      </c>
      <c r="E257" t="inlineStr">
        <is>
          <t>Attended Live In-Person</t>
        </is>
      </c>
      <c r="F257" t="inlineStr">
        <is>
          <t>1 - System Classification</t>
        </is>
      </c>
      <c r="G257" t="inlineStr">
        <is>
          <t>Activity Type</t>
        </is>
      </c>
      <c r="H257" t="inlineStr">
        <is>
          <t>Confirm all Activity Types are captured</t>
        </is>
      </c>
      <c r="I257" t="inlineStr">
        <is>
          <t>Controls which fields are shown and how the activity maps to reporting/scoring.</t>
        </is>
      </c>
    </row>
    <row r="258">
      <c r="A258" t="inlineStr">
        <is>
          <t>UC19</t>
        </is>
      </c>
      <c r="B258" t="inlineStr">
        <is>
          <t>UC19 Event Sponsorships Attende</t>
        </is>
      </c>
      <c r="C258" t="inlineStr">
        <is>
          <t>Manual Uploads</t>
        </is>
      </c>
      <c r="D258" t="inlineStr">
        <is>
          <t>Event Sponsorships</t>
        </is>
      </c>
      <c r="E258" t="inlineStr">
        <is>
          <t>Attended Live In-Person</t>
        </is>
      </c>
      <c r="F258" t="inlineStr">
        <is>
          <t>1 - System Classification</t>
        </is>
      </c>
      <c r="G258" t="inlineStr">
        <is>
          <t>Use Case</t>
        </is>
      </c>
      <c r="H258" t="inlineStr">
        <is>
          <t>Confirm final list of use cases</t>
        </is>
      </c>
      <c r="I258" t="inlineStr">
        <is>
          <t>Controls the upload path, available activity and lead category types.</t>
        </is>
      </c>
    </row>
    <row r="259">
      <c r="A259" t="inlineStr">
        <is>
          <t>UC19</t>
        </is>
      </c>
      <c r="B259" t="inlineStr">
        <is>
          <t>UC19 Event Sponsorships Attende</t>
        </is>
      </c>
      <c r="C259" t="inlineStr">
        <is>
          <t>Manual Uploads</t>
        </is>
      </c>
      <c r="D259" t="inlineStr">
        <is>
          <t>Event Sponsorships</t>
        </is>
      </c>
      <c r="E259" t="inlineStr">
        <is>
          <t>Attended Live In-Person</t>
        </is>
      </c>
      <c r="F259" t="inlineStr">
        <is>
          <t>2 - Contact Identity</t>
        </is>
      </c>
      <c r="G259" t="inlineStr">
        <is>
          <t>Email</t>
        </is>
      </c>
      <c r="H259" t="inlineStr">
        <is>
          <t>Confirm whether business email is mandatory and personal email domains are allowed.</t>
        </is>
      </c>
      <c r="I259" t="inlineStr">
        <is>
          <t>Primary contact matching key for Eloqua/SFDC and deduplication.</t>
        </is>
      </c>
    </row>
    <row r="260">
      <c r="A260" t="inlineStr">
        <is>
          <t>UC19</t>
        </is>
      </c>
      <c r="B260" t="inlineStr">
        <is>
          <t>UC19 Event Sponsorships Attende</t>
        </is>
      </c>
      <c r="C260" t="inlineStr">
        <is>
          <t>Manual Uploads</t>
        </is>
      </c>
      <c r="D260" t="inlineStr">
        <is>
          <t>Event Sponsorships</t>
        </is>
      </c>
      <c r="E260" t="inlineStr">
        <is>
          <t>Attended Live In-Person</t>
        </is>
      </c>
      <c r="F260" t="inlineStr">
        <is>
          <t>2 - Contact Identity</t>
        </is>
      </c>
      <c r="G260" t="inlineStr">
        <is>
          <t>Company Name</t>
        </is>
      </c>
      <c r="H260" t="inlineStr">
        <is>
          <t>Confirm whether account matching requires domain, account ID, or company name only.</t>
        </is>
      </c>
      <c r="I260" t="inlineStr">
        <is>
          <t>Supports account matching, attribution, and funnel reporting.</t>
        </is>
      </c>
    </row>
    <row r="261">
      <c r="A261" t="inlineStr">
        <is>
          <t>UC19</t>
        </is>
      </c>
      <c r="B261" t="inlineStr">
        <is>
          <t>UC19 Event Sponsorships Attende</t>
        </is>
      </c>
      <c r="C261" t="inlineStr">
        <is>
          <t>Manual Uploads</t>
        </is>
      </c>
      <c r="D261" t="inlineStr">
        <is>
          <t>Event Sponsorships</t>
        </is>
      </c>
      <c r="E261" t="inlineStr">
        <is>
          <t>Attended Live In-Person</t>
        </is>
      </c>
      <c r="F261" t="inlineStr">
        <is>
          <t>3 - Account Identity</t>
        </is>
      </c>
      <c r="G261" t="inlineStr">
        <is>
          <t>Phone Extension</t>
        </is>
      </c>
      <c r="H261" t="inlineStr">
        <is>
          <t>Do we still need Extension for B&amp;S to auto dial?</t>
        </is>
      </c>
      <c r="I261" t="inlineStr">
        <is>
          <t>Excluded from standard performance reporting</t>
        </is>
      </c>
    </row>
    <row r="262">
      <c r="A262" t="inlineStr">
        <is>
          <t>UC19</t>
        </is>
      </c>
      <c r="B262" t="inlineStr">
        <is>
          <t>UC19 Event Sponsorships Attende</t>
        </is>
      </c>
      <c r="C262" t="inlineStr">
        <is>
          <t>Manual Uploads</t>
        </is>
      </c>
      <c r="D262" t="inlineStr">
        <is>
          <t>Event Sponsorships</t>
        </is>
      </c>
      <c r="E262" t="inlineStr">
        <is>
          <t>Attended Live In-Person</t>
        </is>
      </c>
      <c r="F262" t="inlineStr">
        <is>
          <t>3 - Account Identity</t>
        </is>
      </c>
      <c r="G262" t="inlineStr">
        <is>
          <t>Primary Phone Number</t>
        </is>
      </c>
      <c r="H262" t="inlineStr">
        <is>
          <t>OK to send if no phone number aligned?</t>
        </is>
      </c>
      <c r="I262" t="inlineStr">
        <is>
          <t>Excluded from standard performance reporting but essential for upstream Virtual Demand Center (VDC) follow-up; Phone number should not be passed to sell if localized or country-specific phone opt-out privacy rules apply</t>
        </is>
      </c>
    </row>
    <row r="263">
      <c r="A263" t="inlineStr">
        <is>
          <t>UC19</t>
        </is>
      </c>
      <c r="B263" t="inlineStr">
        <is>
          <t>UC19 Event Sponsorships Attende</t>
        </is>
      </c>
      <c r="C263" t="inlineStr">
        <is>
          <t>Manual Uploads</t>
        </is>
      </c>
      <c r="D263" t="inlineStr">
        <is>
          <t>Event Sponsorships</t>
        </is>
      </c>
      <c r="E263" t="inlineStr">
        <is>
          <t>Attended Live In-Person</t>
        </is>
      </c>
      <c r="F263" t="inlineStr">
        <is>
          <t>4 - Compliance / Permissions</t>
        </is>
      </c>
      <c r="G263" t="inlineStr">
        <is>
          <t>Email Opt-In Permission</t>
        </is>
      </c>
      <c r="H263" t="inlineStr">
        <is>
          <t>How should we deal with customer wanting to Opt Out - we see errors of N being added in error</t>
        </is>
      </c>
      <c r="I263" t="inlineStr">
        <is>
          <t>Supports consent, privacy, and compliance checks for manual-upload processing.</t>
        </is>
      </c>
    </row>
    <row r="264">
      <c r="A264" t="inlineStr">
        <is>
          <t>UC19</t>
        </is>
      </c>
      <c r="B264" t="inlineStr">
        <is>
          <t>UC19 Event Sponsorships Attende</t>
        </is>
      </c>
      <c r="C264" t="inlineStr">
        <is>
          <t>Manual Uploads</t>
        </is>
      </c>
      <c r="D264" t="inlineStr">
        <is>
          <t>Event Sponsorships</t>
        </is>
      </c>
      <c r="E264" t="inlineStr">
        <is>
          <t>Attended Live In-Person</t>
        </is>
      </c>
      <c r="F264" t="inlineStr">
        <is>
          <t>4 - Compliance / Permissions</t>
        </is>
      </c>
      <c r="G264" t="inlineStr">
        <is>
          <t>Primary Phone Opt-In Permission</t>
        </is>
      </c>
      <c r="H264" t="inlineStr">
        <is>
          <t>How should we deal with customer wanting to Opt Out - we see errors of N being added in error</t>
        </is>
      </c>
      <c r="I264" t="inlineStr">
        <is>
          <t>Supports consent, privacy, and compliance checks for manual-upload processing.</t>
        </is>
      </c>
    </row>
    <row r="265">
      <c r="A265" t="inlineStr">
        <is>
          <t>UC19</t>
        </is>
      </c>
      <c r="B265" t="inlineStr">
        <is>
          <t>UC19 Event Sponsorships Attende</t>
        </is>
      </c>
      <c r="C265" t="inlineStr">
        <is>
          <t>Manual Uploads</t>
        </is>
      </c>
      <c r="D265" t="inlineStr">
        <is>
          <t>Event Sponsorships</t>
        </is>
      </c>
      <c r="E265" t="inlineStr">
        <is>
          <t>Attended Live In-Person</t>
        </is>
      </c>
      <c r="F265" t="inlineStr">
        <is>
          <t>5 - Legacy Tracking Parameters</t>
        </is>
      </c>
      <c r="G265" t="inlineStr">
        <is>
          <t>Drive To ID</t>
        </is>
      </c>
      <c r="H265" t="inlineStr">
        <is>
          <t>Attribution is using EID to determine First and Third party Events - so I think we can retire DTID for Event Uploads</t>
        </is>
      </c>
      <c r="I265" t="inlineStr">
        <is>
          <t>Maintains legacy destination and drive-to reporting alignment during transition.</t>
        </is>
      </c>
    </row>
    <row r="266">
      <c r="A266" t="inlineStr">
        <is>
          <t>UC19</t>
        </is>
      </c>
      <c r="B266" t="inlineStr">
        <is>
          <t>UC19 Event Sponsorships Attende</t>
        </is>
      </c>
      <c r="C266" t="inlineStr">
        <is>
          <t>Manual Uploads</t>
        </is>
      </c>
      <c r="D266" t="inlineStr">
        <is>
          <t>Event Sponsorships</t>
        </is>
      </c>
      <c r="E266" t="inlineStr">
        <is>
          <t>Attended Live In-Person</t>
        </is>
      </c>
      <c r="F266" t="inlineStr">
        <is>
          <t>5 - Legacy Tracking Parameters</t>
        </is>
      </c>
      <c r="G266" t="inlineStr">
        <is>
          <t>Offer ID</t>
        </is>
      </c>
      <c r="H266" t="inlineStr">
        <is>
          <t>Think we should remove Offer ID from events</t>
        </is>
      </c>
    </row>
    <row r="267">
      <c r="A267" t="inlineStr">
        <is>
          <t>UC19</t>
        </is>
      </c>
      <c r="B267" t="inlineStr">
        <is>
          <t>UC19 Event Sponsorships Attende</t>
        </is>
      </c>
      <c r="C267" t="inlineStr">
        <is>
          <t>Manual Uploads</t>
        </is>
      </c>
      <c r="D267" t="inlineStr">
        <is>
          <t>Event Sponsorships</t>
        </is>
      </c>
      <c r="E267" t="inlineStr">
        <is>
          <t>Attended Live In-Person</t>
        </is>
      </c>
      <c r="F267" t="inlineStr">
        <is>
          <t>6 - Future Tracking Parameters</t>
        </is>
      </c>
      <c r="G267" t="inlineStr">
        <is>
          <t>Workfront Channel ID</t>
        </is>
      </c>
      <c r="H267" t="inlineStr">
        <is>
          <t>Will events data come from Workfront, or can all of this information come from the Global Events Table via the EID?</t>
        </is>
      </c>
      <c r="I267" t="inlineStr">
        <is>
          <t>Connects the upload to the Workfront channel taxonomy for durable operational and attribution alignment.</t>
        </is>
      </c>
    </row>
    <row r="268">
      <c r="A268" t="inlineStr">
        <is>
          <t>UC19</t>
        </is>
      </c>
      <c r="B268" t="inlineStr">
        <is>
          <t>UC19 Event Sponsorships Attende</t>
        </is>
      </c>
      <c r="C268" t="inlineStr">
        <is>
          <t>Manual Uploads</t>
        </is>
      </c>
      <c r="D268" t="inlineStr">
        <is>
          <t>Event Sponsorships</t>
        </is>
      </c>
      <c r="E268" t="inlineStr">
        <is>
          <t>Attended Live In-Person</t>
        </is>
      </c>
      <c r="F268" t="inlineStr">
        <is>
          <t>6 - Future Tracking Parameters</t>
        </is>
      </c>
      <c r="G268" t="inlineStr">
        <is>
          <t>Workfront Content ID</t>
        </is>
      </c>
      <c r="H268" t="inlineStr">
        <is>
          <t>Would the Event manual Upload use cases really capture a Workfront Content ID</t>
        </is>
      </c>
      <c r="I268" t="inlineStr">
        <is>
          <t>Connects the upload to the Workfront Content taxonomy for durable operational and attribution alignment.</t>
        </is>
      </c>
    </row>
    <row r="269">
      <c r="A269" t="inlineStr">
        <is>
          <t>UC19</t>
        </is>
      </c>
      <c r="B269" t="inlineStr">
        <is>
          <t>UC19 Event Sponsorships Attende</t>
        </is>
      </c>
      <c r="C269" t="inlineStr">
        <is>
          <t>Manual Uploads</t>
        </is>
      </c>
      <c r="D269" t="inlineStr">
        <is>
          <t>Event Sponsorships</t>
        </is>
      </c>
      <c r="E269" t="inlineStr">
        <is>
          <t>Attended Live In-Person</t>
        </is>
      </c>
      <c r="F269" t="inlineStr">
        <is>
          <t>6 - Future Tracking Parameters</t>
        </is>
      </c>
      <c r="G269" t="inlineStr">
        <is>
          <t>Content Type</t>
        </is>
      </c>
      <c r="H269" t="inlineStr">
        <is>
          <t>This field relates to Web Content Type, Webinar Type and Event Type from Workfront.</t>
        </is>
      </c>
      <c r="I269" t="inlineStr">
        <is>
          <t>Identifies the content classification for future attribution, operational, and funnel reporting aligned to Workfront Content ID.</t>
        </is>
      </c>
    </row>
    <row r="270">
      <c r="A270" t="inlineStr">
        <is>
          <t>UC19</t>
        </is>
      </c>
      <c r="B270" t="inlineStr">
        <is>
          <t>UC19 Event Sponsorships Attende</t>
        </is>
      </c>
      <c r="C270" t="inlineStr">
        <is>
          <t>Manual Uploads</t>
        </is>
      </c>
      <c r="D270" t="inlineStr">
        <is>
          <t>Event Sponsorships</t>
        </is>
      </c>
      <c r="E270" t="inlineStr">
        <is>
          <t>Attended Live In-Person</t>
        </is>
      </c>
      <c r="F270" t="inlineStr">
        <is>
          <t>7 - Event Tracking Parameters</t>
        </is>
      </c>
      <c r="G270" t="inlineStr">
        <is>
          <t>Event ID / EID</t>
        </is>
      </c>
      <c r="H270" t="inlineStr">
        <is>
          <t>Confirm uploader has this value before upload.</t>
        </is>
      </c>
      <c r="I270" t="inlineStr">
        <is>
          <t>Primary lookup key for attribution, operational reporting, and Global Events Table enrichment. MRF should capture the same fields as Workfront</t>
        </is>
      </c>
    </row>
    <row r="271">
      <c r="A271" t="inlineStr">
        <is>
          <t>UC19</t>
        </is>
      </c>
      <c r="B271" t="inlineStr">
        <is>
          <t>UC19 Event Sponsorships Attende</t>
        </is>
      </c>
      <c r="C271" t="inlineStr">
        <is>
          <t>Manual Uploads</t>
        </is>
      </c>
      <c r="D271" t="inlineStr">
        <is>
          <t>Event Sponsorships</t>
        </is>
      </c>
      <c r="E271" t="inlineStr">
        <is>
          <t>Attended Live In-Person</t>
        </is>
      </c>
      <c r="F271" t="inlineStr">
        <is>
          <t>7 - Event Tracking Parameters</t>
        </is>
      </c>
      <c r="G271" t="inlineStr">
        <is>
          <t>Attendance Date</t>
        </is>
      </c>
      <c r="H271" t="inlineStr">
        <is>
          <t>Should we default the attendance date to the Transaction Date or the Event Start Date?</t>
        </is>
      </c>
      <c r="I271" t="inlineStr">
        <is>
          <t>Captures high-commitment physical attendance for attribution, operations, and scoring.</t>
        </is>
      </c>
    </row>
    <row r="272">
      <c r="A272" t="inlineStr">
        <is>
          <t>UC19</t>
        </is>
      </c>
      <c r="B272" t="inlineStr">
        <is>
          <t>UC19 Event Sponsorships Attende</t>
        </is>
      </c>
      <c r="C272" t="inlineStr">
        <is>
          <t>Manual Uploads</t>
        </is>
      </c>
      <c r="D272" t="inlineStr">
        <is>
          <t>Event Sponsorships</t>
        </is>
      </c>
      <c r="E272" t="inlineStr">
        <is>
          <t>Attended Live In-Person</t>
        </is>
      </c>
      <c r="F272" t="inlineStr">
        <is>
          <t>7 - Event Tracking Parameters</t>
        </is>
      </c>
      <c r="G272" t="inlineStr">
        <is>
          <t>Customer Comments</t>
        </is>
      </c>
      <c r="H272" t="inlineStr">
        <is>
          <t>Do we really need comments for Non-Hand Raisers?</t>
        </is>
      </c>
      <c r="I272" t="inlineStr">
        <is>
          <t>Supports activity context, seller follow-up, and operational validation.</t>
        </is>
      </c>
    </row>
    <row r="273">
      <c r="A273" t="inlineStr">
        <is>
          <t>UC19</t>
        </is>
      </c>
      <c r="B273" t="inlineStr">
        <is>
          <t>UC19 Event Sponsorships Attende</t>
        </is>
      </c>
      <c r="C273" t="inlineStr">
        <is>
          <t>Manual Uploads</t>
        </is>
      </c>
      <c r="D273" t="inlineStr">
        <is>
          <t>Event Sponsorships</t>
        </is>
      </c>
      <c r="E273" t="inlineStr">
        <is>
          <t>Attended Live In-Person</t>
        </is>
      </c>
      <c r="F273" t="inlineStr">
        <is>
          <t>7 - Event Tracking Parameters</t>
        </is>
      </c>
      <c r="G273" t="inlineStr">
        <is>
          <t>Transaction Date</t>
        </is>
      </c>
      <c r="H273" t="inlineStr">
        <is>
          <t>Confirm whether UI should show one generic Activity Date label or an activity-specific date label.</t>
        </is>
      </c>
      <c r="I273" t="inlineStr">
        <is>
          <t>Common date field for attribution sequencing, operational SLA reporting, and lead scoring time decay.</t>
        </is>
      </c>
    </row>
    <row r="274">
      <c r="A274" t="inlineStr">
        <is>
          <t>UC20</t>
        </is>
      </c>
      <c r="B274" t="inlineStr">
        <is>
          <t>UC20 Event Sponsorships Attende</t>
        </is>
      </c>
      <c r="C274" t="inlineStr">
        <is>
          <t>Manual Uploads</t>
        </is>
      </c>
      <c r="D274" t="inlineStr">
        <is>
          <t>Event Sponsorships</t>
        </is>
      </c>
      <c r="E274" t="inlineStr">
        <is>
          <t>Attended Session</t>
        </is>
      </c>
      <c r="F274" t="inlineStr">
        <is>
          <t>1 - System Classification</t>
        </is>
      </c>
      <c r="G274" t="inlineStr">
        <is>
          <t>Activity Type</t>
        </is>
      </c>
      <c r="H274" t="inlineStr">
        <is>
          <t>Confirm all Activity Types are captured</t>
        </is>
      </c>
      <c r="I274" t="inlineStr">
        <is>
          <t>Controls which fields are shown and how the activity maps to reporting/scoring.</t>
        </is>
      </c>
    </row>
    <row r="275">
      <c r="A275" t="inlineStr">
        <is>
          <t>UC20</t>
        </is>
      </c>
      <c r="B275" t="inlineStr">
        <is>
          <t>UC20 Event Sponsorships Attende</t>
        </is>
      </c>
      <c r="C275" t="inlineStr">
        <is>
          <t>Manual Uploads</t>
        </is>
      </c>
      <c r="D275" t="inlineStr">
        <is>
          <t>Event Sponsorships</t>
        </is>
      </c>
      <c r="E275" t="inlineStr">
        <is>
          <t>Attended Session</t>
        </is>
      </c>
      <c r="F275" t="inlineStr">
        <is>
          <t>1 - System Classification</t>
        </is>
      </c>
      <c r="G275" t="inlineStr">
        <is>
          <t>Use Case</t>
        </is>
      </c>
      <c r="H275" t="inlineStr">
        <is>
          <t>Confirm final list of use cases</t>
        </is>
      </c>
      <c r="I275" t="inlineStr">
        <is>
          <t>Controls the upload path, available activity and lead category types.</t>
        </is>
      </c>
    </row>
    <row r="276">
      <c r="A276" t="inlineStr">
        <is>
          <t>UC20</t>
        </is>
      </c>
      <c r="B276" t="inlineStr">
        <is>
          <t>UC20 Event Sponsorships Attende</t>
        </is>
      </c>
      <c r="C276" t="inlineStr">
        <is>
          <t>Manual Uploads</t>
        </is>
      </c>
      <c r="D276" t="inlineStr">
        <is>
          <t>Event Sponsorships</t>
        </is>
      </c>
      <c r="E276" t="inlineStr">
        <is>
          <t>Attended Session</t>
        </is>
      </c>
      <c r="F276" t="inlineStr">
        <is>
          <t>2 - Contact Identity</t>
        </is>
      </c>
      <c r="G276" t="inlineStr">
        <is>
          <t>Email</t>
        </is>
      </c>
      <c r="H276" t="inlineStr">
        <is>
          <t>Confirm whether business email is mandatory and personal email domains are allowed.</t>
        </is>
      </c>
      <c r="I276" t="inlineStr">
        <is>
          <t>Primary contact matching key for Eloqua/SFDC and deduplication.</t>
        </is>
      </c>
    </row>
    <row r="277">
      <c r="A277" t="inlineStr">
        <is>
          <t>UC20</t>
        </is>
      </c>
      <c r="B277" t="inlineStr">
        <is>
          <t>UC20 Event Sponsorships Attende</t>
        </is>
      </c>
      <c r="C277" t="inlineStr">
        <is>
          <t>Manual Uploads</t>
        </is>
      </c>
      <c r="D277" t="inlineStr">
        <is>
          <t>Event Sponsorships</t>
        </is>
      </c>
      <c r="E277" t="inlineStr">
        <is>
          <t>Attended Session</t>
        </is>
      </c>
      <c r="F277" t="inlineStr">
        <is>
          <t>2 - Contact Identity</t>
        </is>
      </c>
      <c r="G277" t="inlineStr">
        <is>
          <t>Company Name</t>
        </is>
      </c>
      <c r="H277" t="inlineStr">
        <is>
          <t>Confirm whether account matching requires domain, account ID, or company name only.</t>
        </is>
      </c>
      <c r="I277" t="inlineStr">
        <is>
          <t>Supports account matching, attribution, and funnel reporting.</t>
        </is>
      </c>
    </row>
    <row r="278">
      <c r="A278" t="inlineStr">
        <is>
          <t>UC20</t>
        </is>
      </c>
      <c r="B278" t="inlineStr">
        <is>
          <t>UC20 Event Sponsorships Attende</t>
        </is>
      </c>
      <c r="C278" t="inlineStr">
        <is>
          <t>Manual Uploads</t>
        </is>
      </c>
      <c r="D278" t="inlineStr">
        <is>
          <t>Event Sponsorships</t>
        </is>
      </c>
      <c r="E278" t="inlineStr">
        <is>
          <t>Attended Session</t>
        </is>
      </c>
      <c r="F278" t="inlineStr">
        <is>
          <t>3 - Account Identity</t>
        </is>
      </c>
      <c r="G278" t="inlineStr">
        <is>
          <t>Phone Extension</t>
        </is>
      </c>
      <c r="H278" t="inlineStr">
        <is>
          <t>Do we still need Extension for B&amp;S to auto dial?</t>
        </is>
      </c>
      <c r="I278" t="inlineStr">
        <is>
          <t>Excluded from standard performance reporting</t>
        </is>
      </c>
    </row>
    <row r="279">
      <c r="A279" t="inlineStr">
        <is>
          <t>UC20</t>
        </is>
      </c>
      <c r="B279" t="inlineStr">
        <is>
          <t>UC20 Event Sponsorships Attende</t>
        </is>
      </c>
      <c r="C279" t="inlineStr">
        <is>
          <t>Manual Uploads</t>
        </is>
      </c>
      <c r="D279" t="inlineStr">
        <is>
          <t>Event Sponsorships</t>
        </is>
      </c>
      <c r="E279" t="inlineStr">
        <is>
          <t>Attended Session</t>
        </is>
      </c>
      <c r="F279" t="inlineStr">
        <is>
          <t>3 - Account Identity</t>
        </is>
      </c>
      <c r="G279" t="inlineStr">
        <is>
          <t>Primary Phone Number</t>
        </is>
      </c>
      <c r="H279" t="inlineStr">
        <is>
          <t>OK to send if no phone number aligned?</t>
        </is>
      </c>
      <c r="I279" t="inlineStr">
        <is>
          <t>Excluded from standard performance reporting but essential for upstream Virtual Demand Center (VDC) follow-up; Phone number should not be passed to sell if localized or country-specific phone opt-out privacy rules apply</t>
        </is>
      </c>
    </row>
    <row r="280">
      <c r="A280" t="inlineStr">
        <is>
          <t>UC20</t>
        </is>
      </c>
      <c r="B280" t="inlineStr">
        <is>
          <t>UC20 Event Sponsorships Attende</t>
        </is>
      </c>
      <c r="C280" t="inlineStr">
        <is>
          <t>Manual Uploads</t>
        </is>
      </c>
      <c r="D280" t="inlineStr">
        <is>
          <t>Event Sponsorships</t>
        </is>
      </c>
      <c r="E280" t="inlineStr">
        <is>
          <t>Attended Session</t>
        </is>
      </c>
      <c r="F280" t="inlineStr">
        <is>
          <t>4 - Compliance / Permissions</t>
        </is>
      </c>
      <c r="G280" t="inlineStr">
        <is>
          <t>Email Opt-In Permission</t>
        </is>
      </c>
      <c r="H280" t="inlineStr">
        <is>
          <t>How should we deal with customer wanting to Opt Out - we see errors of N being added in error</t>
        </is>
      </c>
      <c r="I280" t="inlineStr">
        <is>
          <t>Supports consent, privacy, and compliance checks for manual-upload processing.</t>
        </is>
      </c>
    </row>
    <row r="281">
      <c r="A281" t="inlineStr">
        <is>
          <t>UC20</t>
        </is>
      </c>
      <c r="B281" t="inlineStr">
        <is>
          <t>UC20 Event Sponsorships Attende</t>
        </is>
      </c>
      <c r="C281" t="inlineStr">
        <is>
          <t>Manual Uploads</t>
        </is>
      </c>
      <c r="D281" t="inlineStr">
        <is>
          <t>Event Sponsorships</t>
        </is>
      </c>
      <c r="E281" t="inlineStr">
        <is>
          <t>Attended Session</t>
        </is>
      </c>
      <c r="F281" t="inlineStr">
        <is>
          <t>4 - Compliance / Permissions</t>
        </is>
      </c>
      <c r="G281" t="inlineStr">
        <is>
          <t>Primary Phone Opt-In Permission</t>
        </is>
      </c>
      <c r="H281" t="inlineStr">
        <is>
          <t>How should we deal with customer wanting to Opt Out - we see errors of N being added in error</t>
        </is>
      </c>
      <c r="I281" t="inlineStr">
        <is>
          <t>Supports consent, privacy, and compliance checks for manual-upload processing.</t>
        </is>
      </c>
    </row>
    <row r="282">
      <c r="A282" t="inlineStr">
        <is>
          <t>UC20</t>
        </is>
      </c>
      <c r="B282" t="inlineStr">
        <is>
          <t>UC20 Event Sponsorships Attende</t>
        </is>
      </c>
      <c r="C282" t="inlineStr">
        <is>
          <t>Manual Uploads</t>
        </is>
      </c>
      <c r="D282" t="inlineStr">
        <is>
          <t>Event Sponsorships</t>
        </is>
      </c>
      <c r="E282" t="inlineStr">
        <is>
          <t>Attended Session</t>
        </is>
      </c>
      <c r="F282" t="inlineStr">
        <is>
          <t>5 - Legacy Tracking Parameters</t>
        </is>
      </c>
      <c r="G282" t="inlineStr">
        <is>
          <t>Drive To ID</t>
        </is>
      </c>
      <c r="H282" t="inlineStr">
        <is>
          <t>Attribution is using EID to determine First and Third party Events - so I think we can retire DTID for Event Uploads</t>
        </is>
      </c>
      <c r="I282" t="inlineStr">
        <is>
          <t>Maintains legacy destination and drive-to reporting alignment during transition.</t>
        </is>
      </c>
    </row>
    <row r="283">
      <c r="A283" t="inlineStr">
        <is>
          <t>UC20</t>
        </is>
      </c>
      <c r="B283" t="inlineStr">
        <is>
          <t>UC20 Event Sponsorships Attende</t>
        </is>
      </c>
      <c r="C283" t="inlineStr">
        <is>
          <t>Manual Uploads</t>
        </is>
      </c>
      <c r="D283" t="inlineStr">
        <is>
          <t>Event Sponsorships</t>
        </is>
      </c>
      <c r="E283" t="inlineStr">
        <is>
          <t>Attended Session</t>
        </is>
      </c>
      <c r="F283" t="inlineStr">
        <is>
          <t>5 - Legacy Tracking Parameters</t>
        </is>
      </c>
      <c r="G283" t="inlineStr">
        <is>
          <t>Offer ID</t>
        </is>
      </c>
      <c r="H283" t="inlineStr">
        <is>
          <t>Think we should remove Offer ID from events</t>
        </is>
      </c>
    </row>
    <row r="284">
      <c r="A284" t="inlineStr">
        <is>
          <t>UC20</t>
        </is>
      </c>
      <c r="B284" t="inlineStr">
        <is>
          <t>UC20 Event Sponsorships Attende</t>
        </is>
      </c>
      <c r="C284" t="inlineStr">
        <is>
          <t>Manual Uploads</t>
        </is>
      </c>
      <c r="D284" t="inlineStr">
        <is>
          <t>Event Sponsorships</t>
        </is>
      </c>
      <c r="E284" t="inlineStr">
        <is>
          <t>Attended Session</t>
        </is>
      </c>
      <c r="F284" t="inlineStr">
        <is>
          <t>6 - Future Tracking Parameters</t>
        </is>
      </c>
      <c r="G284" t="inlineStr">
        <is>
          <t>Workfront Channel ID</t>
        </is>
      </c>
      <c r="H284" t="inlineStr">
        <is>
          <t>Will events data come from Workfront, or can all of this information come from the Global Events Table via the EID?</t>
        </is>
      </c>
      <c r="I284" t="inlineStr">
        <is>
          <t>Connects the upload to the Workfront channel taxonomy for durable operational and attribution alignment.</t>
        </is>
      </c>
    </row>
    <row r="285">
      <c r="A285" t="inlineStr">
        <is>
          <t>UC20</t>
        </is>
      </c>
      <c r="B285" t="inlineStr">
        <is>
          <t>UC20 Event Sponsorships Attende</t>
        </is>
      </c>
      <c r="C285" t="inlineStr">
        <is>
          <t>Manual Uploads</t>
        </is>
      </c>
      <c r="D285" t="inlineStr">
        <is>
          <t>Event Sponsorships</t>
        </is>
      </c>
      <c r="E285" t="inlineStr">
        <is>
          <t>Attended Session</t>
        </is>
      </c>
      <c r="F285" t="inlineStr">
        <is>
          <t>6 - Future Tracking Parameters</t>
        </is>
      </c>
      <c r="G285" t="inlineStr">
        <is>
          <t>Workfront Content ID</t>
        </is>
      </c>
      <c r="H285" t="inlineStr">
        <is>
          <t>Would the Event manual Upload use cases really capture a Workfront Content ID</t>
        </is>
      </c>
      <c r="I285" t="inlineStr">
        <is>
          <t>Connects the upload to the Workfront Content taxonomy for durable operational and attribution alignment.</t>
        </is>
      </c>
    </row>
    <row r="286">
      <c r="A286" t="inlineStr">
        <is>
          <t>UC20</t>
        </is>
      </c>
      <c r="B286" t="inlineStr">
        <is>
          <t>UC20 Event Sponsorships Attende</t>
        </is>
      </c>
      <c r="C286" t="inlineStr">
        <is>
          <t>Manual Uploads</t>
        </is>
      </c>
      <c r="D286" t="inlineStr">
        <is>
          <t>Event Sponsorships</t>
        </is>
      </c>
      <c r="E286" t="inlineStr">
        <is>
          <t>Attended Session</t>
        </is>
      </c>
      <c r="F286" t="inlineStr">
        <is>
          <t>6 - Future Tracking Parameters</t>
        </is>
      </c>
      <c r="G286" t="inlineStr">
        <is>
          <t>Content Type</t>
        </is>
      </c>
      <c r="H286" t="inlineStr">
        <is>
          <t>This field relates to Web Content Type, Webinar Type and Event Type from Workfront.</t>
        </is>
      </c>
      <c r="I286" t="inlineStr">
        <is>
          <t>Identifies the content classification for future attribution, operational, and funnel reporting aligned to Workfront Content ID.</t>
        </is>
      </c>
    </row>
    <row r="287">
      <c r="A287" t="inlineStr">
        <is>
          <t>UC20</t>
        </is>
      </c>
      <c r="B287" t="inlineStr">
        <is>
          <t>UC20 Event Sponsorships Attende</t>
        </is>
      </c>
      <c r="C287" t="inlineStr">
        <is>
          <t>Manual Uploads</t>
        </is>
      </c>
      <c r="D287" t="inlineStr">
        <is>
          <t>Event Sponsorships</t>
        </is>
      </c>
      <c r="E287" t="inlineStr">
        <is>
          <t>Attended Session</t>
        </is>
      </c>
      <c r="F287" t="inlineStr">
        <is>
          <t>7 - Event Tracking Parameters</t>
        </is>
      </c>
      <c r="G287" t="inlineStr">
        <is>
          <t>Event ID / EID</t>
        </is>
      </c>
      <c r="H287" t="inlineStr">
        <is>
          <t>Confirm uploader has this value before upload.</t>
        </is>
      </c>
      <c r="I287" t="inlineStr">
        <is>
          <t>Primary lookup key for attribution, operational reporting, and Global Events Table enrichment. MRF should capture the same fields as Workfront</t>
        </is>
      </c>
    </row>
    <row r="288">
      <c r="A288" t="inlineStr">
        <is>
          <t>UC20</t>
        </is>
      </c>
      <c r="B288" t="inlineStr">
        <is>
          <t>UC20 Event Sponsorships Attende</t>
        </is>
      </c>
      <c r="C288" t="inlineStr">
        <is>
          <t>Manual Uploads</t>
        </is>
      </c>
      <c r="D288" t="inlineStr">
        <is>
          <t>Event Sponsorships</t>
        </is>
      </c>
      <c r="E288" t="inlineStr">
        <is>
          <t>Attended Session</t>
        </is>
      </c>
      <c r="F288" t="inlineStr">
        <is>
          <t>7 - Event Tracking Parameters</t>
        </is>
      </c>
      <c r="G288" t="inlineStr">
        <is>
          <t>Session Name</t>
        </is>
      </c>
      <c r="H288" t="inlineStr">
        <is>
          <t>Confirm whether sessions can be selected from a controlled list or if we have an identifier to look it up</t>
        </is>
      </c>
      <c r="I288" t="inlineStr">
        <is>
          <t>Supports content-interest reporting and seller context.</t>
        </is>
      </c>
    </row>
    <row r="289">
      <c r="A289" t="inlineStr">
        <is>
          <t>UC20</t>
        </is>
      </c>
      <c r="B289" t="inlineStr">
        <is>
          <t>UC20 Event Sponsorships Attende</t>
        </is>
      </c>
      <c r="C289" t="inlineStr">
        <is>
          <t>Manual Uploads</t>
        </is>
      </c>
      <c r="D289" t="inlineStr">
        <is>
          <t>Event Sponsorships</t>
        </is>
      </c>
      <c r="E289" t="inlineStr">
        <is>
          <t>Attended Session</t>
        </is>
      </c>
      <c r="F289" t="inlineStr">
        <is>
          <t>7 - Event Tracking Parameters</t>
        </is>
      </c>
      <c r="G289" t="inlineStr">
        <is>
          <t>Session Topic / Track</t>
        </is>
      </c>
      <c r="H289" t="inlineStr">
        <is>
          <t>Confirm if a session catalog exists.</t>
        </is>
      </c>
      <c r="I289" t="inlineStr">
        <is>
          <t>Supports topic performance reporting and targeted follow-up.</t>
        </is>
      </c>
    </row>
    <row r="290">
      <c r="A290" t="inlineStr">
        <is>
          <t>UC20</t>
        </is>
      </c>
      <c r="B290" t="inlineStr">
        <is>
          <t>UC20 Event Sponsorships Attende</t>
        </is>
      </c>
      <c r="C290" t="inlineStr">
        <is>
          <t>Manual Uploads</t>
        </is>
      </c>
      <c r="D290" t="inlineStr">
        <is>
          <t>Event Sponsorships</t>
        </is>
      </c>
      <c r="E290" t="inlineStr">
        <is>
          <t>Attended Session</t>
        </is>
      </c>
      <c r="F290" t="inlineStr">
        <is>
          <t>7 - Event Tracking Parameters</t>
        </is>
      </c>
      <c r="G290" t="inlineStr">
        <is>
          <t>Sponsored Session Name</t>
        </is>
      </c>
      <c r="H290" t="inlineStr">
        <is>
          <t>Confirm whether sessions can be selected from a controlled list or if we have an identifier to look it up</t>
        </is>
      </c>
      <c r="I290" t="inlineStr">
        <is>
          <t>Supports content-interest reporting and seller context.</t>
        </is>
      </c>
    </row>
    <row r="291">
      <c r="A291" t="inlineStr">
        <is>
          <t>UC20</t>
        </is>
      </c>
      <c r="B291" t="inlineStr">
        <is>
          <t>UC20 Event Sponsorships Attende</t>
        </is>
      </c>
      <c r="C291" t="inlineStr">
        <is>
          <t>Manual Uploads</t>
        </is>
      </c>
      <c r="D291" t="inlineStr">
        <is>
          <t>Event Sponsorships</t>
        </is>
      </c>
      <c r="E291" t="inlineStr">
        <is>
          <t>Attended Session</t>
        </is>
      </c>
      <c r="F291" t="inlineStr">
        <is>
          <t>7 - Event Tracking Parameters</t>
        </is>
      </c>
      <c r="G291" t="inlineStr">
        <is>
          <t>Customer Comments</t>
        </is>
      </c>
      <c r="H291" t="inlineStr">
        <is>
          <t>Do we really need comments for Non-Hand Raisers?</t>
        </is>
      </c>
      <c r="I291" t="inlineStr">
        <is>
          <t>Supports activity context, seller follow-up, and operational validation.</t>
        </is>
      </c>
    </row>
    <row r="292">
      <c r="A292" t="inlineStr">
        <is>
          <t>UC20</t>
        </is>
      </c>
      <c r="B292" t="inlineStr">
        <is>
          <t>UC20 Event Sponsorships Attende</t>
        </is>
      </c>
      <c r="C292" t="inlineStr">
        <is>
          <t>Manual Uploads</t>
        </is>
      </c>
      <c r="D292" t="inlineStr">
        <is>
          <t>Event Sponsorships</t>
        </is>
      </c>
      <c r="E292" t="inlineStr">
        <is>
          <t>Attended Session</t>
        </is>
      </c>
      <c r="F292" t="inlineStr">
        <is>
          <t>7 - Event Tracking Parameters</t>
        </is>
      </c>
      <c r="G292" t="inlineStr">
        <is>
          <t>Transaction Date</t>
        </is>
      </c>
      <c r="H292" t="inlineStr">
        <is>
          <t>Confirm whether UI should show one generic Activity Date label or an activity-specific date label.</t>
        </is>
      </c>
      <c r="I292" t="inlineStr">
        <is>
          <t>Common date field for attribution sequencing, operational SLA reporting, and lead scoring time decay.</t>
        </is>
      </c>
    </row>
    <row r="293">
      <c r="A293" t="inlineStr">
        <is>
          <t>UC21</t>
        </is>
      </c>
      <c r="B293" t="inlineStr">
        <is>
          <t>UC21 Event Sponsorships Registe</t>
        </is>
      </c>
      <c r="C293" t="inlineStr">
        <is>
          <t>Manual Uploads</t>
        </is>
      </c>
      <c r="D293" t="inlineStr">
        <is>
          <t>Event Sponsorships</t>
        </is>
      </c>
      <c r="E293" t="inlineStr">
        <is>
          <t>Registered</t>
        </is>
      </c>
      <c r="F293" t="inlineStr">
        <is>
          <t>1 - System Classification</t>
        </is>
      </c>
      <c r="G293" t="inlineStr">
        <is>
          <t>Activity Type</t>
        </is>
      </c>
      <c r="H293" t="inlineStr">
        <is>
          <t>Confirm all Activity Types are captured</t>
        </is>
      </c>
      <c r="I293" t="inlineStr">
        <is>
          <t>Controls which fields are shown and how the activity maps to reporting/scoring.</t>
        </is>
      </c>
    </row>
    <row r="294">
      <c r="A294" t="inlineStr">
        <is>
          <t>UC21</t>
        </is>
      </c>
      <c r="B294" t="inlineStr">
        <is>
          <t>UC21 Event Sponsorships Registe</t>
        </is>
      </c>
      <c r="C294" t="inlineStr">
        <is>
          <t>Manual Uploads</t>
        </is>
      </c>
      <c r="D294" t="inlineStr">
        <is>
          <t>Event Sponsorships</t>
        </is>
      </c>
      <c r="E294" t="inlineStr">
        <is>
          <t>Registered</t>
        </is>
      </c>
      <c r="F294" t="inlineStr">
        <is>
          <t>1 - System Classification</t>
        </is>
      </c>
      <c r="G294" t="inlineStr">
        <is>
          <t>Use Case</t>
        </is>
      </c>
      <c r="H294" t="inlineStr">
        <is>
          <t>Confirm final list of use cases</t>
        </is>
      </c>
      <c r="I294" t="inlineStr">
        <is>
          <t>Controls the upload path, available activity and lead category types.</t>
        </is>
      </c>
    </row>
    <row r="295">
      <c r="A295" t="inlineStr">
        <is>
          <t>UC21</t>
        </is>
      </c>
      <c r="B295" t="inlineStr">
        <is>
          <t>UC21 Event Sponsorships Registe</t>
        </is>
      </c>
      <c r="C295" t="inlineStr">
        <is>
          <t>Manual Uploads</t>
        </is>
      </c>
      <c r="D295" t="inlineStr">
        <is>
          <t>Event Sponsorships</t>
        </is>
      </c>
      <c r="E295" t="inlineStr">
        <is>
          <t>Registered</t>
        </is>
      </c>
      <c r="F295" t="inlineStr">
        <is>
          <t>2 - Contact Identity</t>
        </is>
      </c>
      <c r="G295" t="inlineStr">
        <is>
          <t>Email</t>
        </is>
      </c>
      <c r="H295" t="inlineStr">
        <is>
          <t>Confirm whether business email is mandatory and personal email domains are allowed.</t>
        </is>
      </c>
      <c r="I295" t="inlineStr">
        <is>
          <t>Primary contact matching key for Eloqua/SFDC and deduplication.</t>
        </is>
      </c>
    </row>
    <row r="296">
      <c r="A296" t="inlineStr">
        <is>
          <t>UC21</t>
        </is>
      </c>
      <c r="B296" t="inlineStr">
        <is>
          <t>UC21 Event Sponsorships Registe</t>
        </is>
      </c>
      <c r="C296" t="inlineStr">
        <is>
          <t>Manual Uploads</t>
        </is>
      </c>
      <c r="D296" t="inlineStr">
        <is>
          <t>Event Sponsorships</t>
        </is>
      </c>
      <c r="E296" t="inlineStr">
        <is>
          <t>Registered</t>
        </is>
      </c>
      <c r="F296" t="inlineStr">
        <is>
          <t>2 - Contact Identity</t>
        </is>
      </c>
      <c r="G296" t="inlineStr">
        <is>
          <t>Company Name</t>
        </is>
      </c>
      <c r="H296" t="inlineStr">
        <is>
          <t>Confirm whether account matching requires domain, account ID, or company name only.</t>
        </is>
      </c>
      <c r="I296" t="inlineStr">
        <is>
          <t>Supports account matching, attribution, and funnel reporting.</t>
        </is>
      </c>
    </row>
    <row r="297">
      <c r="A297" t="inlineStr">
        <is>
          <t>UC21</t>
        </is>
      </c>
      <c r="B297" t="inlineStr">
        <is>
          <t>UC21 Event Sponsorships Registe</t>
        </is>
      </c>
      <c r="C297" t="inlineStr">
        <is>
          <t>Manual Uploads</t>
        </is>
      </c>
      <c r="D297" t="inlineStr">
        <is>
          <t>Event Sponsorships</t>
        </is>
      </c>
      <c r="E297" t="inlineStr">
        <is>
          <t>Registered</t>
        </is>
      </c>
      <c r="F297" t="inlineStr">
        <is>
          <t>3 - Account Identity</t>
        </is>
      </c>
      <c r="G297" t="inlineStr">
        <is>
          <t>Phone Extension</t>
        </is>
      </c>
      <c r="H297" t="inlineStr">
        <is>
          <t>Do we still need Extension for B&amp;S to auto dial?</t>
        </is>
      </c>
      <c r="I297" t="inlineStr">
        <is>
          <t>Excluded from standard performance reporting</t>
        </is>
      </c>
    </row>
    <row r="298">
      <c r="A298" t="inlineStr">
        <is>
          <t>UC21</t>
        </is>
      </c>
      <c r="B298" t="inlineStr">
        <is>
          <t>UC21 Event Sponsorships Registe</t>
        </is>
      </c>
      <c r="C298" t="inlineStr">
        <is>
          <t>Manual Uploads</t>
        </is>
      </c>
      <c r="D298" t="inlineStr">
        <is>
          <t>Event Sponsorships</t>
        </is>
      </c>
      <c r="E298" t="inlineStr">
        <is>
          <t>Registered</t>
        </is>
      </c>
      <c r="F298" t="inlineStr">
        <is>
          <t>3 - Account Identity</t>
        </is>
      </c>
      <c r="G298" t="inlineStr">
        <is>
          <t>Primary Phone Number</t>
        </is>
      </c>
      <c r="H298" t="inlineStr">
        <is>
          <t>OK to send if no phone number aligned?</t>
        </is>
      </c>
      <c r="I298" t="inlineStr">
        <is>
          <t>Excluded from standard performance reporting but essential for upstream Virtual Demand Center (VDC) follow-up; Phone number should not be passed to sell if localized or country-specific phone opt-out privacy rules apply</t>
        </is>
      </c>
    </row>
    <row r="299">
      <c r="A299" t="inlineStr">
        <is>
          <t>UC21</t>
        </is>
      </c>
      <c r="B299" t="inlineStr">
        <is>
          <t>UC21 Event Sponsorships Registe</t>
        </is>
      </c>
      <c r="C299" t="inlineStr">
        <is>
          <t>Manual Uploads</t>
        </is>
      </c>
      <c r="D299" t="inlineStr">
        <is>
          <t>Event Sponsorships</t>
        </is>
      </c>
      <c r="E299" t="inlineStr">
        <is>
          <t>Registered</t>
        </is>
      </c>
      <c r="F299" t="inlineStr">
        <is>
          <t>4 - Compliance / Permissions</t>
        </is>
      </c>
      <c r="G299" t="inlineStr">
        <is>
          <t>Email Opt-In Permission</t>
        </is>
      </c>
      <c r="H299" t="inlineStr">
        <is>
          <t>How should we deal with customer wanting to Opt Out - we see errors of N being added in error</t>
        </is>
      </c>
      <c r="I299" t="inlineStr">
        <is>
          <t>Supports consent, privacy, and compliance checks for manual-upload processing.</t>
        </is>
      </c>
    </row>
    <row r="300">
      <c r="A300" t="inlineStr">
        <is>
          <t>UC21</t>
        </is>
      </c>
      <c r="B300" t="inlineStr">
        <is>
          <t>UC21 Event Sponsorships Registe</t>
        </is>
      </c>
      <c r="C300" t="inlineStr">
        <is>
          <t>Manual Uploads</t>
        </is>
      </c>
      <c r="D300" t="inlineStr">
        <is>
          <t>Event Sponsorships</t>
        </is>
      </c>
      <c r="E300" t="inlineStr">
        <is>
          <t>Registered</t>
        </is>
      </c>
      <c r="F300" t="inlineStr">
        <is>
          <t>4 - Compliance / Permissions</t>
        </is>
      </c>
      <c r="G300" t="inlineStr">
        <is>
          <t>Primary Phone Opt-In Permission</t>
        </is>
      </c>
      <c r="H300" t="inlineStr">
        <is>
          <t>How should we deal with customer wanting to Opt Out - we see errors of N being added in error</t>
        </is>
      </c>
      <c r="I300" t="inlineStr">
        <is>
          <t>Supports consent, privacy, and compliance checks for manual-upload processing.</t>
        </is>
      </c>
    </row>
    <row r="301">
      <c r="A301" t="inlineStr">
        <is>
          <t>UC21</t>
        </is>
      </c>
      <c r="B301" t="inlineStr">
        <is>
          <t>UC21 Event Sponsorships Registe</t>
        </is>
      </c>
      <c r="C301" t="inlineStr">
        <is>
          <t>Manual Uploads</t>
        </is>
      </c>
      <c r="D301" t="inlineStr">
        <is>
          <t>Event Sponsorships</t>
        </is>
      </c>
      <c r="E301" t="inlineStr">
        <is>
          <t>Registered</t>
        </is>
      </c>
      <c r="F301" t="inlineStr">
        <is>
          <t>5 - Legacy Tracking Parameters</t>
        </is>
      </c>
      <c r="G301" t="inlineStr">
        <is>
          <t>Drive To ID</t>
        </is>
      </c>
      <c r="H301" t="inlineStr">
        <is>
          <t>Attribution is using EID to determine First and Third party Events - so I think we can retire DTID for Event Uploads</t>
        </is>
      </c>
      <c r="I301" t="inlineStr">
        <is>
          <t>Maintains legacy destination and drive-to reporting alignment during transition.</t>
        </is>
      </c>
    </row>
    <row r="302">
      <c r="A302" t="inlineStr">
        <is>
          <t>UC21</t>
        </is>
      </c>
      <c r="B302" t="inlineStr">
        <is>
          <t>UC21 Event Sponsorships Registe</t>
        </is>
      </c>
      <c r="C302" t="inlineStr">
        <is>
          <t>Manual Uploads</t>
        </is>
      </c>
      <c r="D302" t="inlineStr">
        <is>
          <t>Event Sponsorships</t>
        </is>
      </c>
      <c r="E302" t="inlineStr">
        <is>
          <t>Registered</t>
        </is>
      </c>
      <c r="F302" t="inlineStr">
        <is>
          <t>5 - Legacy Tracking Parameters</t>
        </is>
      </c>
      <c r="G302" t="inlineStr">
        <is>
          <t>Offer ID</t>
        </is>
      </c>
      <c r="H302" t="inlineStr">
        <is>
          <t>Think we should remove Offer ID from events</t>
        </is>
      </c>
    </row>
    <row r="303">
      <c r="A303" t="inlineStr">
        <is>
          <t>UC21</t>
        </is>
      </c>
      <c r="B303" t="inlineStr">
        <is>
          <t>UC21 Event Sponsorships Registe</t>
        </is>
      </c>
      <c r="C303" t="inlineStr">
        <is>
          <t>Manual Uploads</t>
        </is>
      </c>
      <c r="D303" t="inlineStr">
        <is>
          <t>Event Sponsorships</t>
        </is>
      </c>
      <c r="E303" t="inlineStr">
        <is>
          <t>Registered</t>
        </is>
      </c>
      <c r="F303" t="inlineStr">
        <is>
          <t>6 - Future Tracking Parameters</t>
        </is>
      </c>
      <c r="G303" t="inlineStr">
        <is>
          <t>Workfront Channel ID</t>
        </is>
      </c>
      <c r="H303" t="inlineStr">
        <is>
          <t>Will events data come from Workfront, or can all of this information come from the Global Events Table via the EID?</t>
        </is>
      </c>
      <c r="I303" t="inlineStr">
        <is>
          <t>Connects the upload to the Workfront channel taxonomy for durable operational and attribution alignment.</t>
        </is>
      </c>
    </row>
    <row r="304">
      <c r="A304" t="inlineStr">
        <is>
          <t>UC21</t>
        </is>
      </c>
      <c r="B304" t="inlineStr">
        <is>
          <t>UC21 Event Sponsorships Registe</t>
        </is>
      </c>
      <c r="C304" t="inlineStr">
        <is>
          <t>Manual Uploads</t>
        </is>
      </c>
      <c r="D304" t="inlineStr">
        <is>
          <t>Event Sponsorships</t>
        </is>
      </c>
      <c r="E304" t="inlineStr">
        <is>
          <t>Registered</t>
        </is>
      </c>
      <c r="F304" t="inlineStr">
        <is>
          <t>6 - Future Tracking Parameters</t>
        </is>
      </c>
      <c r="G304" t="inlineStr">
        <is>
          <t>Workfront Content ID</t>
        </is>
      </c>
      <c r="H304" t="inlineStr">
        <is>
          <t>Would the Event manual Upload use cases really capture a Workfront Content ID</t>
        </is>
      </c>
      <c r="I304" t="inlineStr">
        <is>
          <t>Connects the upload to the Workfront Content taxonomy for durable operational and attribution alignment.</t>
        </is>
      </c>
    </row>
    <row r="305">
      <c r="A305" t="inlineStr">
        <is>
          <t>UC21</t>
        </is>
      </c>
      <c r="B305" t="inlineStr">
        <is>
          <t>UC21 Event Sponsorships Registe</t>
        </is>
      </c>
      <c r="C305" t="inlineStr">
        <is>
          <t>Manual Uploads</t>
        </is>
      </c>
      <c r="D305" t="inlineStr">
        <is>
          <t>Event Sponsorships</t>
        </is>
      </c>
      <c r="E305" t="inlineStr">
        <is>
          <t>Registered</t>
        </is>
      </c>
      <c r="F305" t="inlineStr">
        <is>
          <t>6 - Future Tracking Parameters</t>
        </is>
      </c>
      <c r="G305" t="inlineStr">
        <is>
          <t>Content Type</t>
        </is>
      </c>
      <c r="H305" t="inlineStr">
        <is>
          <t>This field relates to Web Content Type, Webinar Type and Event Type from Workfront.</t>
        </is>
      </c>
      <c r="I305" t="inlineStr">
        <is>
          <t>Identifies the content classification for future attribution, operational, and funnel reporting aligned to Workfront Content ID.</t>
        </is>
      </c>
    </row>
    <row r="306">
      <c r="A306" t="inlineStr">
        <is>
          <t>UC21</t>
        </is>
      </c>
      <c r="B306" t="inlineStr">
        <is>
          <t>UC21 Event Sponsorships Registe</t>
        </is>
      </c>
      <c r="C306" t="inlineStr">
        <is>
          <t>Manual Uploads</t>
        </is>
      </c>
      <c r="D306" t="inlineStr">
        <is>
          <t>Event Sponsorships</t>
        </is>
      </c>
      <c r="E306" t="inlineStr">
        <is>
          <t>Registered</t>
        </is>
      </c>
      <c r="F306" t="inlineStr">
        <is>
          <t>7 - Event Tracking Parameters</t>
        </is>
      </c>
      <c r="G306" t="inlineStr">
        <is>
          <t>Event ID / EID</t>
        </is>
      </c>
      <c r="H306" t="inlineStr">
        <is>
          <t>Confirm uploader has this value before upload.</t>
        </is>
      </c>
      <c r="I306" t="inlineStr">
        <is>
          <t>Primary lookup key for attribution, operational reporting, and Global Events Table enrichment. MRF should capture the same fields as Workfront</t>
        </is>
      </c>
    </row>
    <row r="307">
      <c r="A307" t="inlineStr">
        <is>
          <t>UC21</t>
        </is>
      </c>
      <c r="B307" t="inlineStr">
        <is>
          <t>UC21 Event Sponsorships Registe</t>
        </is>
      </c>
      <c r="C307" t="inlineStr">
        <is>
          <t>Manual Uploads</t>
        </is>
      </c>
      <c r="D307" t="inlineStr">
        <is>
          <t>Event Sponsorships</t>
        </is>
      </c>
      <c r="E307" t="inlineStr">
        <is>
          <t>Registered</t>
        </is>
      </c>
      <c r="F307" t="inlineStr">
        <is>
          <t>7 - Event Tracking Parameters</t>
        </is>
      </c>
      <c r="G307" t="inlineStr">
        <is>
          <t>Registration Date</t>
        </is>
      </c>
      <c r="H307" t="inlineStr">
        <is>
          <t>OK to use Transaction Date</t>
        </is>
      </c>
    </row>
    <row r="308">
      <c r="A308" t="inlineStr">
        <is>
          <t>UC21</t>
        </is>
      </c>
      <c r="B308" t="inlineStr">
        <is>
          <t>UC21 Event Sponsorships Registe</t>
        </is>
      </c>
      <c r="C308" t="inlineStr">
        <is>
          <t>Manual Uploads</t>
        </is>
      </c>
      <c r="D308" t="inlineStr">
        <is>
          <t>Event Sponsorships</t>
        </is>
      </c>
      <c r="E308" t="inlineStr">
        <is>
          <t>Registered</t>
        </is>
      </c>
      <c r="F308" t="inlineStr">
        <is>
          <t>7 - Event Tracking Parameters</t>
        </is>
      </c>
      <c r="G308" t="inlineStr">
        <is>
          <t>Customer Comments</t>
        </is>
      </c>
      <c r="H308" t="inlineStr">
        <is>
          <t>Do we really need comments for Non-Hand Raisers?</t>
        </is>
      </c>
      <c r="I308" t="inlineStr">
        <is>
          <t>Supports activity context, seller follow-up, and operational validation.</t>
        </is>
      </c>
    </row>
    <row r="309">
      <c r="A309" t="inlineStr">
        <is>
          <t>UC22</t>
        </is>
      </c>
      <c r="B309" t="inlineStr">
        <is>
          <t>UC22 Webinars Attended Live Vir</t>
        </is>
      </c>
      <c r="C309" t="inlineStr">
        <is>
          <t>Manual Uploads</t>
        </is>
      </c>
      <c r="D309" t="inlineStr">
        <is>
          <t>Webinars</t>
        </is>
      </c>
      <c r="E309" t="inlineStr">
        <is>
          <t>Attended Live Virtual</t>
        </is>
      </c>
      <c r="F309" t="inlineStr">
        <is>
          <t>1 - System Classification</t>
        </is>
      </c>
      <c r="G309" t="inlineStr">
        <is>
          <t>Activity Type</t>
        </is>
      </c>
      <c r="H309" t="inlineStr">
        <is>
          <t>Confirm all Activity Types are captured</t>
        </is>
      </c>
      <c r="I309" t="inlineStr">
        <is>
          <t>Controls which fields are shown and how the activity maps to reporting/scoring.</t>
        </is>
      </c>
    </row>
    <row r="310">
      <c r="A310" t="inlineStr">
        <is>
          <t>UC22</t>
        </is>
      </c>
      <c r="B310" t="inlineStr">
        <is>
          <t>UC22 Webinars Attended Live Vir</t>
        </is>
      </c>
      <c r="C310" t="inlineStr">
        <is>
          <t>Manual Uploads</t>
        </is>
      </c>
      <c r="D310" t="inlineStr">
        <is>
          <t>Webinars</t>
        </is>
      </c>
      <c r="E310" t="inlineStr">
        <is>
          <t>Attended Live Virtual</t>
        </is>
      </c>
      <c r="F310" t="inlineStr">
        <is>
          <t>1 - System Classification</t>
        </is>
      </c>
      <c r="G310" t="inlineStr">
        <is>
          <t>Use Case</t>
        </is>
      </c>
      <c r="H310" t="inlineStr">
        <is>
          <t>Confirm final list of use cases</t>
        </is>
      </c>
      <c r="I310" t="inlineStr">
        <is>
          <t>Controls the upload path, available activity and lead category types.</t>
        </is>
      </c>
    </row>
    <row r="311">
      <c r="A311" t="inlineStr">
        <is>
          <t>UC22</t>
        </is>
      </c>
      <c r="B311" t="inlineStr">
        <is>
          <t>UC22 Webinars Attended Live Vir</t>
        </is>
      </c>
      <c r="C311" t="inlineStr">
        <is>
          <t>Manual Uploads</t>
        </is>
      </c>
      <c r="D311" t="inlineStr">
        <is>
          <t>Webinars</t>
        </is>
      </c>
      <c r="E311" t="inlineStr">
        <is>
          <t>Attended Live Virtual</t>
        </is>
      </c>
      <c r="F311" t="inlineStr">
        <is>
          <t>2 - Contact Identity</t>
        </is>
      </c>
      <c r="G311" t="inlineStr">
        <is>
          <t>Email</t>
        </is>
      </c>
      <c r="H311" t="inlineStr">
        <is>
          <t>Confirm whether business email is mandatory and personal email domains are allowed.</t>
        </is>
      </c>
      <c r="I311" t="inlineStr">
        <is>
          <t>Primary contact matching key for Eloqua/SFDC and deduplication.</t>
        </is>
      </c>
    </row>
    <row r="312">
      <c r="A312" t="inlineStr">
        <is>
          <t>UC22</t>
        </is>
      </c>
      <c r="B312" t="inlineStr">
        <is>
          <t>UC22 Webinars Attended Live Vir</t>
        </is>
      </c>
      <c r="C312" t="inlineStr">
        <is>
          <t>Manual Uploads</t>
        </is>
      </c>
      <c r="D312" t="inlineStr">
        <is>
          <t>Webinars</t>
        </is>
      </c>
      <c r="E312" t="inlineStr">
        <is>
          <t>Attended Live Virtual</t>
        </is>
      </c>
      <c r="F312" t="inlineStr">
        <is>
          <t>2 - Contact Identity</t>
        </is>
      </c>
      <c r="G312" t="inlineStr">
        <is>
          <t>Company Name</t>
        </is>
      </c>
      <c r="H312" t="inlineStr">
        <is>
          <t>Confirm whether account matching requires domain, account ID, or company name only.</t>
        </is>
      </c>
      <c r="I312" t="inlineStr">
        <is>
          <t>Supports account matching, attribution, and funnel reporting.</t>
        </is>
      </c>
    </row>
    <row r="313">
      <c r="A313" t="inlineStr">
        <is>
          <t>UC22</t>
        </is>
      </c>
      <c r="B313" t="inlineStr">
        <is>
          <t>UC22 Webinars Attended Live Vir</t>
        </is>
      </c>
      <c r="C313" t="inlineStr">
        <is>
          <t>Manual Uploads</t>
        </is>
      </c>
      <c r="D313" t="inlineStr">
        <is>
          <t>Webinars</t>
        </is>
      </c>
      <c r="E313" t="inlineStr">
        <is>
          <t>Attended Live Virtual</t>
        </is>
      </c>
      <c r="F313" t="inlineStr">
        <is>
          <t>3 - Account Identity</t>
        </is>
      </c>
      <c r="G313" t="inlineStr">
        <is>
          <t>Phone Extension</t>
        </is>
      </c>
      <c r="H313" t="inlineStr">
        <is>
          <t>Do we still need Extension for B&amp;S to auto dial?</t>
        </is>
      </c>
      <c r="I313" t="inlineStr">
        <is>
          <t>Excluded from standard performance reporting</t>
        </is>
      </c>
    </row>
    <row r="314">
      <c r="A314" t="inlineStr">
        <is>
          <t>UC22</t>
        </is>
      </c>
      <c r="B314" t="inlineStr">
        <is>
          <t>UC22 Webinars Attended Live Vir</t>
        </is>
      </c>
      <c r="C314" t="inlineStr">
        <is>
          <t>Manual Uploads</t>
        </is>
      </c>
      <c r="D314" t="inlineStr">
        <is>
          <t>Webinars</t>
        </is>
      </c>
      <c r="E314" t="inlineStr">
        <is>
          <t>Attended Live Virtual</t>
        </is>
      </c>
      <c r="F314" t="inlineStr">
        <is>
          <t>3 - Account Identity</t>
        </is>
      </c>
      <c r="G314" t="inlineStr">
        <is>
          <t>Primary Phone Number</t>
        </is>
      </c>
      <c r="H314" t="inlineStr">
        <is>
          <t>OK to send if no phone number aligned?</t>
        </is>
      </c>
      <c r="I314" t="inlineStr">
        <is>
          <t>Excluded from standard performance reporting but essential for upstream Virtual Demand Center (VDC) follow-up; Phone number should not be passed to sell if localized or country-specific phone opt-out privacy rules apply</t>
        </is>
      </c>
    </row>
    <row r="315">
      <c r="A315" t="inlineStr">
        <is>
          <t>UC22</t>
        </is>
      </c>
      <c r="B315" t="inlineStr">
        <is>
          <t>UC22 Webinars Attended Live Vir</t>
        </is>
      </c>
      <c r="C315" t="inlineStr">
        <is>
          <t>Manual Uploads</t>
        </is>
      </c>
      <c r="D315" t="inlineStr">
        <is>
          <t>Webinars</t>
        </is>
      </c>
      <c r="E315" t="inlineStr">
        <is>
          <t>Attended Live Virtual</t>
        </is>
      </c>
      <c r="F315" t="inlineStr">
        <is>
          <t>4 - Compliance / Permissions</t>
        </is>
      </c>
      <c r="G315" t="inlineStr">
        <is>
          <t>Email Opt-In Permission</t>
        </is>
      </c>
      <c r="H315" t="inlineStr">
        <is>
          <t>How should we deal with customer wanting to Opt Out - we see errors of N being added in error</t>
        </is>
      </c>
      <c r="I315" t="inlineStr">
        <is>
          <t>Supports consent, privacy, and compliance checks for manual-upload processing.</t>
        </is>
      </c>
    </row>
    <row r="316">
      <c r="A316" t="inlineStr">
        <is>
          <t>UC22</t>
        </is>
      </c>
      <c r="B316" t="inlineStr">
        <is>
          <t>UC22 Webinars Attended Live Vir</t>
        </is>
      </c>
      <c r="C316" t="inlineStr">
        <is>
          <t>Manual Uploads</t>
        </is>
      </c>
      <c r="D316" t="inlineStr">
        <is>
          <t>Webinars</t>
        </is>
      </c>
      <c r="E316" t="inlineStr">
        <is>
          <t>Attended Live Virtual</t>
        </is>
      </c>
      <c r="F316" t="inlineStr">
        <is>
          <t>4 - Compliance / Permissions</t>
        </is>
      </c>
      <c r="G316" t="inlineStr">
        <is>
          <t>Primary Phone Opt-In Permission</t>
        </is>
      </c>
      <c r="H316" t="inlineStr">
        <is>
          <t>How should we deal with customer wanting to Opt Out - we see errors of N being added in error</t>
        </is>
      </c>
      <c r="I316" t="inlineStr">
        <is>
          <t>Supports consent, privacy, and compliance checks for manual-upload processing.</t>
        </is>
      </c>
    </row>
    <row r="317">
      <c r="A317" t="inlineStr">
        <is>
          <t>UC22</t>
        </is>
      </c>
      <c r="B317" t="inlineStr">
        <is>
          <t>UC22 Webinars Attended Live Vir</t>
        </is>
      </c>
      <c r="C317" t="inlineStr">
        <is>
          <t>Manual Uploads</t>
        </is>
      </c>
      <c r="D317" t="inlineStr">
        <is>
          <t>Webinars</t>
        </is>
      </c>
      <c r="E317" t="inlineStr">
        <is>
          <t>Attended Live Virtual</t>
        </is>
      </c>
      <c r="F317" t="inlineStr">
        <is>
          <t>5 - Legacy Tracking Parameters</t>
        </is>
      </c>
      <c r="G317" t="inlineStr">
        <is>
          <t>Drive To ID</t>
        </is>
      </c>
      <c r="H317" t="inlineStr">
        <is>
          <t>Need to validate the default DTID to use to ensure correct MSP Alignment</t>
        </is>
      </c>
      <c r="I317" t="inlineStr">
        <is>
          <t>Maintains legacy destination and drive-to reporting alignment during transition.</t>
        </is>
      </c>
    </row>
    <row r="318">
      <c r="A318" t="inlineStr">
        <is>
          <t>UC22</t>
        </is>
      </c>
      <c r="B318" t="inlineStr">
        <is>
          <t>UC22 Webinars Attended Live Vir</t>
        </is>
      </c>
      <c r="C318" t="inlineStr">
        <is>
          <t>Manual Uploads</t>
        </is>
      </c>
      <c r="D318" t="inlineStr">
        <is>
          <t>Webinars</t>
        </is>
      </c>
      <c r="E318" t="inlineStr">
        <is>
          <t>Attended Live Virtual</t>
        </is>
      </c>
      <c r="F318" t="inlineStr">
        <is>
          <t>5 - Legacy Tracking Parameters</t>
        </is>
      </c>
      <c r="G318" t="inlineStr">
        <is>
          <t>Offer ID</t>
        </is>
      </c>
      <c r="H318" t="inlineStr">
        <is>
          <t>Need to confirm rules around which vendors can be manually uploaded</t>
        </is>
      </c>
      <c r="I318" t="inlineStr">
        <is>
          <t>Maintains legacy offer attribution and seller/content context during transition.</t>
        </is>
      </c>
    </row>
    <row r="319">
      <c r="A319" t="inlineStr">
        <is>
          <t>UC22</t>
        </is>
      </c>
      <c r="B319" t="inlineStr">
        <is>
          <t>UC22 Webinars Attended Live Vir</t>
        </is>
      </c>
      <c r="C319" t="inlineStr">
        <is>
          <t>Manual Uploads</t>
        </is>
      </c>
      <c r="D319" t="inlineStr">
        <is>
          <t>Webinars</t>
        </is>
      </c>
      <c r="E319" t="inlineStr">
        <is>
          <t>Attended Live Virtual</t>
        </is>
      </c>
      <c r="F319" t="inlineStr">
        <is>
          <t>6 - Future Tracking Parameters</t>
        </is>
      </c>
      <c r="G319" t="inlineStr">
        <is>
          <t>Workfront Channel ID</t>
        </is>
      </c>
      <c r="H319" t="inlineStr">
        <is>
          <t>Will events data come from Workfront, or can all of this information come from the Global Events Table?</t>
        </is>
      </c>
      <c r="I319" t="inlineStr">
        <is>
          <t>Connects the upload to the Workfront channel taxonomy for durable operational and attribution alignment.</t>
        </is>
      </c>
    </row>
    <row r="320">
      <c r="A320" t="inlineStr">
        <is>
          <t>UC22</t>
        </is>
      </c>
      <c r="B320" t="inlineStr">
        <is>
          <t>UC22 Webinars Attended Live Vir</t>
        </is>
      </c>
      <c r="C320" t="inlineStr">
        <is>
          <t>Manual Uploads</t>
        </is>
      </c>
      <c r="D320" t="inlineStr">
        <is>
          <t>Webinars</t>
        </is>
      </c>
      <c r="E320" t="inlineStr">
        <is>
          <t>Attended Live Virtual</t>
        </is>
      </c>
      <c r="F320" t="inlineStr">
        <is>
          <t>6 - Future Tracking Parameters</t>
        </is>
      </c>
      <c r="G320" t="inlineStr">
        <is>
          <t>Workfront Content ID</t>
        </is>
      </c>
      <c r="H320" t="inlineStr">
        <is>
          <t>Would the manual Upload use cases really capture a Workfront Content ID</t>
        </is>
      </c>
      <c r="I320" t="inlineStr">
        <is>
          <t>Connects the upload to the Workfront Content taxonomy for durable operational and attribution alignment.</t>
        </is>
      </c>
    </row>
    <row r="321">
      <c r="A321" t="inlineStr">
        <is>
          <t>UC22</t>
        </is>
      </c>
      <c r="B321" t="inlineStr">
        <is>
          <t>UC22 Webinars Attended Live Vir</t>
        </is>
      </c>
      <c r="C321" t="inlineStr">
        <is>
          <t>Manual Uploads</t>
        </is>
      </c>
      <c r="D321" t="inlineStr">
        <is>
          <t>Webinars</t>
        </is>
      </c>
      <c r="E321" t="inlineStr">
        <is>
          <t>Attended Live Virtual</t>
        </is>
      </c>
      <c r="F321" t="inlineStr">
        <is>
          <t>6 - Future Tracking Parameters</t>
        </is>
      </c>
      <c r="G321" t="inlineStr">
        <is>
          <t>Content Type</t>
        </is>
      </c>
      <c r="H321" t="inlineStr">
        <is>
          <t>This field relates to Web Content Type, Webinar Type and Event Type from Workfront.</t>
        </is>
      </c>
      <c r="I321" t="inlineStr">
        <is>
          <t>Identifies the content classification for future attribution, operational, and funnel reporting aligned to Workfront Content ID.</t>
        </is>
      </c>
    </row>
    <row r="322">
      <c r="A322" t="inlineStr">
        <is>
          <t>UC22</t>
        </is>
      </c>
      <c r="B322" t="inlineStr">
        <is>
          <t>UC22 Webinars Attended Live Vir</t>
        </is>
      </c>
      <c r="C322" t="inlineStr">
        <is>
          <t>Manual Uploads</t>
        </is>
      </c>
      <c r="D322" t="inlineStr">
        <is>
          <t>Webinars</t>
        </is>
      </c>
      <c r="E322" t="inlineStr">
        <is>
          <t>Attended Live Virtual</t>
        </is>
      </c>
      <c r="F322" t="inlineStr">
        <is>
          <t>7 - Event Tracking Parameters</t>
        </is>
      </c>
      <c r="G322" t="inlineStr">
        <is>
          <t>Event ID / EID</t>
        </is>
      </c>
      <c r="H322" t="inlineStr">
        <is>
          <t>Which use cases need and EID and which rely on Offer Information</t>
        </is>
      </c>
      <c r="I322" t="inlineStr">
        <is>
          <t>Supports current-template tracking and downstream operational, attribution, and funnel reporting during the transition period.</t>
        </is>
      </c>
    </row>
    <row r="323">
      <c r="A323" t="inlineStr">
        <is>
          <t>UC22</t>
        </is>
      </c>
      <c r="B323" t="inlineStr">
        <is>
          <t>UC22 Webinars Attended Live Vir</t>
        </is>
      </c>
      <c r="C323" t="inlineStr">
        <is>
          <t>Manual Uploads</t>
        </is>
      </c>
      <c r="D323" t="inlineStr">
        <is>
          <t>Webinars</t>
        </is>
      </c>
      <c r="E323" t="inlineStr">
        <is>
          <t>Attended Live Virtual</t>
        </is>
      </c>
      <c r="F323" t="inlineStr">
        <is>
          <t>7 - Event Tracking Parameters</t>
        </is>
      </c>
      <c r="G323" t="inlineStr">
        <is>
          <t>Event Name</t>
        </is>
      </c>
      <c r="H323" t="inlineStr">
        <is>
          <t>Which use cases need and EID and which rely on Offer Information</t>
        </is>
      </c>
      <c r="I323" t="inlineStr">
        <is>
          <t>Human-readable event reporting and validation without requiring uploaders to re-type event names.</t>
        </is>
      </c>
    </row>
    <row r="324">
      <c r="A324" t="inlineStr">
        <is>
          <t>UC22</t>
        </is>
      </c>
      <c r="B324" t="inlineStr">
        <is>
          <t>UC22 Webinars Attended Live Vir</t>
        </is>
      </c>
      <c r="C324" t="inlineStr">
        <is>
          <t>Manual Uploads</t>
        </is>
      </c>
      <c r="D324" t="inlineStr">
        <is>
          <t>Webinars</t>
        </is>
      </c>
      <c r="E324" t="inlineStr">
        <is>
          <t>Attended Live Virtual</t>
        </is>
      </c>
      <c r="F324" t="inlineStr">
        <is>
          <t>7 - Event Tracking Parameters</t>
        </is>
      </c>
      <c r="G324" t="inlineStr">
        <is>
          <t>Event Attended</t>
        </is>
      </c>
      <c r="H324" t="inlineStr">
        <is>
          <t>Which use cases need and EID and which rely on Offer Information</t>
        </is>
      </c>
      <c r="I324" t="inlineStr">
        <is>
          <t>Supports activity context, seller follow-up, and operational validation.</t>
        </is>
      </c>
    </row>
    <row r="325">
      <c r="A325" t="inlineStr">
        <is>
          <t>UC22</t>
        </is>
      </c>
      <c r="B325" t="inlineStr">
        <is>
          <t>UC22 Webinars Attended Live Vir</t>
        </is>
      </c>
      <c r="C325" t="inlineStr">
        <is>
          <t>Manual Uploads</t>
        </is>
      </c>
      <c r="D325" t="inlineStr">
        <is>
          <t>Webinars</t>
        </is>
      </c>
      <c r="E325" t="inlineStr">
        <is>
          <t>Attended Live Virtual</t>
        </is>
      </c>
      <c r="F325" t="inlineStr">
        <is>
          <t>7 - Event Tracking Parameters</t>
        </is>
      </c>
      <c r="G325" t="inlineStr">
        <is>
          <t>Live Attendance Date</t>
        </is>
      </c>
      <c r="H325" t="inlineStr">
        <is>
          <t>Which use cases need and EID and which rely on Offer Information</t>
        </is>
      </c>
      <c r="I325" t="inlineStr">
        <is>
          <t>Supports live attendance reporting, attribution, and scoring.</t>
        </is>
      </c>
    </row>
    <row r="326">
      <c r="A326" t="inlineStr">
        <is>
          <t>UC22</t>
        </is>
      </c>
      <c r="B326" t="inlineStr">
        <is>
          <t>UC22 Webinars Attended Live Vir</t>
        </is>
      </c>
      <c r="C326" t="inlineStr">
        <is>
          <t>Manual Uploads</t>
        </is>
      </c>
      <c r="D326" t="inlineStr">
        <is>
          <t>Webinars</t>
        </is>
      </c>
      <c r="E326" t="inlineStr">
        <is>
          <t>Attended Live Virtual</t>
        </is>
      </c>
      <c r="F326" t="inlineStr">
        <is>
          <t>8 - Activity Detail</t>
        </is>
      </c>
      <c r="G326" t="inlineStr">
        <is>
          <t>Webinar Date</t>
        </is>
      </c>
      <c r="H326" t="inlineStr">
        <is>
          <t>Confirm if OK to derive Webinar Date from Transaction Date</t>
        </is>
      </c>
      <c r="I326" t="inlineStr">
        <is>
          <t>Supports attribution windows, operational reporting, and scoring recency.</t>
        </is>
      </c>
    </row>
    <row r="327">
      <c r="A327" t="inlineStr">
        <is>
          <t>UC22</t>
        </is>
      </c>
      <c r="B327" t="inlineStr">
        <is>
          <t>UC22 Webinars Attended Live Vir</t>
        </is>
      </c>
      <c r="C327" t="inlineStr">
        <is>
          <t>Manual Uploads</t>
        </is>
      </c>
      <c r="D327" t="inlineStr">
        <is>
          <t>Webinars</t>
        </is>
      </c>
      <c r="E327" t="inlineStr">
        <is>
          <t>Attended Live Virtual</t>
        </is>
      </c>
      <c r="F327" t="inlineStr">
        <is>
          <t>8 - Activity Detail</t>
        </is>
      </c>
      <c r="G327" t="inlineStr">
        <is>
          <t>Customer Comments</t>
        </is>
      </c>
      <c r="H327" t="inlineStr">
        <is>
          <t>Do we need to capture this for Non-Hand Raisers?</t>
        </is>
      </c>
      <c r="I327" t="inlineStr">
        <is>
          <t>Supports activity context, seller follow-up, and operational validation.</t>
        </is>
      </c>
    </row>
    <row r="328">
      <c r="A328" t="inlineStr">
        <is>
          <t>UC23</t>
        </is>
      </c>
      <c r="B328" t="inlineStr">
        <is>
          <t>UC23 Webinars Attended On-Deman</t>
        </is>
      </c>
      <c r="C328" t="inlineStr">
        <is>
          <t>Manual Uploads</t>
        </is>
      </c>
      <c r="D328" t="inlineStr">
        <is>
          <t>Webinars</t>
        </is>
      </c>
      <c r="E328" t="inlineStr">
        <is>
          <t>Attended On-Demand</t>
        </is>
      </c>
      <c r="F328" t="inlineStr">
        <is>
          <t>1 - System Classification</t>
        </is>
      </c>
      <c r="G328" t="inlineStr">
        <is>
          <t>Activity Type</t>
        </is>
      </c>
      <c r="H328" t="inlineStr">
        <is>
          <t>Confirm all Activity Types are captured</t>
        </is>
      </c>
      <c r="I328" t="inlineStr">
        <is>
          <t>Controls which fields are shown and how the activity maps to reporting/scoring.</t>
        </is>
      </c>
    </row>
    <row r="329">
      <c r="A329" t="inlineStr">
        <is>
          <t>UC23</t>
        </is>
      </c>
      <c r="B329" t="inlineStr">
        <is>
          <t>UC23 Webinars Attended On-Deman</t>
        </is>
      </c>
      <c r="C329" t="inlineStr">
        <is>
          <t>Manual Uploads</t>
        </is>
      </c>
      <c r="D329" t="inlineStr">
        <is>
          <t>Webinars</t>
        </is>
      </c>
      <c r="E329" t="inlineStr">
        <is>
          <t>Attended On-Demand</t>
        </is>
      </c>
      <c r="F329" t="inlineStr">
        <is>
          <t>1 - System Classification</t>
        </is>
      </c>
      <c r="G329" t="inlineStr">
        <is>
          <t>Use Case</t>
        </is>
      </c>
      <c r="H329" t="inlineStr">
        <is>
          <t>Confirm final list of use cases</t>
        </is>
      </c>
      <c r="I329" t="inlineStr">
        <is>
          <t>Controls the upload path, available activity and lead category types.</t>
        </is>
      </c>
    </row>
    <row r="330">
      <c r="A330" t="inlineStr">
        <is>
          <t>UC23</t>
        </is>
      </c>
      <c r="B330" t="inlineStr">
        <is>
          <t>UC23 Webinars Attended On-Deman</t>
        </is>
      </c>
      <c r="C330" t="inlineStr">
        <is>
          <t>Manual Uploads</t>
        </is>
      </c>
      <c r="D330" t="inlineStr">
        <is>
          <t>Webinars</t>
        </is>
      </c>
      <c r="E330" t="inlineStr">
        <is>
          <t>Attended On-Demand</t>
        </is>
      </c>
      <c r="F330" t="inlineStr">
        <is>
          <t>2 - Contact Identity</t>
        </is>
      </c>
      <c r="G330" t="inlineStr">
        <is>
          <t>Email</t>
        </is>
      </c>
      <c r="H330" t="inlineStr">
        <is>
          <t>Confirm whether business email is mandatory and personal email domains are allowed.</t>
        </is>
      </c>
      <c r="I330" t="inlineStr">
        <is>
          <t>Primary contact matching key for Eloqua/SFDC and deduplication.</t>
        </is>
      </c>
    </row>
    <row r="331">
      <c r="A331" t="inlineStr">
        <is>
          <t>UC23</t>
        </is>
      </c>
      <c r="B331" t="inlineStr">
        <is>
          <t>UC23 Webinars Attended On-Deman</t>
        </is>
      </c>
      <c r="C331" t="inlineStr">
        <is>
          <t>Manual Uploads</t>
        </is>
      </c>
      <c r="D331" t="inlineStr">
        <is>
          <t>Webinars</t>
        </is>
      </c>
      <c r="E331" t="inlineStr">
        <is>
          <t>Attended On-Demand</t>
        </is>
      </c>
      <c r="F331" t="inlineStr">
        <is>
          <t>2 - Contact Identity</t>
        </is>
      </c>
      <c r="G331" t="inlineStr">
        <is>
          <t>Company Name</t>
        </is>
      </c>
      <c r="H331" t="inlineStr">
        <is>
          <t>Confirm whether account matching requires domain, account ID, or company name only.</t>
        </is>
      </c>
      <c r="I331" t="inlineStr">
        <is>
          <t>Supports account matching, attribution, and funnel reporting.</t>
        </is>
      </c>
    </row>
    <row r="332">
      <c r="A332" t="inlineStr">
        <is>
          <t>UC23</t>
        </is>
      </c>
      <c r="B332" t="inlineStr">
        <is>
          <t>UC23 Webinars Attended On-Deman</t>
        </is>
      </c>
      <c r="C332" t="inlineStr">
        <is>
          <t>Manual Uploads</t>
        </is>
      </c>
      <c r="D332" t="inlineStr">
        <is>
          <t>Webinars</t>
        </is>
      </c>
      <c r="E332" t="inlineStr">
        <is>
          <t>Attended On-Demand</t>
        </is>
      </c>
      <c r="F332" t="inlineStr">
        <is>
          <t>3 - Account Identity</t>
        </is>
      </c>
      <c r="G332" t="inlineStr">
        <is>
          <t>Phone Extension</t>
        </is>
      </c>
      <c r="H332" t="inlineStr">
        <is>
          <t>Do we still need Extension for B&amp;S to auto dial?</t>
        </is>
      </c>
      <c r="I332" t="inlineStr">
        <is>
          <t>Excluded from standard performance reporting</t>
        </is>
      </c>
    </row>
    <row r="333">
      <c r="A333" t="inlineStr">
        <is>
          <t>UC23</t>
        </is>
      </c>
      <c r="B333" t="inlineStr">
        <is>
          <t>UC23 Webinars Attended On-Deman</t>
        </is>
      </c>
      <c r="C333" t="inlineStr">
        <is>
          <t>Manual Uploads</t>
        </is>
      </c>
      <c r="D333" t="inlineStr">
        <is>
          <t>Webinars</t>
        </is>
      </c>
      <c r="E333" t="inlineStr">
        <is>
          <t>Attended On-Demand</t>
        </is>
      </c>
      <c r="F333" t="inlineStr">
        <is>
          <t>3 - Account Identity</t>
        </is>
      </c>
      <c r="G333" t="inlineStr">
        <is>
          <t>Primary Phone Number</t>
        </is>
      </c>
      <c r="H333" t="inlineStr">
        <is>
          <t>OK to send if no phone number aligned?</t>
        </is>
      </c>
      <c r="I333" t="inlineStr">
        <is>
          <t>Excluded from standard performance reporting but essential for upstream Virtual Demand Center (VDC) follow-up; Phone number should not be passed to sell if localized or country-specific phone opt-out privacy rules apply</t>
        </is>
      </c>
    </row>
    <row r="334">
      <c r="A334" t="inlineStr">
        <is>
          <t>UC23</t>
        </is>
      </c>
      <c r="B334" t="inlineStr">
        <is>
          <t>UC23 Webinars Attended On-Deman</t>
        </is>
      </c>
      <c r="C334" t="inlineStr">
        <is>
          <t>Manual Uploads</t>
        </is>
      </c>
      <c r="D334" t="inlineStr">
        <is>
          <t>Webinars</t>
        </is>
      </c>
      <c r="E334" t="inlineStr">
        <is>
          <t>Attended On-Demand</t>
        </is>
      </c>
      <c r="F334" t="inlineStr">
        <is>
          <t>4 - Compliance / Permissions</t>
        </is>
      </c>
      <c r="G334" t="inlineStr">
        <is>
          <t>Email Opt-In Permission</t>
        </is>
      </c>
      <c r="H334" t="inlineStr">
        <is>
          <t>How should we deal with customer wanting to Opt Out - we see errors of N being added in error</t>
        </is>
      </c>
      <c r="I334" t="inlineStr">
        <is>
          <t>Supports consent, privacy, and compliance checks for manual-upload processing.</t>
        </is>
      </c>
    </row>
    <row r="335">
      <c r="A335" t="inlineStr">
        <is>
          <t>UC23</t>
        </is>
      </c>
      <c r="B335" t="inlineStr">
        <is>
          <t>UC23 Webinars Attended On-Deman</t>
        </is>
      </c>
      <c r="C335" t="inlineStr">
        <is>
          <t>Manual Uploads</t>
        </is>
      </c>
      <c r="D335" t="inlineStr">
        <is>
          <t>Webinars</t>
        </is>
      </c>
      <c r="E335" t="inlineStr">
        <is>
          <t>Attended On-Demand</t>
        </is>
      </c>
      <c r="F335" t="inlineStr">
        <is>
          <t>4 - Compliance / Permissions</t>
        </is>
      </c>
      <c r="G335" t="inlineStr">
        <is>
          <t>Primary Phone Opt-In Permission</t>
        </is>
      </c>
      <c r="H335" t="inlineStr">
        <is>
          <t>How should we deal with customer wanting to Opt Out - we see errors of N being added in error</t>
        </is>
      </c>
      <c r="I335" t="inlineStr">
        <is>
          <t>Supports consent, privacy, and compliance checks for manual-upload processing.</t>
        </is>
      </c>
    </row>
    <row r="336">
      <c r="A336" t="inlineStr">
        <is>
          <t>UC23</t>
        </is>
      </c>
      <c r="B336" t="inlineStr">
        <is>
          <t>UC23 Webinars Attended On-Deman</t>
        </is>
      </c>
      <c r="C336" t="inlineStr">
        <is>
          <t>Manual Uploads</t>
        </is>
      </c>
      <c r="D336" t="inlineStr">
        <is>
          <t>Webinars</t>
        </is>
      </c>
      <c r="E336" t="inlineStr">
        <is>
          <t>Attended On-Demand</t>
        </is>
      </c>
      <c r="F336" t="inlineStr">
        <is>
          <t>5 - Legacy Tracking Parameters</t>
        </is>
      </c>
      <c r="G336" t="inlineStr">
        <is>
          <t>Drive To ID</t>
        </is>
      </c>
      <c r="H336" t="inlineStr">
        <is>
          <t>Need to validate the default DTID to use to ensure correct MSP Alignment</t>
        </is>
      </c>
      <c r="I336" t="inlineStr">
        <is>
          <t>Maintains legacy destination and drive-to reporting alignment during transition.</t>
        </is>
      </c>
    </row>
    <row r="337">
      <c r="A337" t="inlineStr">
        <is>
          <t>UC23</t>
        </is>
      </c>
      <c r="B337" t="inlineStr">
        <is>
          <t>UC23 Webinars Attended On-Deman</t>
        </is>
      </c>
      <c r="C337" t="inlineStr">
        <is>
          <t>Manual Uploads</t>
        </is>
      </c>
      <c r="D337" t="inlineStr">
        <is>
          <t>Webinars</t>
        </is>
      </c>
      <c r="E337" t="inlineStr">
        <is>
          <t>Attended On-Demand</t>
        </is>
      </c>
      <c r="F337" t="inlineStr">
        <is>
          <t>5 - Legacy Tracking Parameters</t>
        </is>
      </c>
      <c r="G337" t="inlineStr">
        <is>
          <t>Offer ID</t>
        </is>
      </c>
      <c r="H337" t="inlineStr">
        <is>
          <t>Need to confirm rules around which vendors can be manually uploaded</t>
        </is>
      </c>
      <c r="I337" t="inlineStr">
        <is>
          <t>Maintains legacy offer attribution and seller/content context during transition.</t>
        </is>
      </c>
    </row>
    <row r="338">
      <c r="A338" t="inlineStr">
        <is>
          <t>UC23</t>
        </is>
      </c>
      <c r="B338" t="inlineStr">
        <is>
          <t>UC23 Webinars Attended On-Deman</t>
        </is>
      </c>
      <c r="C338" t="inlineStr">
        <is>
          <t>Manual Uploads</t>
        </is>
      </c>
      <c r="D338" t="inlineStr">
        <is>
          <t>Webinars</t>
        </is>
      </c>
      <c r="E338" t="inlineStr">
        <is>
          <t>Attended On-Demand</t>
        </is>
      </c>
      <c r="F338" t="inlineStr">
        <is>
          <t>6 - Future Tracking Parameters</t>
        </is>
      </c>
      <c r="G338" t="inlineStr">
        <is>
          <t>Workfront Channel ID</t>
        </is>
      </c>
      <c r="H338" t="inlineStr">
        <is>
          <t>Will events data come from Workfront, or can all of this information come from the Global Events Table?</t>
        </is>
      </c>
      <c r="I338" t="inlineStr">
        <is>
          <t>Connects the upload to the Workfront channel taxonomy for durable operational and attribution alignment.</t>
        </is>
      </c>
    </row>
    <row r="339">
      <c r="A339" t="inlineStr">
        <is>
          <t>UC23</t>
        </is>
      </c>
      <c r="B339" t="inlineStr">
        <is>
          <t>UC23 Webinars Attended On-Deman</t>
        </is>
      </c>
      <c r="C339" t="inlineStr">
        <is>
          <t>Manual Uploads</t>
        </is>
      </c>
      <c r="D339" t="inlineStr">
        <is>
          <t>Webinars</t>
        </is>
      </c>
      <c r="E339" t="inlineStr">
        <is>
          <t>Attended On-Demand</t>
        </is>
      </c>
      <c r="F339" t="inlineStr">
        <is>
          <t>6 - Future Tracking Parameters</t>
        </is>
      </c>
      <c r="G339" t="inlineStr">
        <is>
          <t>Workfront Content ID</t>
        </is>
      </c>
      <c r="H339" t="inlineStr">
        <is>
          <t>Would the manual Upload use cases really capture a Workfront Content ID</t>
        </is>
      </c>
      <c r="I339" t="inlineStr">
        <is>
          <t>Connects the upload to the Workfront Content taxonomy for durable operational and attribution alignment.</t>
        </is>
      </c>
    </row>
    <row r="340">
      <c r="A340" t="inlineStr">
        <is>
          <t>UC23</t>
        </is>
      </c>
      <c r="B340" t="inlineStr">
        <is>
          <t>UC23 Webinars Attended On-Deman</t>
        </is>
      </c>
      <c r="C340" t="inlineStr">
        <is>
          <t>Manual Uploads</t>
        </is>
      </c>
      <c r="D340" t="inlineStr">
        <is>
          <t>Webinars</t>
        </is>
      </c>
      <c r="E340" t="inlineStr">
        <is>
          <t>Attended On-Demand</t>
        </is>
      </c>
      <c r="F340" t="inlineStr">
        <is>
          <t>6 - Future Tracking Parameters</t>
        </is>
      </c>
      <c r="G340" t="inlineStr">
        <is>
          <t>Content Type</t>
        </is>
      </c>
      <c r="H340" t="inlineStr">
        <is>
          <t>This field relates to Web Content Type, Webinar Type and Event Type from Workfront.</t>
        </is>
      </c>
      <c r="I340" t="inlineStr">
        <is>
          <t>Identifies the content classification for future attribution, operational, and funnel reporting aligned to Workfront Content ID.</t>
        </is>
      </c>
    </row>
    <row r="341">
      <c r="A341" t="inlineStr">
        <is>
          <t>UC23</t>
        </is>
      </c>
      <c r="B341" t="inlineStr">
        <is>
          <t>UC23 Webinars Attended On-Deman</t>
        </is>
      </c>
      <c r="C341" t="inlineStr">
        <is>
          <t>Manual Uploads</t>
        </is>
      </c>
      <c r="D341" t="inlineStr">
        <is>
          <t>Webinars</t>
        </is>
      </c>
      <c r="E341" t="inlineStr">
        <is>
          <t>Attended On-Demand</t>
        </is>
      </c>
      <c r="F341" t="inlineStr">
        <is>
          <t>7 - Event Tracking Parameters</t>
        </is>
      </c>
      <c r="G341" t="inlineStr">
        <is>
          <t>Event ID / EID</t>
        </is>
      </c>
      <c r="H341" t="inlineStr">
        <is>
          <t>Which use cases need and EID and which rely on Offer Information</t>
        </is>
      </c>
      <c r="I341" t="inlineStr">
        <is>
          <t>Supports current-template tracking and downstream operational, attribution, and funnel reporting during the transition period.</t>
        </is>
      </c>
    </row>
    <row r="342">
      <c r="A342" t="inlineStr">
        <is>
          <t>UC23</t>
        </is>
      </c>
      <c r="B342" t="inlineStr">
        <is>
          <t>UC23 Webinars Attended On-Deman</t>
        </is>
      </c>
      <c r="C342" t="inlineStr">
        <is>
          <t>Manual Uploads</t>
        </is>
      </c>
      <c r="D342" t="inlineStr">
        <is>
          <t>Webinars</t>
        </is>
      </c>
      <c r="E342" t="inlineStr">
        <is>
          <t>Attended On-Demand</t>
        </is>
      </c>
      <c r="F342" t="inlineStr">
        <is>
          <t>7 - Event Tracking Parameters</t>
        </is>
      </c>
      <c r="G342" t="inlineStr">
        <is>
          <t>Event Name</t>
        </is>
      </c>
      <c r="H342" t="inlineStr">
        <is>
          <t>Which use cases need and EID and which rely on Offer Information</t>
        </is>
      </c>
      <c r="I342" t="inlineStr">
        <is>
          <t>Human-readable event reporting and validation without requiring uploaders to re-type event names.</t>
        </is>
      </c>
    </row>
    <row r="343">
      <c r="A343" t="inlineStr">
        <is>
          <t>UC23</t>
        </is>
      </c>
      <c r="B343" t="inlineStr">
        <is>
          <t>UC23 Webinars Attended On-Deman</t>
        </is>
      </c>
      <c r="C343" t="inlineStr">
        <is>
          <t>Manual Uploads</t>
        </is>
      </c>
      <c r="D343" t="inlineStr">
        <is>
          <t>Webinars</t>
        </is>
      </c>
      <c r="E343" t="inlineStr">
        <is>
          <t>Attended On-Demand</t>
        </is>
      </c>
      <c r="F343" t="inlineStr">
        <is>
          <t>7 - Event Tracking Parameters</t>
        </is>
      </c>
      <c r="G343" t="inlineStr">
        <is>
          <t>Event Attended</t>
        </is>
      </c>
      <c r="H343" t="inlineStr">
        <is>
          <t>Which use cases need and EID and which rely on Offer Information</t>
        </is>
      </c>
      <c r="I343" t="inlineStr">
        <is>
          <t>Supports activity context, seller follow-up, and operational validation.</t>
        </is>
      </c>
    </row>
    <row r="344">
      <c r="A344" t="inlineStr">
        <is>
          <t>UC23</t>
        </is>
      </c>
      <c r="B344" t="inlineStr">
        <is>
          <t>UC23 Webinars Attended On-Deman</t>
        </is>
      </c>
      <c r="C344" t="inlineStr">
        <is>
          <t>Manual Uploads</t>
        </is>
      </c>
      <c r="D344" t="inlineStr">
        <is>
          <t>Webinars</t>
        </is>
      </c>
      <c r="E344" t="inlineStr">
        <is>
          <t>Attended On-Demand</t>
        </is>
      </c>
      <c r="F344" t="inlineStr">
        <is>
          <t>8 - Activity Detail</t>
        </is>
      </c>
      <c r="G344" t="inlineStr">
        <is>
          <t>On-Demand View Date</t>
        </is>
      </c>
      <c r="H344" t="inlineStr">
        <is>
          <t>Confirm if OK to derive Webinar Date from Transaction Date</t>
        </is>
      </c>
      <c r="I344" t="inlineStr">
        <is>
          <t>Supports long-tail content attribution and scoring recency.</t>
        </is>
      </c>
    </row>
    <row r="345">
      <c r="A345" t="inlineStr">
        <is>
          <t>UC23</t>
        </is>
      </c>
      <c r="B345" t="inlineStr">
        <is>
          <t>UC23 Webinars Attended On-Deman</t>
        </is>
      </c>
      <c r="C345" t="inlineStr">
        <is>
          <t>Manual Uploads</t>
        </is>
      </c>
      <c r="D345" t="inlineStr">
        <is>
          <t>Webinars</t>
        </is>
      </c>
      <c r="E345" t="inlineStr">
        <is>
          <t>Attended On-Demand</t>
        </is>
      </c>
      <c r="F345" t="inlineStr">
        <is>
          <t>8 - Activity Detail</t>
        </is>
      </c>
      <c r="G345" t="inlineStr">
        <is>
          <t>Customer Comments</t>
        </is>
      </c>
      <c r="H345" t="inlineStr">
        <is>
          <t>Do we need to capture this for Non-Hand Raisers?</t>
        </is>
      </c>
      <c r="I345" t="inlineStr">
        <is>
          <t>Supports activity context, seller follow-up, and operational validation.</t>
        </is>
      </c>
    </row>
    <row r="346">
      <c r="A346" t="inlineStr">
        <is>
          <t>UC24</t>
        </is>
      </c>
      <c r="B346" t="inlineStr">
        <is>
          <t>UC24 Webinars Registered</t>
        </is>
      </c>
      <c r="C346" t="inlineStr">
        <is>
          <t>Manual Uploads</t>
        </is>
      </c>
      <c r="D346" t="inlineStr">
        <is>
          <t>Webinars</t>
        </is>
      </c>
      <c r="E346" t="inlineStr">
        <is>
          <t>Registered</t>
        </is>
      </c>
      <c r="F346" t="inlineStr">
        <is>
          <t>1 - System Classification</t>
        </is>
      </c>
      <c r="G346" t="inlineStr">
        <is>
          <t>Activity Type</t>
        </is>
      </c>
      <c r="H346" t="inlineStr">
        <is>
          <t>Confirm all Activity Types are captured</t>
        </is>
      </c>
      <c r="I346" t="inlineStr">
        <is>
          <t>Controls which fields are shown and how the activity maps to reporting/scoring.</t>
        </is>
      </c>
    </row>
    <row r="347">
      <c r="A347" t="inlineStr">
        <is>
          <t>UC24</t>
        </is>
      </c>
      <c r="B347" t="inlineStr">
        <is>
          <t>UC24 Webinars Registered</t>
        </is>
      </c>
      <c r="C347" t="inlineStr">
        <is>
          <t>Manual Uploads</t>
        </is>
      </c>
      <c r="D347" t="inlineStr">
        <is>
          <t>Webinars</t>
        </is>
      </c>
      <c r="E347" t="inlineStr">
        <is>
          <t>Registered</t>
        </is>
      </c>
      <c r="F347" t="inlineStr">
        <is>
          <t>1 - System Classification</t>
        </is>
      </c>
      <c r="G347" t="inlineStr">
        <is>
          <t>Use Case</t>
        </is>
      </c>
      <c r="H347" t="inlineStr">
        <is>
          <t>Confirm final list of use cases</t>
        </is>
      </c>
      <c r="I347" t="inlineStr">
        <is>
          <t>Controls the upload path, available activity and lead category types.</t>
        </is>
      </c>
    </row>
    <row r="348">
      <c r="A348" t="inlineStr">
        <is>
          <t>UC24</t>
        </is>
      </c>
      <c r="B348" t="inlineStr">
        <is>
          <t>UC24 Webinars Registered</t>
        </is>
      </c>
      <c r="C348" t="inlineStr">
        <is>
          <t>Manual Uploads</t>
        </is>
      </c>
      <c r="D348" t="inlineStr">
        <is>
          <t>Webinars</t>
        </is>
      </c>
      <c r="E348" t="inlineStr">
        <is>
          <t>Registered</t>
        </is>
      </c>
      <c r="F348" t="inlineStr">
        <is>
          <t>2 - Contact Identity</t>
        </is>
      </c>
      <c r="G348" t="inlineStr">
        <is>
          <t>Email</t>
        </is>
      </c>
      <c r="H348" t="inlineStr">
        <is>
          <t>Confirm whether business email is mandatory and personal email domains are allowed.</t>
        </is>
      </c>
      <c r="I348" t="inlineStr">
        <is>
          <t>Primary contact matching key for Eloqua/SFDC and deduplication.</t>
        </is>
      </c>
    </row>
    <row r="349">
      <c r="A349" t="inlineStr">
        <is>
          <t>UC24</t>
        </is>
      </c>
      <c r="B349" t="inlineStr">
        <is>
          <t>UC24 Webinars Registered</t>
        </is>
      </c>
      <c r="C349" t="inlineStr">
        <is>
          <t>Manual Uploads</t>
        </is>
      </c>
      <c r="D349" t="inlineStr">
        <is>
          <t>Webinars</t>
        </is>
      </c>
      <c r="E349" t="inlineStr">
        <is>
          <t>Registered</t>
        </is>
      </c>
      <c r="F349" t="inlineStr">
        <is>
          <t>2 - Contact Identity</t>
        </is>
      </c>
      <c r="G349" t="inlineStr">
        <is>
          <t>Company Name</t>
        </is>
      </c>
      <c r="H349" t="inlineStr">
        <is>
          <t>Confirm whether account matching requires domain, account ID, or company name only.</t>
        </is>
      </c>
      <c r="I349" t="inlineStr">
        <is>
          <t>Supports account matching, attribution, and funnel reporting.</t>
        </is>
      </c>
    </row>
    <row r="350">
      <c r="A350" t="inlineStr">
        <is>
          <t>UC24</t>
        </is>
      </c>
      <c r="B350" t="inlineStr">
        <is>
          <t>UC24 Webinars Registered</t>
        </is>
      </c>
      <c r="C350" t="inlineStr">
        <is>
          <t>Manual Uploads</t>
        </is>
      </c>
      <c r="D350" t="inlineStr">
        <is>
          <t>Webinars</t>
        </is>
      </c>
      <c r="E350" t="inlineStr">
        <is>
          <t>Registered</t>
        </is>
      </c>
      <c r="F350" t="inlineStr">
        <is>
          <t>3 - Account Identity</t>
        </is>
      </c>
      <c r="G350" t="inlineStr">
        <is>
          <t>Phone Extension</t>
        </is>
      </c>
      <c r="H350" t="inlineStr">
        <is>
          <t>Do we still need Extension for B&amp;S to auto dial?</t>
        </is>
      </c>
      <c r="I350" t="inlineStr">
        <is>
          <t>Excluded from standard performance reporting</t>
        </is>
      </c>
    </row>
    <row r="351">
      <c r="A351" t="inlineStr">
        <is>
          <t>UC24</t>
        </is>
      </c>
      <c r="B351" t="inlineStr">
        <is>
          <t>UC24 Webinars Registered</t>
        </is>
      </c>
      <c r="C351" t="inlineStr">
        <is>
          <t>Manual Uploads</t>
        </is>
      </c>
      <c r="D351" t="inlineStr">
        <is>
          <t>Webinars</t>
        </is>
      </c>
      <c r="E351" t="inlineStr">
        <is>
          <t>Registered</t>
        </is>
      </c>
      <c r="F351" t="inlineStr">
        <is>
          <t>4 - Compliance / Permissions</t>
        </is>
      </c>
      <c r="G351" t="inlineStr">
        <is>
          <t>Email Opt-In Permission</t>
        </is>
      </c>
      <c r="H351" t="inlineStr">
        <is>
          <t>How should we deal with customer wanting to Opt Out - we see errors of N being added in error</t>
        </is>
      </c>
      <c r="I351" t="inlineStr">
        <is>
          <t>Supports consent, privacy, and compliance checks for manual-upload processing.</t>
        </is>
      </c>
    </row>
    <row r="352">
      <c r="A352" t="inlineStr">
        <is>
          <t>UC24</t>
        </is>
      </c>
      <c r="B352" t="inlineStr">
        <is>
          <t>UC24 Webinars Registered</t>
        </is>
      </c>
      <c r="C352" t="inlineStr">
        <is>
          <t>Manual Uploads</t>
        </is>
      </c>
      <c r="D352" t="inlineStr">
        <is>
          <t>Webinars</t>
        </is>
      </c>
      <c r="E352" t="inlineStr">
        <is>
          <t>Registered</t>
        </is>
      </c>
      <c r="F352" t="inlineStr">
        <is>
          <t>4 - Compliance / Permissions</t>
        </is>
      </c>
      <c r="G352" t="inlineStr">
        <is>
          <t>Primary Phone Opt-In Permission</t>
        </is>
      </c>
      <c r="H352" t="inlineStr">
        <is>
          <t>How should we deal with customer wanting to Opt Out - we see errors of N being added in error</t>
        </is>
      </c>
      <c r="I352" t="inlineStr">
        <is>
          <t>Supports consent, privacy, and compliance checks for manual-upload processing.</t>
        </is>
      </c>
    </row>
    <row r="353">
      <c r="A353" t="inlineStr">
        <is>
          <t>UC24</t>
        </is>
      </c>
      <c r="B353" t="inlineStr">
        <is>
          <t>UC24 Webinars Registered</t>
        </is>
      </c>
      <c r="C353" t="inlineStr">
        <is>
          <t>Manual Uploads</t>
        </is>
      </c>
      <c r="D353" t="inlineStr">
        <is>
          <t>Webinars</t>
        </is>
      </c>
      <c r="E353" t="inlineStr">
        <is>
          <t>Registered</t>
        </is>
      </c>
      <c r="F353" t="inlineStr">
        <is>
          <t>5 - Legacy Tracking Parameters</t>
        </is>
      </c>
      <c r="G353" t="inlineStr">
        <is>
          <t>Drive To ID</t>
        </is>
      </c>
      <c r="H353" t="inlineStr">
        <is>
          <t>Need to validate the default DTID to use to ensure correct MSP Alignment</t>
        </is>
      </c>
      <c r="I353" t="inlineStr">
        <is>
          <t>Maintains legacy destination and drive-to reporting alignment during transition.</t>
        </is>
      </c>
    </row>
    <row r="354">
      <c r="A354" t="inlineStr">
        <is>
          <t>UC24</t>
        </is>
      </c>
      <c r="B354" t="inlineStr">
        <is>
          <t>UC24 Webinars Registered</t>
        </is>
      </c>
      <c r="C354" t="inlineStr">
        <is>
          <t>Manual Uploads</t>
        </is>
      </c>
      <c r="D354" t="inlineStr">
        <is>
          <t>Webinars</t>
        </is>
      </c>
      <c r="E354" t="inlineStr">
        <is>
          <t>Registered</t>
        </is>
      </c>
      <c r="F354" t="inlineStr">
        <is>
          <t>5 - Legacy Tracking Parameters</t>
        </is>
      </c>
      <c r="G354" t="inlineStr">
        <is>
          <t>Offer ID</t>
        </is>
      </c>
      <c r="H354" t="inlineStr">
        <is>
          <t>Need to confirm rules around which vendors can be manually uploaded</t>
        </is>
      </c>
      <c r="I354" t="inlineStr">
        <is>
          <t>Maintains legacy offer attribution and seller/content context during transition.</t>
        </is>
      </c>
    </row>
    <row r="355">
      <c r="A355" t="inlineStr">
        <is>
          <t>UC24</t>
        </is>
      </c>
      <c r="B355" t="inlineStr">
        <is>
          <t>UC24 Webinars Registered</t>
        </is>
      </c>
      <c r="C355" t="inlineStr">
        <is>
          <t>Manual Uploads</t>
        </is>
      </c>
      <c r="D355" t="inlineStr">
        <is>
          <t>Webinars</t>
        </is>
      </c>
      <c r="E355" t="inlineStr">
        <is>
          <t>Registered</t>
        </is>
      </c>
      <c r="F355" t="inlineStr">
        <is>
          <t>6 - Future Tracking Parameters</t>
        </is>
      </c>
      <c r="G355" t="inlineStr">
        <is>
          <t>Workfront Channel ID</t>
        </is>
      </c>
      <c r="H355" t="inlineStr">
        <is>
          <t>Will events data come from Workfront, or can all of this information come from the Global Events Table?</t>
        </is>
      </c>
      <c r="I355" t="inlineStr">
        <is>
          <t>Connects the upload to the Workfront channel taxonomy for durable operational and attribution alignment.</t>
        </is>
      </c>
    </row>
    <row r="356">
      <c r="A356" t="inlineStr">
        <is>
          <t>UC24</t>
        </is>
      </c>
      <c r="B356" t="inlineStr">
        <is>
          <t>UC24 Webinars Registered</t>
        </is>
      </c>
      <c r="C356" t="inlineStr">
        <is>
          <t>Manual Uploads</t>
        </is>
      </c>
      <c r="D356" t="inlineStr">
        <is>
          <t>Webinars</t>
        </is>
      </c>
      <c r="E356" t="inlineStr">
        <is>
          <t>Registered</t>
        </is>
      </c>
      <c r="F356" t="inlineStr">
        <is>
          <t>6 - Future Tracking Parameters</t>
        </is>
      </c>
      <c r="G356" t="inlineStr">
        <is>
          <t>Workfront Content ID</t>
        </is>
      </c>
      <c r="H356" t="inlineStr">
        <is>
          <t>Would the manual Upload use cases really capture a Workfront Content ID</t>
        </is>
      </c>
      <c r="I356" t="inlineStr">
        <is>
          <t>Connects the upload to the Workfront Content taxonomy for durable operational and attribution alignment.</t>
        </is>
      </c>
    </row>
    <row r="357">
      <c r="A357" t="inlineStr">
        <is>
          <t>UC24</t>
        </is>
      </c>
      <c r="B357" t="inlineStr">
        <is>
          <t>UC24 Webinars Registered</t>
        </is>
      </c>
      <c r="C357" t="inlineStr">
        <is>
          <t>Manual Uploads</t>
        </is>
      </c>
      <c r="D357" t="inlineStr">
        <is>
          <t>Webinars</t>
        </is>
      </c>
      <c r="E357" t="inlineStr">
        <is>
          <t>Registered</t>
        </is>
      </c>
      <c r="F357" t="inlineStr">
        <is>
          <t>6 - Future Tracking Parameters</t>
        </is>
      </c>
      <c r="G357" t="inlineStr">
        <is>
          <t>Content Type</t>
        </is>
      </c>
      <c r="H357" t="inlineStr">
        <is>
          <t>This field relates to Web Content Type, Webinar Type and Event Type from Workfront.</t>
        </is>
      </c>
      <c r="I357" t="inlineStr">
        <is>
          <t>Identifies the content classification for future attribution, operational, and funnel reporting aligned to Workfront Content ID.</t>
        </is>
      </c>
    </row>
    <row r="358">
      <c r="A358" t="inlineStr">
        <is>
          <t>UC24</t>
        </is>
      </c>
      <c r="B358" t="inlineStr">
        <is>
          <t>UC24 Webinars Registered</t>
        </is>
      </c>
      <c r="C358" t="inlineStr">
        <is>
          <t>Manual Uploads</t>
        </is>
      </c>
      <c r="D358" t="inlineStr">
        <is>
          <t>Webinars</t>
        </is>
      </c>
      <c r="E358" t="inlineStr">
        <is>
          <t>Registered</t>
        </is>
      </c>
      <c r="F358" t="inlineStr">
        <is>
          <t>7 - Event Tracking Parameters</t>
        </is>
      </c>
      <c r="G358" t="inlineStr">
        <is>
          <t>Event ID / EID</t>
        </is>
      </c>
      <c r="H358" t="inlineStr">
        <is>
          <t>Which use cases need and EID and which rely on Offer Information</t>
        </is>
      </c>
      <c r="I358" t="inlineStr">
        <is>
          <t>Supports current-template tracking and downstream operational, attribution, and funnel reporting during the transition period.</t>
        </is>
      </c>
    </row>
    <row r="359">
      <c r="A359" t="inlineStr">
        <is>
          <t>UC24</t>
        </is>
      </c>
      <c r="B359" t="inlineStr">
        <is>
          <t>UC24 Webinars Registered</t>
        </is>
      </c>
      <c r="C359" t="inlineStr">
        <is>
          <t>Manual Uploads</t>
        </is>
      </c>
      <c r="D359" t="inlineStr">
        <is>
          <t>Webinars</t>
        </is>
      </c>
      <c r="E359" t="inlineStr">
        <is>
          <t>Registered</t>
        </is>
      </c>
      <c r="F359" t="inlineStr">
        <is>
          <t>7 - Event Tracking Parameters</t>
        </is>
      </c>
      <c r="G359" t="inlineStr">
        <is>
          <t>Event Name</t>
        </is>
      </c>
      <c r="H359" t="inlineStr">
        <is>
          <t>Which use cases need and EID and which rely on Offer Information</t>
        </is>
      </c>
      <c r="I359" t="inlineStr">
        <is>
          <t>Human-readable event reporting and validation without requiring uploaders to re-type event names.</t>
        </is>
      </c>
    </row>
    <row r="360">
      <c r="A360" t="inlineStr">
        <is>
          <t>UC24</t>
        </is>
      </c>
      <c r="B360" t="inlineStr">
        <is>
          <t>UC24 Webinars Registered</t>
        </is>
      </c>
      <c r="C360" t="inlineStr">
        <is>
          <t>Manual Uploads</t>
        </is>
      </c>
      <c r="D360" t="inlineStr">
        <is>
          <t>Webinars</t>
        </is>
      </c>
      <c r="E360" t="inlineStr">
        <is>
          <t>Registered</t>
        </is>
      </c>
      <c r="F360" t="inlineStr">
        <is>
          <t>8 - Activity Detail</t>
        </is>
      </c>
      <c r="G360" t="inlineStr">
        <is>
          <t>Customer Comments</t>
        </is>
      </c>
      <c r="H360" t="inlineStr">
        <is>
          <t>Do we need to capture this for Non-Hand Raisers?</t>
        </is>
      </c>
      <c r="I360" t="inlineStr">
        <is>
          <t>Supports activity context, seller follow-up, and operational validation.</t>
        </is>
      </c>
    </row>
    <row r="361">
      <c r="A361" t="inlineStr">
        <is>
          <t>UC25</t>
        </is>
      </c>
      <c r="B361" t="inlineStr">
        <is>
          <t>UC25 Offers - Contact Us Form S</t>
        </is>
      </c>
      <c r="C361" t="inlineStr">
        <is>
          <t>Online Forms</t>
        </is>
      </c>
      <c r="D361" t="inlineStr">
        <is>
          <t>Offers - Contact Us</t>
        </is>
      </c>
      <c r="E361" t="inlineStr">
        <is>
          <t>Form Submit</t>
        </is>
      </c>
      <c r="F361" t="inlineStr">
        <is>
          <t>2 - Contact Identity</t>
        </is>
      </c>
      <c r="G361" t="inlineStr">
        <is>
          <t>Email</t>
        </is>
      </c>
      <c r="H361" t="inlineStr">
        <is>
          <t>Confirm whether business email is mandatory and personal email domains are allowed.</t>
        </is>
      </c>
      <c r="I361" t="inlineStr">
        <is>
          <t>Primary contact matching key for Eloqua/SFDC and deduplication.</t>
        </is>
      </c>
    </row>
    <row r="362">
      <c r="A362" t="inlineStr">
        <is>
          <t>UC25</t>
        </is>
      </c>
      <c r="B362" t="inlineStr">
        <is>
          <t>UC25 Offers - Contact Us Form S</t>
        </is>
      </c>
      <c r="C362" t="inlineStr">
        <is>
          <t>Online Forms</t>
        </is>
      </c>
      <c r="D362" t="inlineStr">
        <is>
          <t>Offers - Contact Us</t>
        </is>
      </c>
      <c r="E362" t="inlineStr">
        <is>
          <t>Form Submit</t>
        </is>
      </c>
      <c r="F362" t="inlineStr">
        <is>
          <t>2 - Contact Identity</t>
        </is>
      </c>
      <c r="G362" t="inlineStr">
        <is>
          <t>Company Name</t>
        </is>
      </c>
      <c r="H362" t="inlineStr">
        <is>
          <t>Confirm whether account matching requires domain, account ID, or company name only.</t>
        </is>
      </c>
      <c r="I362" t="inlineStr">
        <is>
          <t>Supports account matching, attribution, and funnel reporting.</t>
        </is>
      </c>
    </row>
    <row r="363">
      <c r="A363" t="inlineStr">
        <is>
          <t>UC25</t>
        </is>
      </c>
      <c r="B363" t="inlineStr">
        <is>
          <t>UC25 Offers - Contact Us Form S</t>
        </is>
      </c>
      <c r="C363" t="inlineStr">
        <is>
          <t>Online Forms</t>
        </is>
      </c>
      <c r="D363" t="inlineStr">
        <is>
          <t>Offers - Contact Us</t>
        </is>
      </c>
      <c r="E363" t="inlineStr">
        <is>
          <t>Form Submit</t>
        </is>
      </c>
      <c r="F363" t="inlineStr">
        <is>
          <t>3 - Account Identity</t>
        </is>
      </c>
      <c r="G363" t="inlineStr">
        <is>
          <t>Phone Extension</t>
        </is>
      </c>
      <c r="H363" t="inlineStr">
        <is>
          <t>Do we still need Extension for B&amp;S to auto dial?</t>
        </is>
      </c>
      <c r="I363" t="inlineStr">
        <is>
          <t>Excluded from standard performance reporting</t>
        </is>
      </c>
    </row>
    <row r="364">
      <c r="A364" t="inlineStr">
        <is>
          <t>UC25</t>
        </is>
      </c>
      <c r="B364" t="inlineStr">
        <is>
          <t>UC25 Offers - Contact Us Form S</t>
        </is>
      </c>
      <c r="C364" t="inlineStr">
        <is>
          <t>Online Forms</t>
        </is>
      </c>
      <c r="D364" t="inlineStr">
        <is>
          <t>Offers - Contact Us</t>
        </is>
      </c>
      <c r="E364" t="inlineStr">
        <is>
          <t>Form Submit</t>
        </is>
      </c>
      <c r="F364" t="inlineStr">
        <is>
          <t>3 - Account Identity</t>
        </is>
      </c>
      <c r="G364" t="inlineStr">
        <is>
          <t>Primary Phone Number</t>
        </is>
      </c>
      <c r="H364" t="inlineStr">
        <is>
          <t>OK to send if no phone number aligned?</t>
        </is>
      </c>
      <c r="I364" t="inlineStr">
        <is>
          <t>Excluded from standard performance reporting but essential for upstream Virtual Demand Center (VDC) follow-up; Phone number should not be passed to sell if localized or country-specific phone opt-out privacy rules apply</t>
        </is>
      </c>
    </row>
    <row r="365">
      <c r="A365" t="inlineStr">
        <is>
          <t>UC25</t>
        </is>
      </c>
      <c r="B365" t="inlineStr">
        <is>
          <t>UC25 Offers - Contact Us Form S</t>
        </is>
      </c>
      <c r="C365" t="inlineStr">
        <is>
          <t>Online Forms</t>
        </is>
      </c>
      <c r="D365" t="inlineStr">
        <is>
          <t>Offers - Contact Us</t>
        </is>
      </c>
      <c r="E365" t="inlineStr">
        <is>
          <t>Form Submit</t>
        </is>
      </c>
      <c r="F365" t="inlineStr">
        <is>
          <t>6 - Future Tracking Parameters</t>
        </is>
      </c>
      <c r="G365" t="inlineStr">
        <is>
          <t>Content Type</t>
        </is>
      </c>
      <c r="H365" t="inlineStr">
        <is>
          <t>This field relates to Web Content Type, Webinar Type and Event Type from Workfront.</t>
        </is>
      </c>
      <c r="I365" t="inlineStr">
        <is>
          <t>Identifies the content classification for future attribution, operational, and funnel reporting aligned to Workfront Content ID.</t>
        </is>
      </c>
    </row>
    <row r="366">
      <c r="A366" t="inlineStr">
        <is>
          <t>UC25</t>
        </is>
      </c>
      <c r="B366" t="inlineStr">
        <is>
          <t>UC25 Offers - Contact Us Form S</t>
        </is>
      </c>
      <c r="C366" t="inlineStr">
        <is>
          <t>Online Forms</t>
        </is>
      </c>
      <c r="D366" t="inlineStr">
        <is>
          <t>Offers - Contact Us</t>
        </is>
      </c>
      <c r="E366" t="inlineStr">
        <is>
          <t>Form Submit</t>
        </is>
      </c>
      <c r="F366" t="inlineStr">
        <is>
          <t>7 - Event Tracking Parameters</t>
        </is>
      </c>
      <c r="G366" t="inlineStr">
        <is>
          <t>Event ID / EID</t>
        </is>
      </c>
      <c r="H366" t="inlineStr">
        <is>
          <t>Confirm uploader has this value before upload.</t>
        </is>
      </c>
      <c r="I366" t="inlineStr">
        <is>
          <t>Primary lookup key for attribution, operational reporting, and Global Events Table enrichment.</t>
        </is>
      </c>
    </row>
    <row r="367">
      <c r="A367" t="inlineStr">
        <is>
          <t>UC26</t>
        </is>
      </c>
      <c r="B367" t="inlineStr">
        <is>
          <t>UC26 Offers - Demo Form Submit</t>
        </is>
      </c>
      <c r="C367" t="inlineStr">
        <is>
          <t>Online Forms</t>
        </is>
      </c>
      <c r="D367" t="inlineStr">
        <is>
          <t>Offers - Demo</t>
        </is>
      </c>
      <c r="E367" t="inlineStr">
        <is>
          <t>Form Submit</t>
        </is>
      </c>
      <c r="F367" t="inlineStr">
        <is>
          <t>2 - Contact Identity</t>
        </is>
      </c>
      <c r="G367" t="inlineStr">
        <is>
          <t>Email</t>
        </is>
      </c>
      <c r="H367" t="inlineStr">
        <is>
          <t>Confirm whether business email is mandatory and personal email domains are allowed.</t>
        </is>
      </c>
      <c r="I367" t="inlineStr">
        <is>
          <t>Primary contact matching key for Eloqua/SFDC and deduplication.</t>
        </is>
      </c>
    </row>
    <row r="368">
      <c r="A368" t="inlineStr">
        <is>
          <t>UC26</t>
        </is>
      </c>
      <c r="B368" t="inlineStr">
        <is>
          <t>UC26 Offers - Demo Form Submit</t>
        </is>
      </c>
      <c r="C368" t="inlineStr">
        <is>
          <t>Online Forms</t>
        </is>
      </c>
      <c r="D368" t="inlineStr">
        <is>
          <t>Offers - Demo</t>
        </is>
      </c>
      <c r="E368" t="inlineStr">
        <is>
          <t>Form Submit</t>
        </is>
      </c>
      <c r="F368" t="inlineStr">
        <is>
          <t>2 - Contact Identity</t>
        </is>
      </c>
      <c r="G368" t="inlineStr">
        <is>
          <t>Company Name</t>
        </is>
      </c>
      <c r="H368" t="inlineStr">
        <is>
          <t>Confirm whether account matching requires domain, account ID, or company name only.</t>
        </is>
      </c>
      <c r="I368" t="inlineStr">
        <is>
          <t>Supports account matching, attribution, and funnel reporting.</t>
        </is>
      </c>
    </row>
    <row r="369">
      <c r="A369" t="inlineStr">
        <is>
          <t>UC26</t>
        </is>
      </c>
      <c r="B369" t="inlineStr">
        <is>
          <t>UC26 Offers - Demo Form Submit</t>
        </is>
      </c>
      <c r="C369" t="inlineStr">
        <is>
          <t>Online Forms</t>
        </is>
      </c>
      <c r="D369" t="inlineStr">
        <is>
          <t>Offers - Demo</t>
        </is>
      </c>
      <c r="E369" t="inlineStr">
        <is>
          <t>Form Submit</t>
        </is>
      </c>
      <c r="F369" t="inlineStr">
        <is>
          <t>3 - Account Identity</t>
        </is>
      </c>
      <c r="G369" t="inlineStr">
        <is>
          <t>Phone Extension</t>
        </is>
      </c>
      <c r="H369" t="inlineStr">
        <is>
          <t>Do we still need Extension for B&amp;S to auto dial?</t>
        </is>
      </c>
      <c r="I369" t="inlineStr">
        <is>
          <t>Excluded from standard performance reporting</t>
        </is>
      </c>
    </row>
    <row r="370">
      <c r="A370" t="inlineStr">
        <is>
          <t>UC26</t>
        </is>
      </c>
      <c r="B370" t="inlineStr">
        <is>
          <t>UC26 Offers - Demo Form Submit</t>
        </is>
      </c>
      <c r="C370" t="inlineStr">
        <is>
          <t>Online Forms</t>
        </is>
      </c>
      <c r="D370" t="inlineStr">
        <is>
          <t>Offers - Demo</t>
        </is>
      </c>
      <c r="E370" t="inlineStr">
        <is>
          <t>Form Submit</t>
        </is>
      </c>
      <c r="F370" t="inlineStr">
        <is>
          <t>3 - Account Identity</t>
        </is>
      </c>
      <c r="G370" t="inlineStr">
        <is>
          <t>Primary Phone Number</t>
        </is>
      </c>
      <c r="H370" t="inlineStr">
        <is>
          <t>OK to send if no phone number aligned?</t>
        </is>
      </c>
      <c r="I370" t="inlineStr">
        <is>
          <t>Excluded from standard performance reporting but essential for upstream Virtual Demand Center (VDC) follow-up; Phone number should not be passed to sell if localized or country-specific phone opt-out privacy rules apply</t>
        </is>
      </c>
    </row>
    <row r="371">
      <c r="A371" t="inlineStr">
        <is>
          <t>UC26</t>
        </is>
      </c>
      <c r="B371" t="inlineStr">
        <is>
          <t>UC26 Offers - Demo Form Submit</t>
        </is>
      </c>
      <c r="C371" t="inlineStr">
        <is>
          <t>Online Forms</t>
        </is>
      </c>
      <c r="D371" t="inlineStr">
        <is>
          <t>Offers - Demo</t>
        </is>
      </c>
      <c r="E371" t="inlineStr">
        <is>
          <t>Form Submit</t>
        </is>
      </c>
      <c r="F371" t="inlineStr">
        <is>
          <t>6 - Future Tracking Parameters</t>
        </is>
      </c>
      <c r="G371" t="inlineStr">
        <is>
          <t>Content Type</t>
        </is>
      </c>
      <c r="H371" t="inlineStr">
        <is>
          <t>This field relates to Web Content Type, Webinar Type and Event Type from Workfront.</t>
        </is>
      </c>
      <c r="I371" t="inlineStr">
        <is>
          <t>Identifies the content classification for future attribution, operational, and funnel reporting aligned to Workfront Content ID.</t>
        </is>
      </c>
    </row>
    <row r="372">
      <c r="A372" t="inlineStr">
        <is>
          <t>UC28</t>
        </is>
      </c>
      <c r="B372" t="inlineStr">
        <is>
          <t>UC28 Offers - Other Form Submit</t>
        </is>
      </c>
      <c r="C372" t="inlineStr">
        <is>
          <t>Online Forms</t>
        </is>
      </c>
      <c r="D372" t="inlineStr">
        <is>
          <t>Offers - Other</t>
        </is>
      </c>
      <c r="E372" t="inlineStr">
        <is>
          <t>Form Submit</t>
        </is>
      </c>
      <c r="F372" t="inlineStr">
        <is>
          <t>6 - Future Tracking Parameters</t>
        </is>
      </c>
      <c r="G372" t="inlineStr">
        <is>
          <t>Content Type</t>
        </is>
      </c>
      <c r="H372" t="inlineStr">
        <is>
          <t>This field relates to Web Content Type, Webinar Type and Event Type from Workfront.</t>
        </is>
      </c>
      <c r="I372" t="inlineStr">
        <is>
          <t>Identifies the content classification for future attribution, operational, and funnel reporting aligned to Workfront Content ID.</t>
        </is>
      </c>
    </row>
    <row r="373">
      <c r="A373" t="inlineStr">
        <is>
          <t>UC29</t>
        </is>
      </c>
      <c r="B373" t="inlineStr">
        <is>
          <t>UC29 Offers - Others Form Submi</t>
        </is>
      </c>
      <c r="C373" t="inlineStr">
        <is>
          <t>Online Forms</t>
        </is>
      </c>
      <c r="D373" t="inlineStr">
        <is>
          <t>Offers - Others</t>
        </is>
      </c>
      <c r="E373" t="inlineStr">
        <is>
          <t>Form Submit</t>
        </is>
      </c>
      <c r="F373" t="inlineStr">
        <is>
          <t>2 - Contact Identity</t>
        </is>
      </c>
      <c r="G373" t="inlineStr">
        <is>
          <t>Email</t>
        </is>
      </c>
      <c r="H373" t="inlineStr">
        <is>
          <t>Confirm whether business email is mandatory and personal email domains are allowed.</t>
        </is>
      </c>
      <c r="I373" t="inlineStr">
        <is>
          <t>Primary contact matching key for Eloqua/SFDC and deduplication.</t>
        </is>
      </c>
    </row>
    <row r="374">
      <c r="A374" t="inlineStr">
        <is>
          <t>UC29</t>
        </is>
      </c>
      <c r="B374" t="inlineStr">
        <is>
          <t>UC29 Offers - Others Form Submi</t>
        </is>
      </c>
      <c r="C374" t="inlineStr">
        <is>
          <t>Online Forms</t>
        </is>
      </c>
      <c r="D374" t="inlineStr">
        <is>
          <t>Offers - Others</t>
        </is>
      </c>
      <c r="E374" t="inlineStr">
        <is>
          <t>Form Submit</t>
        </is>
      </c>
      <c r="F374" t="inlineStr">
        <is>
          <t>2 - Contact Identity</t>
        </is>
      </c>
      <c r="G374" t="inlineStr">
        <is>
          <t>Company Name</t>
        </is>
      </c>
      <c r="H374" t="inlineStr">
        <is>
          <t>Confirm whether account matching requires domain, account ID, or company name only.</t>
        </is>
      </c>
      <c r="I374" t="inlineStr">
        <is>
          <t>Supports account matching, attribution, and funnel reporting.</t>
        </is>
      </c>
    </row>
    <row r="375">
      <c r="A375" t="inlineStr">
        <is>
          <t>UC29</t>
        </is>
      </c>
      <c r="B375" t="inlineStr">
        <is>
          <t>UC29 Offers - Others Form Submi</t>
        </is>
      </c>
      <c r="C375" t="inlineStr">
        <is>
          <t>Online Forms</t>
        </is>
      </c>
      <c r="D375" t="inlineStr">
        <is>
          <t>Offers - Others</t>
        </is>
      </c>
      <c r="E375" t="inlineStr">
        <is>
          <t>Form Submit</t>
        </is>
      </c>
      <c r="F375" t="inlineStr">
        <is>
          <t>3 - Account Identity</t>
        </is>
      </c>
      <c r="G375" t="inlineStr">
        <is>
          <t>Phone Extension</t>
        </is>
      </c>
      <c r="H375" t="inlineStr">
        <is>
          <t>Do we still need Extension for B&amp;S to auto dial?</t>
        </is>
      </c>
      <c r="I375" t="inlineStr">
        <is>
          <t>Excluded from standard performance reporting</t>
        </is>
      </c>
    </row>
    <row r="376">
      <c r="A376" t="inlineStr">
        <is>
          <t>UC29</t>
        </is>
      </c>
      <c r="B376" t="inlineStr">
        <is>
          <t>UC29 Offers - Others Form Submi</t>
        </is>
      </c>
      <c r="C376" t="inlineStr">
        <is>
          <t>Online Forms</t>
        </is>
      </c>
      <c r="D376" t="inlineStr">
        <is>
          <t>Offers - Others</t>
        </is>
      </c>
      <c r="E376" t="inlineStr">
        <is>
          <t>Form Submit</t>
        </is>
      </c>
      <c r="F376" t="inlineStr">
        <is>
          <t>3 - Account Identity</t>
        </is>
      </c>
      <c r="G376" t="inlineStr">
        <is>
          <t>Primary Phone Number</t>
        </is>
      </c>
      <c r="H376" t="inlineStr">
        <is>
          <t>OK to send if no phone number aligned?</t>
        </is>
      </c>
      <c r="I376" t="inlineStr">
        <is>
          <t>Excluded from standard performance reporting but essential for upstream Virtual Demand Center (VDC) follow-up; Phone number should not be passed to sell if localized or country-specific phone opt-out privacy rules apply</t>
        </is>
      </c>
    </row>
    <row r="377">
      <c r="A377" t="inlineStr">
        <is>
          <t>UC30</t>
        </is>
      </c>
      <c r="B377" t="inlineStr">
        <is>
          <t>UC30 Offers - Promotion Form Su</t>
        </is>
      </c>
      <c r="C377" t="inlineStr">
        <is>
          <t>Online Forms</t>
        </is>
      </c>
      <c r="D377" t="inlineStr">
        <is>
          <t>Offers - Promotion</t>
        </is>
      </c>
      <c r="E377" t="inlineStr">
        <is>
          <t>Form Submit</t>
        </is>
      </c>
      <c r="F377" t="inlineStr">
        <is>
          <t>2 - Contact Identity</t>
        </is>
      </c>
      <c r="G377" t="inlineStr">
        <is>
          <t>Email</t>
        </is>
      </c>
      <c r="H377" t="inlineStr">
        <is>
          <t>Confirm whether business email is mandatory and personal email domains are allowed.</t>
        </is>
      </c>
      <c r="I377" t="inlineStr">
        <is>
          <t>Primary contact matching key for Eloqua/SFDC and deduplication.</t>
        </is>
      </c>
    </row>
    <row r="378">
      <c r="A378" t="inlineStr">
        <is>
          <t>UC30</t>
        </is>
      </c>
      <c r="B378" t="inlineStr">
        <is>
          <t>UC30 Offers - Promotion Form Su</t>
        </is>
      </c>
      <c r="C378" t="inlineStr">
        <is>
          <t>Online Forms</t>
        </is>
      </c>
      <c r="D378" t="inlineStr">
        <is>
          <t>Offers - Promotion</t>
        </is>
      </c>
      <c r="E378" t="inlineStr">
        <is>
          <t>Form Submit</t>
        </is>
      </c>
      <c r="F378" t="inlineStr">
        <is>
          <t>2 - Contact Identity</t>
        </is>
      </c>
      <c r="G378" t="inlineStr">
        <is>
          <t>Company Name</t>
        </is>
      </c>
      <c r="H378" t="inlineStr">
        <is>
          <t>Confirm whether account matching requires domain, account ID, or company name only.</t>
        </is>
      </c>
      <c r="I378" t="inlineStr">
        <is>
          <t>Supports account matching, attribution, and funnel reporting.</t>
        </is>
      </c>
    </row>
    <row r="379">
      <c r="A379" t="inlineStr">
        <is>
          <t>UC30</t>
        </is>
      </c>
      <c r="B379" t="inlineStr">
        <is>
          <t>UC30 Offers - Promotion Form Su</t>
        </is>
      </c>
      <c r="C379" t="inlineStr">
        <is>
          <t>Online Forms</t>
        </is>
      </c>
      <c r="D379" t="inlineStr">
        <is>
          <t>Offers - Promotion</t>
        </is>
      </c>
      <c r="E379" t="inlineStr">
        <is>
          <t>Form Submit</t>
        </is>
      </c>
      <c r="F379" t="inlineStr">
        <is>
          <t>3 - Account Identity</t>
        </is>
      </c>
      <c r="G379" t="inlineStr">
        <is>
          <t>Phone Extension</t>
        </is>
      </c>
      <c r="H379" t="inlineStr">
        <is>
          <t>Do we still need Extension for B&amp;S to auto dial?</t>
        </is>
      </c>
      <c r="I379" t="inlineStr">
        <is>
          <t>Excluded from standard performance reporting</t>
        </is>
      </c>
    </row>
    <row r="380">
      <c r="A380" t="inlineStr">
        <is>
          <t>UC30</t>
        </is>
      </c>
      <c r="B380" t="inlineStr">
        <is>
          <t>UC30 Offers - Promotion Form Su</t>
        </is>
      </c>
      <c r="C380" t="inlineStr">
        <is>
          <t>Online Forms</t>
        </is>
      </c>
      <c r="D380" t="inlineStr">
        <is>
          <t>Offers - Promotion</t>
        </is>
      </c>
      <c r="E380" t="inlineStr">
        <is>
          <t>Form Submit</t>
        </is>
      </c>
      <c r="F380" t="inlineStr">
        <is>
          <t>3 - Account Identity</t>
        </is>
      </c>
      <c r="G380" t="inlineStr">
        <is>
          <t>Primary Phone Number</t>
        </is>
      </c>
      <c r="H380" t="inlineStr">
        <is>
          <t>OK to send if no phone number aligned?</t>
        </is>
      </c>
      <c r="I380" t="inlineStr">
        <is>
          <t>Excluded from standard performance reporting but essential for upstream Virtual Demand Center (VDC) follow-up; Phone number should not be passed to sell if localized or country-specific phone opt-out privacy rules apply</t>
        </is>
      </c>
    </row>
    <row r="381">
      <c r="A381" t="inlineStr">
        <is>
          <t>UC30</t>
        </is>
      </c>
      <c r="B381" t="inlineStr">
        <is>
          <t>UC30 Offers - Promotion Form Su</t>
        </is>
      </c>
      <c r="C381" t="inlineStr">
        <is>
          <t>Online Forms</t>
        </is>
      </c>
      <c r="D381" t="inlineStr">
        <is>
          <t>Offers - Promotion</t>
        </is>
      </c>
      <c r="E381" t="inlineStr">
        <is>
          <t>Form Submit</t>
        </is>
      </c>
      <c r="F381" t="inlineStr">
        <is>
          <t>6 - Future Tracking Parameters</t>
        </is>
      </c>
      <c r="G381" t="inlineStr">
        <is>
          <t>Content Type</t>
        </is>
      </c>
      <c r="H381" t="inlineStr">
        <is>
          <t>This field relates to Web Content Type, Webinar Type and Event Type from Workfront.</t>
        </is>
      </c>
      <c r="I381" t="inlineStr">
        <is>
          <t>Identifies the content classification for future attribution, operational, and funnel reporting aligned to Workfront Content ID.</t>
        </is>
      </c>
    </row>
    <row r="382">
      <c r="A382" t="inlineStr">
        <is>
          <t>UC31</t>
        </is>
      </c>
      <c r="B382" t="inlineStr">
        <is>
          <t>UC31 Offers - Trial Form Submit</t>
        </is>
      </c>
      <c r="C382" t="inlineStr">
        <is>
          <t>Online Forms</t>
        </is>
      </c>
      <c r="D382" t="inlineStr">
        <is>
          <t>Offers - Trial</t>
        </is>
      </c>
      <c r="E382" t="inlineStr">
        <is>
          <t>Form Submit</t>
        </is>
      </c>
      <c r="F382" t="inlineStr">
        <is>
          <t>2 - Contact Identity</t>
        </is>
      </c>
      <c r="G382" t="inlineStr">
        <is>
          <t>Email</t>
        </is>
      </c>
      <c r="H382" t="inlineStr">
        <is>
          <t>Confirm whether business email is mandatory and personal email domains are allowed.</t>
        </is>
      </c>
      <c r="I382" t="inlineStr">
        <is>
          <t>Primary contact matching key for Eloqua/SFDC and deduplication.</t>
        </is>
      </c>
    </row>
    <row r="383">
      <c r="A383" t="inlineStr">
        <is>
          <t>UC31</t>
        </is>
      </c>
      <c r="B383" t="inlineStr">
        <is>
          <t>UC31 Offers - Trial Form Submit</t>
        </is>
      </c>
      <c r="C383" t="inlineStr">
        <is>
          <t>Online Forms</t>
        </is>
      </c>
      <c r="D383" t="inlineStr">
        <is>
          <t>Offers - Trial</t>
        </is>
      </c>
      <c r="E383" t="inlineStr">
        <is>
          <t>Form Submit</t>
        </is>
      </c>
      <c r="F383" t="inlineStr">
        <is>
          <t>2 - Contact Identity</t>
        </is>
      </c>
      <c r="G383" t="inlineStr">
        <is>
          <t>Company Name</t>
        </is>
      </c>
      <c r="H383" t="inlineStr">
        <is>
          <t>Confirm whether account matching requires domain, account ID, or company name only.</t>
        </is>
      </c>
      <c r="I383" t="inlineStr">
        <is>
          <t>Supports account matching, attribution, and funnel reporting.</t>
        </is>
      </c>
    </row>
    <row r="384">
      <c r="A384" t="inlineStr">
        <is>
          <t>UC31</t>
        </is>
      </c>
      <c r="B384" t="inlineStr">
        <is>
          <t>UC31 Offers - Trial Form Submit</t>
        </is>
      </c>
      <c r="C384" t="inlineStr">
        <is>
          <t>Online Forms</t>
        </is>
      </c>
      <c r="D384" t="inlineStr">
        <is>
          <t>Offers - Trial</t>
        </is>
      </c>
      <c r="E384" t="inlineStr">
        <is>
          <t>Form Submit</t>
        </is>
      </c>
      <c r="F384" t="inlineStr">
        <is>
          <t>3 - Account Identity</t>
        </is>
      </c>
      <c r="G384" t="inlineStr">
        <is>
          <t>Phone Extension</t>
        </is>
      </c>
      <c r="H384" t="inlineStr">
        <is>
          <t>Do we still need Extension for B&amp;S to auto dial?</t>
        </is>
      </c>
      <c r="I384" t="inlineStr">
        <is>
          <t>Excluded from standard performance reporting</t>
        </is>
      </c>
    </row>
    <row r="385">
      <c r="A385" t="inlineStr">
        <is>
          <t>UC31</t>
        </is>
      </c>
      <c r="B385" t="inlineStr">
        <is>
          <t>UC31 Offers - Trial Form Submit</t>
        </is>
      </c>
      <c r="C385" t="inlineStr">
        <is>
          <t>Online Forms</t>
        </is>
      </c>
      <c r="D385" t="inlineStr">
        <is>
          <t>Offers - Trial</t>
        </is>
      </c>
      <c r="E385" t="inlineStr">
        <is>
          <t>Form Submit</t>
        </is>
      </c>
      <c r="F385" t="inlineStr">
        <is>
          <t>3 - Account Identity</t>
        </is>
      </c>
      <c r="G385" t="inlineStr">
        <is>
          <t>Primary Phone Number</t>
        </is>
      </c>
      <c r="H385" t="inlineStr">
        <is>
          <t>OK to send if no phone number aligned?</t>
        </is>
      </c>
      <c r="I385" t="inlineStr">
        <is>
          <t>Excluded from standard performance reporting but essential for upstream Virtual Demand Center (VDC) follow-up; Phone number should not be passed to sell if localized or country-specific phone opt-out privacy rules apply</t>
        </is>
      </c>
    </row>
    <row r="386">
      <c r="A386" t="inlineStr">
        <is>
          <t>UC32</t>
        </is>
      </c>
      <c r="B386" t="inlineStr">
        <is>
          <t>UC32 Offers - Trials Form Submi</t>
        </is>
      </c>
      <c r="C386" t="inlineStr">
        <is>
          <t>Online Forms</t>
        </is>
      </c>
      <c r="D386" t="inlineStr">
        <is>
          <t>Offers - Trials</t>
        </is>
      </c>
      <c r="E386" t="inlineStr">
        <is>
          <t>Form Submit</t>
        </is>
      </c>
      <c r="F386" t="inlineStr">
        <is>
          <t>6 - Future Tracking Parameters</t>
        </is>
      </c>
      <c r="G386" t="inlineStr">
        <is>
          <t>Content Type</t>
        </is>
      </c>
      <c r="H386" t="inlineStr">
        <is>
          <t>This field relates to Web Content Type, Webinar Type and Event Type from Workfront.</t>
        </is>
      </c>
      <c r="I386" t="inlineStr">
        <is>
          <t>Identifies the content classification for future attribution, operational, and funnel reporting aligned to Workfront Content ID.</t>
        </is>
      </c>
    </row>
  </sheetData>
  <autoFilter ref="A1:J386"/>
  <dataValidations count="1">
    <dataValidation sqref="J2:J386"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headerFooter>
    <oddHeader/>
    <oddFooter>&amp;R&amp;"Aptos"&amp;8 &amp;K000000_x000d_# Cisco Confidential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2026-07-20T12:21:46Z</dcterms:created>
  <dcterms:modified xsi:type="dcterms:W3CDTF">2026-07-20T17:15:58Z</dcterms:modified>
  <cp:lastModifiedBy>Amanda Chenery (achenery)</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0x010100C4E837C0C014154FB2B15D89EFA54B38</vt:lpwstr>
  </property>
</Properties>
</file>